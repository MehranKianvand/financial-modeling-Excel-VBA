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Financial package\financial modeling\12351_website_supplements\For Website\Section 1 - Corporate finance\Chapter 01 - Basic Financial Analysis\"/>
    </mc:Choice>
  </mc:AlternateContent>
  <xr:revisionPtr revIDLastSave="0" documentId="8_{B86D19D8-507C-4035-8813-AB671D99F05F}" xr6:coauthVersionLast="47" xr6:coauthVersionMax="47" xr10:uidLastSave="{00000000-0000-0000-0000-000000000000}"/>
  <bookViews>
    <workbookView xWindow="-108" yWindow="-108" windowWidth="23256" windowHeight="12456" tabRatio="969" firstSheet="19" activeTab="30" xr2:uid="{00000000-000D-0000-FFFF-FFFF00000000}"/>
  </bookViews>
  <sheets>
    <sheet name="PV" sheetId="56826" r:id="rId1"/>
    <sheet name="PV vs. NPV" sheetId="56827" r:id="rId2"/>
    <sheet name="NPV" sheetId="56822" r:id="rId3"/>
    <sheet name="Annuities" sheetId="56828" r:id="rId4"/>
    <sheet name="Perpetuity" sheetId="56830" r:id="rId5"/>
    <sheet name="Growing annuity" sheetId="56829" r:id="rId6"/>
    <sheet name="Growing perpetuity" sheetId="56831" r:id="rId7"/>
    <sheet name="IRR" sheetId="56849" r:id="rId8"/>
    <sheet name="IRR (before)" sheetId="56850" r:id="rId9"/>
    <sheet name="IRR (after)" sheetId="56851" r:id="rId10"/>
    <sheet name="IRR and investment table" sheetId="56817" r:id="rId11"/>
    <sheet name="IRR and investment table (2)" sheetId="56852" r:id="rId12"/>
    <sheet name="IRR and investment table (3)" sheetId="56853" r:id="rId13"/>
    <sheet name="Rate" sheetId="56832" r:id="rId14"/>
    <sheet name="Two IRRs" sheetId="4" r:id="rId15"/>
    <sheet name="Bond IRR" sheetId="12" r:id="rId16"/>
    <sheet name="Flat payment schedule" sheetId="56848" r:id="rId17"/>
    <sheet name="Simple FV" sheetId="6" r:id="rId18"/>
    <sheet name="Annuity FV" sheetId="8" r:id="rId19"/>
    <sheet name="Retirement" sheetId="56836" r:id="rId20"/>
    <sheet name="Retirement solver" sheetId="56855" r:id="rId21"/>
    <sheet name="Retirement picture" sheetId="56840" r:id="rId22"/>
    <sheet name="Retirement fin formulas" sheetId="56841" r:id="rId23"/>
    <sheet name="Multiple compounding periods" sheetId="10" r:id="rId24"/>
    <sheet name="Cont. discounting" sheetId="56820" r:id="rId25"/>
    <sheet name="Return from prices" sheetId="56821" r:id="rId26"/>
    <sheet name="XIRR" sheetId="56834" r:id="rId27"/>
    <sheet name="XNPV" sheetId="56835" r:id="rId28"/>
    <sheet name="NXNPV" sheetId="56842" r:id="rId29"/>
    <sheet name="2-XIRR" sheetId="56844" r:id="rId30"/>
    <sheet name="NXIRR" sheetId="56845" r:id="rId31"/>
  </sheets>
  <functionGroups builtInGroupCount="19"/>
  <definedNames>
    <definedName name="solver_adj" localSheetId="29" hidden="1">'2-XIRR'!$E$22</definedName>
    <definedName name="solver_adj" localSheetId="19" hidden="1">Retirement!$B$3</definedName>
    <definedName name="solver_adj" localSheetId="22" hidden="1">'Retirement fin formulas'!$B$7</definedName>
    <definedName name="solver_adj" localSheetId="20" hidden="1">'Retirement solver'!$B$3</definedName>
    <definedName name="solver_cvg" localSheetId="29" hidden="1">0.0001</definedName>
    <definedName name="solver_cvg" localSheetId="19" hidden="1">0.001</definedName>
    <definedName name="solver_cvg" localSheetId="22" hidden="1">0.001</definedName>
    <definedName name="solver_cvg" localSheetId="20" hidden="1">0.001</definedName>
    <definedName name="solver_drv" localSheetId="29" hidden="1">1</definedName>
    <definedName name="solver_drv" localSheetId="19" hidden="1">1</definedName>
    <definedName name="solver_drv" localSheetId="22" hidden="1">1</definedName>
    <definedName name="solver_drv" localSheetId="20" hidden="1">1</definedName>
    <definedName name="solver_eng" localSheetId="29" hidden="1">1</definedName>
    <definedName name="solver_eng" localSheetId="19" hidden="1">1</definedName>
    <definedName name="solver_eng" localSheetId="20" hidden="1">1</definedName>
    <definedName name="solver_est" localSheetId="29" hidden="1">1</definedName>
    <definedName name="solver_est" localSheetId="19" hidden="1">1</definedName>
    <definedName name="solver_est" localSheetId="22" hidden="1">1</definedName>
    <definedName name="solver_est" localSheetId="20" hidden="1">1</definedName>
    <definedName name="solver_itr" localSheetId="29" hidden="1">2147483647</definedName>
    <definedName name="solver_itr" localSheetId="19" hidden="1">100</definedName>
    <definedName name="solver_itr" localSheetId="22" hidden="1">100</definedName>
    <definedName name="solver_itr" localSheetId="20" hidden="1">100</definedName>
    <definedName name="solver_lin" localSheetId="19" hidden="1">2</definedName>
    <definedName name="solver_lin" localSheetId="22" hidden="1">2</definedName>
    <definedName name="solver_lin" localSheetId="20" hidden="1">2</definedName>
    <definedName name="solver_mip" localSheetId="29" hidden="1">2147483647</definedName>
    <definedName name="solver_mip" localSheetId="19" hidden="1">2147483647</definedName>
    <definedName name="solver_mip" localSheetId="20" hidden="1">2147483647</definedName>
    <definedName name="solver_mni" localSheetId="29" hidden="1">30</definedName>
    <definedName name="solver_mni" localSheetId="19" hidden="1">30</definedName>
    <definedName name="solver_mni" localSheetId="20" hidden="1">30</definedName>
    <definedName name="solver_mrt" localSheetId="29" hidden="1">0.075</definedName>
    <definedName name="solver_mrt" localSheetId="19" hidden="1">0.075</definedName>
    <definedName name="solver_mrt" localSheetId="20" hidden="1">0.075</definedName>
    <definedName name="solver_msl" localSheetId="29" hidden="1">2</definedName>
    <definedName name="solver_msl" localSheetId="19" hidden="1">2</definedName>
    <definedName name="solver_msl" localSheetId="20" hidden="1">2</definedName>
    <definedName name="solver_neg" localSheetId="29" hidden="1">1</definedName>
    <definedName name="solver_neg" localSheetId="19" hidden="1">2</definedName>
    <definedName name="solver_neg" localSheetId="22" hidden="1">2</definedName>
    <definedName name="solver_neg" localSheetId="20" hidden="1">2</definedName>
    <definedName name="solver_nod" localSheetId="29" hidden="1">2147483647</definedName>
    <definedName name="solver_nod" localSheetId="19" hidden="1">2147483647</definedName>
    <definedName name="solver_nod" localSheetId="20" hidden="1">2147483647</definedName>
    <definedName name="solver_num" localSheetId="29" hidden="1">0</definedName>
    <definedName name="solver_num" localSheetId="19" hidden="1">0</definedName>
    <definedName name="solver_num" localSheetId="22" hidden="1">0</definedName>
    <definedName name="solver_num" localSheetId="20" hidden="1">0</definedName>
    <definedName name="solver_nwt" localSheetId="29" hidden="1">1</definedName>
    <definedName name="solver_nwt" localSheetId="19" hidden="1">1</definedName>
    <definedName name="solver_nwt" localSheetId="22" hidden="1">1</definedName>
    <definedName name="solver_nwt" localSheetId="20" hidden="1">1</definedName>
    <definedName name="solver_opt" localSheetId="29" hidden="1">'2-XIRR'!$F$22</definedName>
    <definedName name="solver_opt" localSheetId="19" hidden="1">Retirement!$E$19</definedName>
    <definedName name="solver_opt" localSheetId="22" hidden="1">'Retirement fin formulas'!#REF!</definedName>
    <definedName name="solver_opt" localSheetId="20" hidden="1">'Retirement solver'!$E$19</definedName>
    <definedName name="solver_pre" localSheetId="29" hidden="1">0.000001</definedName>
    <definedName name="solver_pre" localSheetId="19" hidden="1">0.000001</definedName>
    <definedName name="solver_pre" localSheetId="22" hidden="1">0.000001</definedName>
    <definedName name="solver_pre" localSheetId="20" hidden="1">0.000001</definedName>
    <definedName name="solver_rbv" localSheetId="29" hidden="1">1</definedName>
    <definedName name="solver_rbv" localSheetId="19" hidden="1">1</definedName>
    <definedName name="solver_rbv" localSheetId="20" hidden="1">1</definedName>
    <definedName name="solver_rlx" localSheetId="29" hidden="1">2</definedName>
    <definedName name="solver_rlx" localSheetId="19" hidden="1">1</definedName>
    <definedName name="solver_rlx" localSheetId="20" hidden="1">1</definedName>
    <definedName name="solver_rsd" localSheetId="29" hidden="1">0</definedName>
    <definedName name="solver_rsd" localSheetId="19" hidden="1">0</definedName>
    <definedName name="solver_rsd" localSheetId="20" hidden="1">0</definedName>
    <definedName name="solver_scl" localSheetId="29" hidden="1">1</definedName>
    <definedName name="solver_scl" localSheetId="19" hidden="1">2</definedName>
    <definedName name="solver_scl" localSheetId="22" hidden="1">2</definedName>
    <definedName name="solver_scl" localSheetId="20" hidden="1">2</definedName>
    <definedName name="solver_sho" localSheetId="29" hidden="1">2</definedName>
    <definedName name="solver_sho" localSheetId="19" hidden="1">2</definedName>
    <definedName name="solver_sho" localSheetId="22" hidden="1">2</definedName>
    <definedName name="solver_sho" localSheetId="20" hidden="1">2</definedName>
    <definedName name="solver_ssz" localSheetId="29" hidden="1">100</definedName>
    <definedName name="solver_ssz" localSheetId="19" hidden="1">100</definedName>
    <definedName name="solver_ssz" localSheetId="20" hidden="1">100</definedName>
    <definedName name="solver_tim" localSheetId="29" hidden="1">2147483647</definedName>
    <definedName name="solver_tim" localSheetId="19" hidden="1">100</definedName>
    <definedName name="solver_tim" localSheetId="22" hidden="1">100</definedName>
    <definedName name="solver_tim" localSheetId="20" hidden="1">100</definedName>
    <definedName name="solver_tol" localSheetId="29" hidden="1">0.01</definedName>
    <definedName name="solver_tol" localSheetId="19" hidden="1">0.05</definedName>
    <definedName name="solver_tol" localSheetId="22" hidden="1">0.05</definedName>
    <definedName name="solver_tol" localSheetId="20" hidden="1">0.05</definedName>
    <definedName name="solver_typ" localSheetId="29" hidden="1">3</definedName>
    <definedName name="solver_typ" localSheetId="19" hidden="1">3</definedName>
    <definedName name="solver_typ" localSheetId="22" hidden="1">3</definedName>
    <definedName name="solver_typ" localSheetId="20" hidden="1">3</definedName>
    <definedName name="solver_val" localSheetId="29" hidden="1">0</definedName>
    <definedName name="solver_val" localSheetId="19" hidden="1">0</definedName>
    <definedName name="solver_val" localSheetId="22" hidden="1">0</definedName>
    <definedName name="solver_val" localSheetId="20" hidden="1">0</definedName>
    <definedName name="solver_ver" localSheetId="29" hidden="1">3</definedName>
    <definedName name="solver_ver" localSheetId="19" hidden="1">3</definedName>
    <definedName name="solver_ver" localSheetId="20" hidden="1">3</definedName>
  </definedNames>
  <calcPr calcId="181029" iterate="1"/>
</workbook>
</file>

<file path=xl/calcChain.xml><?xml version="1.0" encoding="utf-8"?>
<calcChain xmlns="http://schemas.openxmlformats.org/spreadsheetml/2006/main">
  <c r="B8" i="56844" l="1"/>
  <c r="B7" i="56844"/>
  <c r="B6" i="56844"/>
  <c r="C7" i="56845"/>
  <c r="C6" i="56845"/>
  <c r="C5" i="56845"/>
  <c r="B7" i="56841" l="1"/>
  <c r="B6" i="56841"/>
  <c r="B4" i="56840"/>
  <c r="B2" i="56840"/>
  <c r="C26" i="10"/>
  <c r="C11" i="56821"/>
  <c r="C7" i="56821"/>
  <c r="C5" i="56821"/>
  <c r="C8" i="56844"/>
  <c r="C7" i="56841"/>
  <c r="C7" i="56844"/>
  <c r="C9" i="56841"/>
  <c r="C6" i="56844"/>
  <c r="C6" i="56841"/>
  <c r="G6" i="56844"/>
  <c r="G10" i="56840"/>
  <c r="C11" i="56850"/>
  <c r="C6" i="10"/>
  <c r="C10" i="56849"/>
  <c r="C5" i="10"/>
  <c r="C25" i="10"/>
  <c r="C3" i="56844"/>
  <c r="C7" i="10"/>
  <c r="G11" i="56840"/>
  <c r="B4" i="56842" l="1"/>
  <c r="B5" i="56842"/>
  <c r="D9" i="56827"/>
  <c r="C13" i="56829"/>
  <c r="D9" i="56822"/>
  <c r="D8" i="56827"/>
  <c r="D6" i="56827"/>
  <c r="C14" i="56826"/>
  <c r="C11" i="56829"/>
  <c r="D5" i="56822"/>
  <c r="D4" i="56822"/>
  <c r="C12" i="56822"/>
  <c r="C12" i="56829"/>
  <c r="C7" i="56829"/>
  <c r="C7" i="56828"/>
  <c r="C13" i="56822"/>
  <c r="D9" i="56826"/>
  <c r="C15" i="56829"/>
  <c r="C6" i="56828"/>
  <c r="D5" i="56827"/>
  <c r="D8" i="56826"/>
  <c r="D8" i="56822"/>
  <c r="C4" i="56830"/>
  <c r="C5" i="56831"/>
  <c r="C13" i="56826"/>
  <c r="D5" i="56826"/>
  <c r="D7" i="56827"/>
  <c r="D7" i="56822"/>
  <c r="C17" i="56829"/>
  <c r="D7" i="56826"/>
  <c r="C17" i="56828"/>
  <c r="C12" i="56826"/>
  <c r="C11" i="56828"/>
  <c r="D6" i="56822"/>
  <c r="C13" i="56827"/>
  <c r="C12" i="56827"/>
  <c r="D6" i="56826"/>
  <c r="C14" i="56829"/>
  <c r="A35" i="10" l="1"/>
  <c r="B35" i="10" s="1"/>
  <c r="A34" i="10"/>
  <c r="B34" i="10" s="1"/>
  <c r="B3" i="56836"/>
  <c r="C19" i="56855"/>
  <c r="C18" i="56855"/>
  <c r="C17" i="56855"/>
  <c r="C16" i="56855"/>
  <c r="C15" i="56855"/>
  <c r="C14" i="56855"/>
  <c r="C13" i="56855"/>
  <c r="C12" i="56855"/>
  <c r="C11" i="56855"/>
  <c r="C10" i="56855"/>
  <c r="C9" i="56855"/>
  <c r="C8" i="56855"/>
  <c r="C7" i="56855"/>
  <c r="D7" i="56855" s="1"/>
  <c r="E7" i="56855" s="1"/>
  <c r="B8" i="56855" s="1"/>
  <c r="F5" i="56855"/>
  <c r="C3" i="56836"/>
  <c r="F7" i="56855"/>
  <c r="D8" i="56855" l="1"/>
  <c r="E8" i="56855" s="1"/>
  <c r="B9" i="56855" s="1"/>
  <c r="C6" i="56853"/>
  <c r="E6" i="56853" s="1"/>
  <c r="B7" i="56853" s="1"/>
  <c r="D21" i="56817"/>
  <c r="D20" i="56817"/>
  <c r="D19" i="56817"/>
  <c r="D18" i="56817"/>
  <c r="B10" i="56817"/>
  <c r="B11" i="56851"/>
  <c r="B11" i="56850"/>
  <c r="F17" i="56817"/>
  <c r="C11" i="56851"/>
  <c r="F6" i="56853"/>
  <c r="F6" i="56852"/>
  <c r="C10" i="56817"/>
  <c r="F10" i="56848"/>
  <c r="A18" i="56848"/>
  <c r="A14" i="56817"/>
  <c r="C3" i="56852"/>
  <c r="E18" i="8"/>
  <c r="F11" i="8"/>
  <c r="C7" i="56848"/>
  <c r="A7" i="56848"/>
  <c r="C13" i="56817"/>
  <c r="A23" i="56817"/>
  <c r="A12" i="56853"/>
  <c r="A12" i="56852"/>
  <c r="E9" i="6"/>
  <c r="C3" i="56853"/>
  <c r="E14" i="56817"/>
  <c r="E13" i="6"/>
  <c r="D9" i="56855" l="1"/>
  <c r="E9" i="56855" s="1"/>
  <c r="B10" i="56855" s="1"/>
  <c r="C7" i="56853"/>
  <c r="E7" i="56853" s="1"/>
  <c r="B8" i="56853" s="1"/>
  <c r="C6" i="56852"/>
  <c r="E6" i="56852" s="1"/>
  <c r="B7" i="56852" s="1"/>
  <c r="C7" i="56852" s="1"/>
  <c r="E7" i="56852" s="1"/>
  <c r="B8" i="56852" s="1"/>
  <c r="B10" i="56849"/>
  <c r="B5" i="56831"/>
  <c r="B13" i="56829"/>
  <c r="B14" i="56829"/>
  <c r="B15" i="56829"/>
  <c r="B12" i="56829"/>
  <c r="D10" i="56855" l="1"/>
  <c r="E10" i="56855" s="1"/>
  <c r="B11" i="56855" s="1"/>
  <c r="C8" i="56853"/>
  <c r="E8" i="56853" s="1"/>
  <c r="B9" i="56853" s="1"/>
  <c r="C8" i="56852"/>
  <c r="E8" i="56852" s="1"/>
  <c r="B9" i="56852" s="1"/>
  <c r="D11" i="56855" l="1"/>
  <c r="E11" i="56855" s="1"/>
  <c r="B12" i="56855" s="1"/>
  <c r="C9" i="56853"/>
  <c r="E9" i="56853" s="1"/>
  <c r="B10" i="56853" s="1"/>
  <c r="C9" i="56852"/>
  <c r="E9" i="56852" s="1"/>
  <c r="B10" i="56852" s="1"/>
  <c r="B10" i="56848"/>
  <c r="D10" i="56848" s="1"/>
  <c r="B5" i="56848"/>
  <c r="C15" i="56848" s="1"/>
  <c r="C5" i="56848"/>
  <c r="B5" i="56845"/>
  <c r="D12" i="56855" l="1"/>
  <c r="E12" i="56855" s="1"/>
  <c r="B13" i="56855" s="1"/>
  <c r="C10" i="56853"/>
  <c r="E10" i="56853" s="1"/>
  <c r="C10" i="56852"/>
  <c r="E10" i="56852" s="1"/>
  <c r="C10" i="56848"/>
  <c r="E10" i="56848" s="1"/>
  <c r="B11" i="56848" s="1"/>
  <c r="C12" i="56848"/>
  <c r="C13" i="56848"/>
  <c r="C11" i="56848"/>
  <c r="C14" i="56848"/>
  <c r="B9" i="56841"/>
  <c r="D13" i="56855" l="1"/>
  <c r="E13" i="56855"/>
  <c r="B14" i="56855" s="1"/>
  <c r="D11" i="56848"/>
  <c r="E11" i="56848" s="1"/>
  <c r="B12" i="56848" s="1"/>
  <c r="D14" i="56855" l="1"/>
  <c r="E14" i="56855" s="1"/>
  <c r="B15" i="56855" s="1"/>
  <c r="D12" i="56848"/>
  <c r="E12" i="56848" s="1"/>
  <c r="B13" i="56848" s="1"/>
  <c r="D15" i="56855" l="1"/>
  <c r="E15" i="56855"/>
  <c r="B16" i="56855" s="1"/>
  <c r="D13" i="56848"/>
  <c r="E13" i="56848" s="1"/>
  <c r="B14" i="56848" s="1"/>
  <c r="B3" i="56844"/>
  <c r="F6" i="56844" s="1"/>
  <c r="B14" i="56826"/>
  <c r="F11" i="56840"/>
  <c r="F10" i="56840"/>
  <c r="C7" i="56836"/>
  <c r="D7" i="56836" s="1"/>
  <c r="C8" i="56836"/>
  <c r="C9" i="56836"/>
  <c r="C10" i="56836"/>
  <c r="C11" i="56836"/>
  <c r="C12" i="56836"/>
  <c r="C13" i="56836"/>
  <c r="C14" i="56836"/>
  <c r="C15" i="56836"/>
  <c r="C16" i="56836"/>
  <c r="C17" i="56836"/>
  <c r="C18" i="56836"/>
  <c r="C19" i="56836"/>
  <c r="B18" i="8"/>
  <c r="C16" i="6"/>
  <c r="B11" i="56835"/>
  <c r="B9" i="56834"/>
  <c r="B5" i="56832"/>
  <c r="B11" i="56829"/>
  <c r="B7" i="56829"/>
  <c r="B4" i="56830"/>
  <c r="B11" i="56828"/>
  <c r="B12" i="56828" s="1"/>
  <c r="B13" i="56828" s="1"/>
  <c r="B14" i="56828" s="1"/>
  <c r="B15" i="56828" s="1"/>
  <c r="B7" i="56828"/>
  <c r="B6" i="56828"/>
  <c r="C5" i="56827"/>
  <c r="C6" i="56827"/>
  <c r="C7" i="56827"/>
  <c r="C8" i="56827"/>
  <c r="C9" i="56827"/>
  <c r="A12" i="56827"/>
  <c r="B13" i="56827"/>
  <c r="B13" i="56826"/>
  <c r="C5" i="56826"/>
  <c r="C6" i="56826"/>
  <c r="C7" i="56826"/>
  <c r="C8" i="56826"/>
  <c r="C9" i="56826"/>
  <c r="A12" i="56826"/>
  <c r="B5" i="56821"/>
  <c r="B11" i="56821" s="1"/>
  <c r="B7" i="56821"/>
  <c r="C5" i="56820"/>
  <c r="C6" i="56820"/>
  <c r="C7" i="56820"/>
  <c r="C8" i="56820"/>
  <c r="C9" i="56820"/>
  <c r="B26" i="10"/>
  <c r="B27" i="10"/>
  <c r="B28" i="10"/>
  <c r="B29" i="10"/>
  <c r="B30" i="10"/>
  <c r="B31" i="10"/>
  <c r="B32" i="10"/>
  <c r="B33" i="10"/>
  <c r="B25" i="10"/>
  <c r="B31" i="4"/>
  <c r="B17" i="56817"/>
  <c r="D17" i="56817"/>
  <c r="F4" i="12"/>
  <c r="B13" i="12"/>
  <c r="C5" i="6"/>
  <c r="D5" i="6" s="1"/>
  <c r="B6" i="6" s="1"/>
  <c r="C6" i="6" s="1"/>
  <c r="D6" i="6" s="1"/>
  <c r="B7" i="6" s="1"/>
  <c r="C7" i="6" s="1"/>
  <c r="D7" i="6" s="1"/>
  <c r="B8" i="6" s="1"/>
  <c r="C8" i="6" s="1"/>
  <c r="D8" i="6" s="1"/>
  <c r="B9" i="6" s="1"/>
  <c r="C9" i="6" s="1"/>
  <c r="D9" i="6" s="1"/>
  <c r="B10" i="6" s="1"/>
  <c r="C10" i="6" s="1"/>
  <c r="D10" i="6" s="1"/>
  <c r="B11" i="6" s="1"/>
  <c r="C11" i="6" s="1"/>
  <c r="D11" i="6" s="1"/>
  <c r="B12" i="6" s="1"/>
  <c r="C12" i="6" s="1"/>
  <c r="D12" i="6" s="1"/>
  <c r="B13" i="6" s="1"/>
  <c r="C13" i="6" s="1"/>
  <c r="D13" i="6" s="1"/>
  <c r="B14" i="6" s="1"/>
  <c r="C14" i="6" s="1"/>
  <c r="D14" i="6" s="1"/>
  <c r="C9" i="8"/>
  <c r="C10" i="8" s="1"/>
  <c r="D7" i="8"/>
  <c r="E7" i="8" s="1"/>
  <c r="B8" i="8" s="1"/>
  <c r="D8" i="8" s="1"/>
  <c r="E8" i="8" s="1"/>
  <c r="B9" i="8" s="1"/>
  <c r="D9" i="8" s="1"/>
  <c r="E9" i="8" s="1"/>
  <c r="B10" i="8" s="1"/>
  <c r="B5" i="10"/>
  <c r="B6" i="10" s="1"/>
  <c r="B7" i="10"/>
  <c r="B30" i="4"/>
  <c r="B3" i="4"/>
  <c r="H5" i="4" s="1"/>
  <c r="B13" i="56822"/>
  <c r="C4" i="56822"/>
  <c r="C5" i="56822"/>
  <c r="C6" i="56822"/>
  <c r="C7" i="56822"/>
  <c r="C8" i="56822"/>
  <c r="C9" i="56822"/>
  <c r="A12" i="56822"/>
  <c r="C5" i="56842"/>
  <c r="B6" i="56845"/>
  <c r="F5" i="56836"/>
  <c r="C5" i="56832"/>
  <c r="F7" i="8"/>
  <c r="C4" i="56842"/>
  <c r="F7" i="56836"/>
  <c r="C18" i="8"/>
  <c r="G4" i="12"/>
  <c r="D5" i="56820"/>
  <c r="I5" i="4"/>
  <c r="C13" i="12"/>
  <c r="C31" i="4"/>
  <c r="B7" i="56845"/>
  <c r="C3" i="4"/>
  <c r="E5" i="6"/>
  <c r="E6" i="6"/>
  <c r="D11" i="56820"/>
  <c r="D6" i="56820"/>
  <c r="F8" i="8"/>
  <c r="D16" i="6"/>
  <c r="C30" i="4"/>
  <c r="C9" i="56834"/>
  <c r="C11" i="56835"/>
  <c r="C11" i="56820" l="1"/>
  <c r="D16" i="56855"/>
  <c r="E16" i="56855" s="1"/>
  <c r="B17" i="56855" s="1"/>
  <c r="E7" i="56836"/>
  <c r="B8" i="56836" s="1"/>
  <c r="C17" i="56817"/>
  <c r="E17" i="56817" s="1"/>
  <c r="B18" i="56817" s="1"/>
  <c r="C18" i="56817" s="1"/>
  <c r="E18" i="56817" s="1"/>
  <c r="B19" i="56817" s="1"/>
  <c r="B12" i="56827"/>
  <c r="B17" i="56829"/>
  <c r="D14" i="56848"/>
  <c r="E14" i="56848" s="1"/>
  <c r="B15" i="56848" s="1"/>
  <c r="B12" i="56822"/>
  <c r="B12" i="56826"/>
  <c r="B17" i="56828"/>
  <c r="D10" i="8"/>
  <c r="E10" i="8" s="1"/>
  <c r="B11" i="8" s="1"/>
  <c r="C11" i="8"/>
  <c r="D17" i="56855" l="1"/>
  <c r="E17" i="56855"/>
  <c r="B18" i="56855" s="1"/>
  <c r="D8" i="56836"/>
  <c r="C19" i="56817"/>
  <c r="E19" i="56817" s="1"/>
  <c r="B20" i="56817" s="1"/>
  <c r="C20" i="56817" s="1"/>
  <c r="E20" i="56817" s="1"/>
  <c r="B21" i="56817" s="1"/>
  <c r="D15" i="56848"/>
  <c r="E15" i="56848" s="1"/>
  <c r="B16" i="56848" s="1"/>
  <c r="D11" i="8"/>
  <c r="E11" i="8" s="1"/>
  <c r="B12" i="8" s="1"/>
  <c r="C12" i="8"/>
  <c r="D18" i="56855" l="1"/>
  <c r="E18" i="56855" s="1"/>
  <c r="B19" i="56855" s="1"/>
  <c r="E8" i="56836"/>
  <c r="B9" i="56836" s="1"/>
  <c r="C21" i="56817"/>
  <c r="E21" i="56817" s="1"/>
  <c r="C13" i="8"/>
  <c r="D12" i="8"/>
  <c r="E12" i="8" s="1"/>
  <c r="B13" i="8" s="1"/>
  <c r="D19" i="56855" l="1"/>
  <c r="E19" i="56855"/>
  <c r="D9" i="56836"/>
  <c r="E9" i="56836" s="1"/>
  <c r="B10" i="56836" s="1"/>
  <c r="D10" i="56836" s="1"/>
  <c r="E10" i="56836" s="1"/>
  <c r="C14" i="8"/>
  <c r="D13" i="8"/>
  <c r="E13" i="8" s="1"/>
  <c r="B14" i="8" s="1"/>
  <c r="B11" i="56836" l="1"/>
  <c r="D14" i="8"/>
  <c r="E14" i="8" s="1"/>
  <c r="B15" i="8" s="1"/>
  <c r="C15" i="8"/>
  <c r="D11" i="56836" l="1"/>
  <c r="E11" i="56836" s="1"/>
  <c r="C16" i="8"/>
  <c r="D15" i="8"/>
  <c r="E15" i="8" s="1"/>
  <c r="B16" i="8" s="1"/>
  <c r="B12" i="56836" l="1"/>
  <c r="D16" i="8"/>
  <c r="E16" i="8" s="1"/>
  <c r="D12" i="56836" l="1"/>
  <c r="E12" i="56836" s="1"/>
  <c r="B13" i="56836" l="1"/>
  <c r="D13" i="56836" l="1"/>
  <c r="E13" i="56836" s="1"/>
  <c r="B14" i="56836" l="1"/>
  <c r="D14" i="56836" l="1"/>
  <c r="E14" i="56836" s="1"/>
  <c r="B15" i="56836" l="1"/>
  <c r="D15" i="56836" l="1"/>
  <c r="E15" i="56836" s="1"/>
  <c r="B16" i="56836" l="1"/>
  <c r="D16" i="56836" l="1"/>
  <c r="E16" i="56836" s="1"/>
  <c r="B17" i="56836" l="1"/>
  <c r="D17" i="56836" l="1"/>
  <c r="E17" i="56836" s="1"/>
  <c r="B18" i="56836" l="1"/>
  <c r="D18" i="56836" l="1"/>
  <c r="E18" i="56836" s="1"/>
  <c r="B19" i="56836" l="1"/>
  <c r="D19" i="56836" l="1"/>
  <c r="E19" i="56836" s="1"/>
</calcChain>
</file>

<file path=xl/sharedStrings.xml><?xml version="1.0" encoding="utf-8"?>
<sst xmlns="http://schemas.openxmlformats.org/spreadsheetml/2006/main" count="239" uniqueCount="124">
  <si>
    <t>Discount rate</t>
  </si>
  <si>
    <t>Present value</t>
  </si>
  <si>
    <t>Year</t>
  </si>
  <si>
    <t>IRR</t>
  </si>
  <si>
    <t>NPV</t>
  </si>
  <si>
    <t>Interest</t>
  </si>
  <si>
    <t>DATA TABLE</t>
  </si>
  <si>
    <t>Identifying the two IRRs</t>
  </si>
  <si>
    <t>First IRR</t>
  </si>
  <si>
    <t>Second IRR</t>
  </si>
  <si>
    <t>A simpler way</t>
  </si>
  <si>
    <t>Future value</t>
  </si>
  <si>
    <t>A RETIREMENT PROBLEM</t>
  </si>
  <si>
    <t>Annual deposit</t>
  </si>
  <si>
    <t>Interest rate</t>
  </si>
  <si>
    <t>Number of compounding periods per year</t>
  </si>
  <si>
    <t>Interest per compounding period</t>
  </si>
  <si>
    <t>Accretion in one year</t>
  </si>
  <si>
    <r>
      <t xml:space="preserve">Continuous compounding with </t>
    </r>
    <r>
      <rPr>
        <b/>
        <sz val="10"/>
        <rFont val="Arial"/>
        <family val="2"/>
      </rPr>
      <t>Exp</t>
    </r>
  </si>
  <si>
    <t>Initial deposit</t>
  </si>
  <si>
    <t>Cash flow</t>
  </si>
  <si>
    <t>Number of compounding periods</t>
  </si>
  <si>
    <t>Implied annual interest rate</t>
  </si>
  <si>
    <t>End-of-year value</t>
  </si>
  <si>
    <t>Continuous return</t>
  </si>
  <si>
    <t>Loan principal</t>
  </si>
  <si>
    <t>Loan term</t>
  </si>
  <si>
    <t>&lt;-- Number of years over which loan is repaid</t>
  </si>
  <si>
    <t>Annual payment</t>
  </si>
  <si>
    <t>Split payment into:</t>
  </si>
  <si>
    <t>Net present value</t>
  </si>
  <si>
    <t>IRR?</t>
  </si>
  <si>
    <t>MULTIPLE INTERNAL RATES OF RETURN</t>
  </si>
  <si>
    <t>FLAT PAYMENT SCHEDULES</t>
  </si>
  <si>
    <t>SIMPLE FUTURE VALUE</t>
  </si>
  <si>
    <t>FUTURE VALUE WITH ANNUAL DEPOSITS</t>
  </si>
  <si>
    <t>MULTIPLE COMPOUNDING PERIODS</t>
  </si>
  <si>
    <t>Annual retirement withdrawal</t>
  </si>
  <si>
    <t>INTERNAL RATE OF RETURN</t>
  </si>
  <si>
    <t>Cash flow
at end of year</t>
  </si>
  <si>
    <t>Income</t>
  </si>
  <si>
    <t>Return of
principal</t>
  </si>
  <si>
    <t>Investment at beginning of year</t>
  </si>
  <si>
    <t>Discount
rate</t>
  </si>
  <si>
    <t>Payment at
end of year</t>
  </si>
  <si>
    <t>Compounding periods per year</t>
  </si>
  <si>
    <t>End-year
accretion</t>
  </si>
  <si>
    <t>Continously
discounted PV</t>
  </si>
  <si>
    <t>CALCULATING RETURNS FROM PRICES</t>
  </si>
  <si>
    <t>Implied annual interest rate with n compounding periods</t>
  </si>
  <si>
    <t>Rate</t>
  </si>
  <si>
    <t>COMPUTING THE NET PRESENT VALUE</t>
  </si>
  <si>
    <t xml:space="preserve">     Using Excel's NPV function</t>
  </si>
  <si>
    <t>Net present value (NPV)</t>
  </si>
  <si>
    <t>COMPUTING THE PRESENT VALUE</t>
  </si>
  <si>
    <t xml:space="preserve">     Using Excel's PV function</t>
  </si>
  <si>
    <t>Number of future periods paid, n</t>
  </si>
  <si>
    <t>Discount rate, r</t>
  </si>
  <si>
    <t>Present value of annuity</t>
  </si>
  <si>
    <t xml:space="preserve">     Using formula</t>
  </si>
  <si>
    <t>First payment, C</t>
  </si>
  <si>
    <t>Growth rate of payments, g</t>
  </si>
  <si>
    <t>Period</t>
  </si>
  <si>
    <t>Periodic payment, C</t>
  </si>
  <si>
    <t>&lt;-- Starting at date 1</t>
  </si>
  <si>
    <t>USING EXCEL'S RATE FUNCTION TO COMPUTE THE IRR</t>
  </si>
  <si>
    <t>Initial investment</t>
  </si>
  <si>
    <t>Periodic cash flow</t>
  </si>
  <si>
    <t>Number of payments</t>
  </si>
  <si>
    <t>CONTINUOUS DISCOUNTING</t>
  </si>
  <si>
    <t>USING XIRR TO COMPUTE THE ANNUALIZED INTERNAL RATE OF RETURN</t>
  </si>
  <si>
    <t>Date</t>
  </si>
  <si>
    <t>USING XNPV TO COMPUTE THE NET PRESENT VALUE</t>
  </si>
  <si>
    <t>Annual discount rate</t>
  </si>
  <si>
    <r>
      <t xml:space="preserve">COMPUTING THE PRESENT VALUE
</t>
    </r>
    <r>
      <rPr>
        <b/>
        <sz val="11"/>
        <rFont val="Arial"/>
        <family val="2"/>
      </rPr>
      <t>In this example the cash flows are not equal
Either discount each cash flow separately or use Excel's NPV function
Excel's PV doesn't work for this case</t>
    </r>
  </si>
  <si>
    <t>Number of deposits</t>
  </si>
  <si>
    <t>Deposits made</t>
  </si>
  <si>
    <t>Withdrawals at beginning of year</t>
  </si>
  <si>
    <t>Annual withdrawal</t>
  </si>
  <si>
    <t>Future value of deposits</t>
  </si>
  <si>
    <t>Present value of withdrawals
to end of year 3</t>
  </si>
  <si>
    <r>
      <t xml:space="preserve">Note that </t>
    </r>
    <r>
      <rPr>
        <b/>
        <sz val="10"/>
        <rFont val="Arial"/>
        <family val="2"/>
      </rPr>
      <t>XNPV</t>
    </r>
    <r>
      <rPr>
        <sz val="10"/>
        <rFont val="Arial"/>
        <family val="2"/>
      </rPr>
      <t xml:space="preserve"> has a different syntax from  </t>
    </r>
    <r>
      <rPr>
        <b/>
        <sz val="10"/>
        <rFont val="Arial"/>
        <family val="2"/>
      </rPr>
      <t>NPV</t>
    </r>
    <r>
      <rPr>
        <b/>
        <sz val="8"/>
        <rFont val="Arial"/>
        <family val="2"/>
      </rPr>
      <t xml:space="preserve"> </t>
    </r>
    <r>
      <rPr>
        <sz val="14"/>
        <rFont val="Arial"/>
        <family val="2"/>
      </rPr>
      <t>!</t>
    </r>
    <r>
      <rPr>
        <sz val="10"/>
        <rFont val="Arial"/>
        <family val="2"/>
      </rPr>
      <t xml:space="preserve">     
</t>
    </r>
    <r>
      <rPr>
        <b/>
        <sz val="10"/>
        <rFont val="Arial"/>
        <family val="2"/>
      </rPr>
      <t>XNPV</t>
    </r>
    <r>
      <rPr>
        <sz val="10"/>
        <rFont val="Arial"/>
        <family val="2"/>
      </rPr>
      <t xml:space="preserve"> requires all the cash flows, including the initial cash flow, whereas </t>
    </r>
    <r>
      <rPr>
        <b/>
        <sz val="10"/>
        <rFont val="Arial"/>
        <family val="2"/>
      </rPr>
      <t>NPV</t>
    </r>
    <r>
      <rPr>
        <sz val="10"/>
        <rFont val="Arial"/>
        <family val="2"/>
      </rPr>
      <t xml:space="preserve"> assumes that the first cash flow occurs one period hence.</t>
    </r>
  </si>
  <si>
    <r>
      <t xml:space="preserve">PROBLEM WITH XNPV
</t>
    </r>
    <r>
      <rPr>
        <b/>
        <sz val="12"/>
        <rFont val="Arial"/>
        <family val="2"/>
      </rPr>
      <t>XNPV does not work with zero or negative discount rates</t>
    </r>
  </si>
  <si>
    <t>Data table:  XNPV as function of discount rate</t>
  </si>
  <si>
    <t>NXIRR FIXES THE XIRR BUG</t>
  </si>
  <si>
    <t>Years of deposit</t>
  </si>
  <si>
    <t>Years of withdrawal</t>
  </si>
  <si>
    <t>Present value of withdrawals</t>
  </si>
  <si>
    <r>
      <t xml:space="preserve">     Using Excel's </t>
    </r>
    <r>
      <rPr>
        <b/>
        <sz val="11"/>
        <rFont val="Arial"/>
        <family val="2"/>
      </rPr>
      <t>PV</t>
    </r>
    <r>
      <rPr>
        <sz val="11"/>
        <rFont val="Arial"/>
        <family val="2"/>
      </rPr>
      <t xml:space="preserve"> function</t>
    </r>
  </si>
  <si>
    <r>
      <t xml:space="preserve">Present value using Excel's </t>
    </r>
    <r>
      <rPr>
        <b/>
        <sz val="11"/>
        <rFont val="Arial"/>
        <family val="2"/>
      </rPr>
      <t>NPV</t>
    </r>
    <r>
      <rPr>
        <sz val="11"/>
        <rFont val="Arial"/>
        <family val="2"/>
      </rPr>
      <t xml:space="preserve"> function</t>
    </r>
  </si>
  <si>
    <t>COMPUTING THE VALUE OF A FINITE GROWING ANNUITY</t>
  </si>
  <si>
    <t>BOND CASH FLOWS:  NPV CROSSES X-AXIS ONLY ONCE, SO THERE IS ONLY ONE IRR</t>
  </si>
  <si>
    <t>Annuity payment</t>
  </si>
  <si>
    <t>COMPUTING THE VALUE OF A GROWING PERPETUITY (AN INFINITE GROWING ANNUITY)</t>
  </si>
  <si>
    <t>COMPUTING THE INTERNAL RATE OF RETURN</t>
  </si>
  <si>
    <t xml:space="preserve">Discount rate (r) </t>
  </si>
  <si>
    <t>Investment at end of year</t>
  </si>
  <si>
    <t>The remaining investment principal in the year after the last cash flow is zero, indicating that all the principal has been repaid.</t>
  </si>
  <si>
    <t>USING THE IRR IN AN INVESTMENT TABLE</t>
  </si>
  <si>
    <t>USING THE INVESTMENT TABLE TO FIND IRR</t>
  </si>
  <si>
    <t>The investment value at the end is negative!</t>
  </si>
  <si>
    <t>The investment value at the end is zero</t>
  </si>
  <si>
    <r>
      <t xml:space="preserve">Data table:  </t>
    </r>
    <r>
      <rPr>
        <sz val="11"/>
        <rFont val="Arial"/>
        <family val="2"/>
      </rPr>
      <t>Effect of discount rate on NPV</t>
    </r>
  </si>
  <si>
    <t>Principal at beginning of year</t>
  </si>
  <si>
    <t>Account balance, beginning of year</t>
  </si>
  <si>
    <t>Interest earned during year</t>
  </si>
  <si>
    <t>Total in account, end of year</t>
  </si>
  <si>
    <t>Deposit at beginning of year</t>
  </si>
  <si>
    <t>Total in account, end year</t>
  </si>
  <si>
    <r>
      <t xml:space="preserve">&lt;-- Made today </t>
    </r>
    <r>
      <rPr>
        <b/>
        <u/>
        <sz val="10"/>
        <rFont val="Arial"/>
        <family val="2"/>
      </rPr>
      <t>and</t>
    </r>
    <r>
      <rPr>
        <sz val="10"/>
        <rFont val="Arial"/>
        <family val="2"/>
      </rPr>
      <t xml:space="preserve"> at beginning of each of next 9 years</t>
    </r>
  </si>
  <si>
    <r>
      <t>Note</t>
    </r>
    <r>
      <rPr>
        <sz val="11"/>
        <rFont val="Arial"/>
        <family val="2"/>
      </rPr>
      <t>:  This problem has 5 deposits and 8 annual withdrawals, all made at the beginning of the year. The beginning of year 13 is the last year of the retirement plan; if the annual deposit is correctly computed, the balance at the beginnig (and end) of year 13 after the withdrawal should be zero.</t>
    </r>
  </si>
  <si>
    <t>Check:</t>
  </si>
  <si>
    <t>A RETIREMENT PROBLEM - USING FINANCIAL FORMULAS</t>
  </si>
  <si>
    <t>A RETIREMENT PROBLEM - BASICS</t>
  </si>
  <si>
    <t>Using XNPV</t>
  </si>
  <si>
    <t>Using NXNPV</t>
  </si>
  <si>
    <t>No Guess</t>
  </si>
  <si>
    <t>Guess = 35%</t>
  </si>
  <si>
    <t>Guess = 5%</t>
  </si>
  <si>
    <r>
      <t xml:space="preserve">PROBLEMS WITH XIRR - </t>
    </r>
    <r>
      <rPr>
        <b/>
        <sz val="12"/>
        <rFont val="Arial"/>
        <family val="2"/>
      </rPr>
      <t>XIRR cannot be calculated when there are multiple IRRs</t>
    </r>
  </si>
  <si>
    <t>COMPUTING THE VALUE OF AN ANNUITY</t>
  </si>
  <si>
    <r>
      <t xml:space="preserve">THE VALUE OF A PERPETUITY </t>
    </r>
    <r>
      <rPr>
        <b/>
        <sz val="11"/>
        <rFont val="Arial"/>
        <family val="2"/>
      </rPr>
      <t>(AN INFINITE ANNUITY)</t>
    </r>
  </si>
  <si>
    <t>Internal rate or return (IRR)</t>
  </si>
  <si>
    <r>
      <t>Note</t>
    </r>
    <r>
      <rPr>
        <sz val="11"/>
        <rFont val="Arial"/>
        <family val="2"/>
      </rPr>
      <t>:  This problem has 5 deposits and 8 annual withdrawals, all made at the beginning of the year. The beginning of year 13 is the last year of the retirement plan; if the annual deposit is correctly computed, the balance at the beginning (and end) of year 13 after the withdrawal should be zero.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</si>
</sst>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3" formatCode="_(* #,##0.00_);_(* \(#,##0.00\);_(* &quot;-&quot;??_);_(@_)"/>
    <numFmt numFmtId="164" formatCode="0.0%"/>
    <numFmt numFmtId="165" formatCode="0.000%"/>
    <numFmt numFmtId="166" formatCode="0.0000"/>
    <numFmt numFmtId="167" formatCode="0.000"/>
    <numFmt numFmtId="168" formatCode="0.0000000000"/>
    <numFmt numFmtId="169" formatCode="#,##0.000"/>
  </numFmts>
  <fonts count="1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7" fillId="0" borderId="0" applyNumberFormat="0" applyAlignment="0"/>
    <xf numFmtId="43" fontId="2" fillId="0" borderId="0" applyFont="0" applyFill="0" applyBorder="0" applyAlignment="0" applyProtection="0"/>
    <xf numFmtId="38" fontId="7" fillId="2" borderId="0" applyNumberFormat="0" applyBorder="0" applyAlignment="0" applyProtection="0"/>
    <xf numFmtId="0" fontId="8" fillId="0" borderId="1" applyNumberFormat="0" applyAlignment="0" applyProtection="0">
      <alignment horizontal="left" vertical="center"/>
    </xf>
    <xf numFmtId="0" fontId="8" fillId="0" borderId="2">
      <alignment horizontal="left" vertical="center"/>
    </xf>
    <xf numFmtId="10" fontId="7" fillId="3" borderId="3" applyNumberFormat="0" applyBorder="0" applyAlignment="0" applyProtection="0"/>
    <xf numFmtId="168" fontId="2" fillId="0" borderId="0"/>
    <xf numFmtId="9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0" fontId="2" fillId="0" borderId="0"/>
  </cellStyleXfs>
  <cellXfs count="135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/>
    <xf numFmtId="8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Continuous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right"/>
    </xf>
    <xf numFmtId="9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right"/>
    </xf>
    <xf numFmtId="9" fontId="0" fillId="0" borderId="8" xfId="0" applyNumberFormat="1" applyBorder="1" applyAlignment="1">
      <alignment horizontal="center"/>
    </xf>
    <xf numFmtId="2" fontId="0" fillId="0" borderId="9" xfId="0" applyNumberFormat="1" applyBorder="1" applyAlignment="1">
      <alignment horizontal="right"/>
    </xf>
    <xf numFmtId="10" fontId="0" fillId="0" borderId="0" xfId="8" applyNumberFormat="1" applyFont="1"/>
    <xf numFmtId="2" fontId="0" fillId="0" borderId="0" xfId="0" applyNumberFormat="1"/>
    <xf numFmtId="10" fontId="0" fillId="0" borderId="0" xfId="0" applyNumberFormat="1"/>
    <xf numFmtId="0" fontId="5" fillId="0" borderId="0" xfId="0" applyFont="1" applyAlignment="1">
      <alignment horizontal="center"/>
    </xf>
    <xf numFmtId="3" fontId="0" fillId="0" borderId="0" xfId="0" applyNumberFormat="1"/>
    <xf numFmtId="165" fontId="0" fillId="0" borderId="0" xfId="8" applyNumberFormat="1" applyFont="1"/>
    <xf numFmtId="40" fontId="0" fillId="0" borderId="0" xfId="0" applyNumberFormat="1"/>
    <xf numFmtId="0" fontId="5" fillId="0" borderId="0" xfId="0" applyFont="1" applyAlignment="1">
      <alignment horizontal="right"/>
    </xf>
    <xf numFmtId="0" fontId="5" fillId="0" borderId="0" xfId="0" applyFont="1"/>
    <xf numFmtId="168" fontId="0" fillId="0" borderId="0" xfId="0" applyNumberFormat="1"/>
    <xf numFmtId="0" fontId="8" fillId="0" borderId="0" xfId="0" applyFont="1"/>
    <xf numFmtId="167" fontId="0" fillId="0" borderId="0" xfId="0" applyNumberFormat="1"/>
    <xf numFmtId="0" fontId="5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0" xfId="0" applyFont="1"/>
    <xf numFmtId="4" fontId="0" fillId="0" borderId="0" xfId="2" applyNumberFormat="1" applyFont="1" applyAlignment="1">
      <alignment horizontal="center"/>
    </xf>
    <xf numFmtId="4" fontId="0" fillId="0" borderId="0" xfId="0" applyNumberFormat="1" applyAlignment="1">
      <alignment horizontal="right"/>
    </xf>
    <xf numFmtId="0" fontId="1" fillId="0" borderId="0" xfId="0" applyFont="1" applyAlignment="1">
      <alignment horizontal="center" wrapText="1"/>
    </xf>
    <xf numFmtId="10" fontId="2" fillId="0" borderId="0" xfId="8" applyNumberFormat="1"/>
    <xf numFmtId="0" fontId="6" fillId="0" borderId="0" xfId="0" applyFont="1" applyAlignment="1"/>
    <xf numFmtId="0" fontId="8" fillId="0" borderId="0" xfId="0" applyFont="1" applyAlignment="1"/>
    <xf numFmtId="0" fontId="5" fillId="0" borderId="0" xfId="0" applyFont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166" fontId="0" fillId="0" borderId="0" xfId="0" applyNumberFormat="1"/>
    <xf numFmtId="0" fontId="4" fillId="0" borderId="0" xfId="0" applyFont="1" applyAlignment="1">
      <alignment horizontal="right"/>
    </xf>
    <xf numFmtId="166" fontId="0" fillId="0" borderId="0" xfId="0" applyNumberFormat="1" applyAlignment="1">
      <alignment horizontal="right"/>
    </xf>
    <xf numFmtId="169" fontId="0" fillId="0" borderId="0" xfId="0" applyNumberFormat="1"/>
    <xf numFmtId="169" fontId="0" fillId="0" borderId="0" xfId="0" applyNumberFormat="1" applyAlignment="1">
      <alignment horizontal="left" indent="2"/>
    </xf>
    <xf numFmtId="15" fontId="0" fillId="0" borderId="0" xfId="0" applyNumberFormat="1" applyAlignment="1">
      <alignment horizontal="center"/>
    </xf>
    <xf numFmtId="0" fontId="4" fillId="0" borderId="0" xfId="0" applyFont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2" fontId="0" fillId="0" borderId="0" xfId="0" applyNumberFormat="1" applyAlignment="1">
      <alignment horizontal="right"/>
    </xf>
    <xf numFmtId="0" fontId="5" fillId="0" borderId="0" xfId="0" applyFont="1" applyAlignment="1">
      <alignment horizontal="center" vertical="center" wrapText="1"/>
    </xf>
    <xf numFmtId="0" fontId="10" fillId="0" borderId="0" xfId="10" applyFont="1"/>
    <xf numFmtId="0" fontId="2" fillId="0" borderId="0" xfId="10"/>
    <xf numFmtId="10" fontId="2" fillId="0" borderId="0" xfId="10" applyNumberFormat="1"/>
    <xf numFmtId="0" fontId="5" fillId="0" borderId="0" xfId="10" applyFont="1" applyAlignment="1">
      <alignment horizontal="center"/>
    </xf>
    <xf numFmtId="0" fontId="5" fillId="0" borderId="0" xfId="10" applyFont="1"/>
    <xf numFmtId="15" fontId="2" fillId="0" borderId="0" xfId="10" applyNumberFormat="1" applyAlignment="1">
      <alignment horizontal="center"/>
    </xf>
    <xf numFmtId="164" fontId="2" fillId="0" borderId="0" xfId="10" applyNumberFormat="1"/>
    <xf numFmtId="3" fontId="2" fillId="0" borderId="0" xfId="10" applyNumberFormat="1"/>
    <xf numFmtId="0" fontId="6" fillId="0" borderId="0" xfId="0" applyFont="1" applyAlignment="1">
      <alignment wrapText="1"/>
    </xf>
    <xf numFmtId="0" fontId="12" fillId="0" borderId="0" xfId="0" applyFont="1"/>
    <xf numFmtId="3" fontId="12" fillId="0" borderId="0" xfId="0" applyNumberFormat="1" applyFont="1"/>
    <xf numFmtId="9" fontId="12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wrapText="1"/>
    </xf>
    <xf numFmtId="0" fontId="12" fillId="0" borderId="0" xfId="0" applyFont="1" applyAlignment="1">
      <alignment horizontal="center"/>
    </xf>
    <xf numFmtId="4" fontId="12" fillId="0" borderId="0" xfId="0" applyNumberFormat="1" applyFont="1"/>
    <xf numFmtId="9" fontId="12" fillId="0" borderId="0" xfId="8" applyFont="1"/>
    <xf numFmtId="0" fontId="9" fillId="0" borderId="0" xfId="0" applyFont="1"/>
    <xf numFmtId="0" fontId="9" fillId="0" borderId="0" xfId="0" applyFont="1" applyAlignment="1">
      <alignment horizontal="center" vertical="center" wrapText="1"/>
    </xf>
    <xf numFmtId="0" fontId="12" fillId="0" borderId="0" xfId="0" applyNumberFormat="1" applyFont="1" applyFill="1"/>
    <xf numFmtId="0" fontId="12" fillId="0" borderId="0" xfId="0" applyNumberFormat="1" applyFont="1"/>
    <xf numFmtId="164" fontId="2" fillId="0" borderId="0" xfId="10" applyNumberFormat="1" applyAlignment="1">
      <alignment horizontal="center"/>
    </xf>
    <xf numFmtId="169" fontId="2" fillId="0" borderId="0" xfId="10" applyNumberFormat="1"/>
    <xf numFmtId="0" fontId="0" fillId="5" borderId="0" xfId="0" applyFill="1"/>
    <xf numFmtId="2" fontId="0" fillId="5" borderId="0" xfId="0" applyNumberFormat="1" applyFill="1"/>
    <xf numFmtId="4" fontId="0" fillId="5" borderId="0" xfId="0" applyNumberFormat="1" applyFill="1"/>
    <xf numFmtId="0" fontId="12" fillId="5" borderId="0" xfId="0" applyFont="1" applyFill="1"/>
    <xf numFmtId="4" fontId="12" fillId="5" borderId="0" xfId="0" applyNumberFormat="1" applyFont="1" applyFill="1"/>
    <xf numFmtId="10" fontId="0" fillId="5" borderId="0" xfId="0" applyNumberFormat="1" applyFill="1"/>
    <xf numFmtId="0" fontId="9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left"/>
    </xf>
    <xf numFmtId="10" fontId="2" fillId="0" borderId="0" xfId="0" applyNumberFormat="1" applyFont="1" applyAlignment="1">
      <alignment horizontal="center" wrapText="1"/>
    </xf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/>
    </xf>
    <xf numFmtId="4" fontId="0" fillId="5" borderId="0" xfId="2" applyNumberFormat="1" applyFont="1" applyFill="1" applyAlignment="1">
      <alignment horizontal="center"/>
    </xf>
    <xf numFmtId="165" fontId="0" fillId="5" borderId="0" xfId="0" applyNumberFormat="1" applyFill="1"/>
    <xf numFmtId="10" fontId="0" fillId="5" borderId="0" xfId="8" applyNumberFormat="1" applyFont="1" applyFill="1"/>
    <xf numFmtId="10" fontId="12" fillId="5" borderId="0" xfId="0" applyNumberFormat="1" applyFont="1" applyFill="1"/>
    <xf numFmtId="9" fontId="2" fillId="0" borderId="0" xfId="0" applyNumberFormat="1" applyFont="1"/>
    <xf numFmtId="4" fontId="0" fillId="0" borderId="13" xfId="0" applyNumberFormat="1" applyBorder="1" applyAlignment="1">
      <alignment horizontal="center"/>
    </xf>
    <xf numFmtId="40" fontId="0" fillId="5" borderId="0" xfId="0" applyNumberFormat="1" applyFill="1" applyAlignment="1">
      <alignment horizontal="right"/>
    </xf>
    <xf numFmtId="0" fontId="12" fillId="0" borderId="13" xfId="0" applyFont="1" applyBorder="1" applyAlignment="1">
      <alignment horizontal="center"/>
    </xf>
    <xf numFmtId="0" fontId="12" fillId="0" borderId="0" xfId="0" applyFont="1" applyAlignment="1">
      <alignment vertical="center" wrapText="1"/>
    </xf>
    <xf numFmtId="4" fontId="0" fillId="5" borderId="0" xfId="8" applyNumberFormat="1" applyFont="1" applyFill="1"/>
    <xf numFmtId="0" fontId="2" fillId="5" borderId="0" xfId="10" applyFill="1"/>
    <xf numFmtId="166" fontId="2" fillId="5" borderId="0" xfId="10" applyNumberFormat="1" applyFill="1"/>
    <xf numFmtId="4" fontId="2" fillId="5" borderId="0" xfId="10" applyNumberFormat="1" applyFill="1"/>
    <xf numFmtId="0" fontId="14" fillId="0" borderId="0" xfId="10" applyFont="1"/>
    <xf numFmtId="0" fontId="1" fillId="0" borderId="0" xfId="10" applyFont="1" applyAlignment="1">
      <alignment horizontal="center"/>
    </xf>
    <xf numFmtId="0" fontId="12" fillId="0" borderId="0" xfId="0" applyFont="1" applyAlignment="1">
      <alignment horizontal="center" wrapText="1"/>
    </xf>
    <xf numFmtId="0" fontId="2" fillId="5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 readingOrder="1"/>
    </xf>
    <xf numFmtId="0" fontId="13" fillId="0" borderId="14" xfId="0" applyFont="1" applyBorder="1" applyAlignment="1">
      <alignment horizontal="left" vertical="center" wrapText="1" readingOrder="1"/>
    </xf>
    <xf numFmtId="0" fontId="13" fillId="0" borderId="5" xfId="0" applyFont="1" applyBorder="1" applyAlignment="1">
      <alignment horizontal="left" vertical="center" wrapText="1" readingOrder="1"/>
    </xf>
    <xf numFmtId="0" fontId="13" fillId="0" borderId="6" xfId="0" applyFont="1" applyBorder="1" applyAlignment="1">
      <alignment horizontal="left" vertical="center" wrapText="1" readingOrder="1"/>
    </xf>
    <xf numFmtId="0" fontId="13" fillId="0" borderId="0" xfId="0" applyFont="1" applyBorder="1" applyAlignment="1">
      <alignment horizontal="left" vertical="center" wrapText="1" readingOrder="1"/>
    </xf>
    <xf numFmtId="0" fontId="13" fillId="0" borderId="7" xfId="0" applyFont="1" applyBorder="1" applyAlignment="1">
      <alignment horizontal="left" vertical="center" wrapText="1" readingOrder="1"/>
    </xf>
    <xf numFmtId="0" fontId="13" fillId="0" borderId="8" xfId="0" applyFont="1" applyBorder="1" applyAlignment="1">
      <alignment horizontal="left" vertical="center" wrapText="1" readingOrder="1"/>
    </xf>
    <xf numFmtId="0" fontId="13" fillId="0" borderId="15" xfId="0" applyFont="1" applyBorder="1" applyAlignment="1">
      <alignment horizontal="left" vertical="center" wrapText="1" readingOrder="1"/>
    </xf>
    <xf numFmtId="0" fontId="13" fillId="0" borderId="9" xfId="0" applyFont="1" applyBorder="1" applyAlignment="1">
      <alignment horizontal="left" vertical="center" wrapText="1" readingOrder="1"/>
    </xf>
    <xf numFmtId="0" fontId="8" fillId="0" borderId="0" xfId="0" applyFont="1" applyAlignment="1">
      <alignment horizontal="center"/>
    </xf>
    <xf numFmtId="0" fontId="13" fillId="0" borderId="16" xfId="0" applyFont="1" applyBorder="1" applyAlignment="1">
      <alignment horizontal="center" vertical="center" wrapText="1" readingOrder="1"/>
    </xf>
    <xf numFmtId="0" fontId="13" fillId="0" borderId="1" xfId="0" applyFont="1" applyBorder="1" applyAlignment="1">
      <alignment horizontal="center" vertical="center" wrapText="1" readingOrder="1"/>
    </xf>
    <xf numFmtId="0" fontId="13" fillId="0" borderId="17" xfId="0" applyFont="1" applyBorder="1" applyAlignment="1">
      <alignment horizontal="center" vertical="center" wrapText="1" readingOrder="1"/>
    </xf>
    <xf numFmtId="0" fontId="1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5" borderId="0" xfId="0" applyFont="1" applyFill="1" applyAlignment="1">
      <alignment horizontal="center"/>
    </xf>
    <xf numFmtId="0" fontId="9" fillId="0" borderId="0" xfId="0" applyFont="1" applyAlignment="1">
      <alignment horizontal="left" vertical="center" wrapText="1"/>
    </xf>
    <xf numFmtId="0" fontId="0" fillId="4" borderId="10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2" xfId="0" applyFill="1" applyBorder="1" applyAlignment="1">
      <alignment horizontal="center"/>
    </xf>
    <xf numFmtId="0" fontId="8" fillId="0" borderId="0" xfId="0" applyFont="1" applyAlignment="1">
      <alignment horizont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10" applyFont="1" applyAlignment="1">
      <alignment horizontal="center" vertical="center" wrapText="1"/>
    </xf>
    <xf numFmtId="0" fontId="6" fillId="0" borderId="0" xfId="10" applyFont="1" applyAlignment="1">
      <alignment horizontal="center" wrapText="1"/>
    </xf>
    <xf numFmtId="0" fontId="6" fillId="0" borderId="0" xfId="10" applyFont="1" applyAlignment="1">
      <alignment horizontal="center" vertical="center"/>
    </xf>
  </cellXfs>
  <cellStyles count="11">
    <cellStyle name="active" xfId="1" xr:uid="{00000000-0005-0000-0000-000000000000}"/>
    <cellStyle name="Comma" xfId="2" builtinId="3"/>
    <cellStyle name="Grey" xfId="3" xr:uid="{00000000-0005-0000-0000-000002000000}"/>
    <cellStyle name="Header1" xfId="4" xr:uid="{00000000-0005-0000-0000-000003000000}"/>
    <cellStyle name="Header2" xfId="5" xr:uid="{00000000-0005-0000-0000-000004000000}"/>
    <cellStyle name="Input [yellow]" xfId="6" xr:uid="{00000000-0005-0000-0000-000005000000}"/>
    <cellStyle name="Normal" xfId="0" builtinId="0"/>
    <cellStyle name="Normal - Style1" xfId="7" xr:uid="{00000000-0005-0000-0000-000007000000}"/>
    <cellStyle name="Normal 2" xfId="10" xr:uid="{00000000-0005-0000-0000-000008000000}"/>
    <cellStyle name="Percent" xfId="8" builtinId="5"/>
    <cellStyle name="Percent [2]" xfId="9" xr:uid="{00000000-0005-0000-0000-00000A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Two IRRs</a:t>
            </a:r>
          </a:p>
        </c:rich>
      </c:tx>
      <c:layout>
        <c:manualLayout>
          <c:xMode val="edge"/>
          <c:yMode val="edge"/>
          <c:x val="0.38265306122448978"/>
          <c:y val="3.9370078740157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622448979591838"/>
          <c:y val="0.18110236220472442"/>
          <c:w val="0.75510204081632648"/>
          <c:h val="0.7362204724409449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'Two IRRs'!$G$6:$G$19</c:f>
              <c:numCache>
                <c:formatCode>0%</c:formatCode>
                <c:ptCount val="14"/>
                <c:pt idx="0">
                  <c:v>0</c:v>
                </c:pt>
                <c:pt idx="1">
                  <c:v>0.03</c:v>
                </c:pt>
                <c:pt idx="2">
                  <c:v>0.06</c:v>
                </c:pt>
                <c:pt idx="3">
                  <c:v>0.09</c:v>
                </c:pt>
                <c:pt idx="4">
                  <c:v>0.12</c:v>
                </c:pt>
                <c:pt idx="5">
                  <c:v>0.15</c:v>
                </c:pt>
                <c:pt idx="6">
                  <c:v>0.18</c:v>
                </c:pt>
                <c:pt idx="7">
                  <c:v>0.21</c:v>
                </c:pt>
                <c:pt idx="8">
                  <c:v>0.24</c:v>
                </c:pt>
                <c:pt idx="9">
                  <c:v>0.27</c:v>
                </c:pt>
                <c:pt idx="10">
                  <c:v>0.3</c:v>
                </c:pt>
                <c:pt idx="11">
                  <c:v>0.33</c:v>
                </c:pt>
                <c:pt idx="12">
                  <c:v>0.36</c:v>
                </c:pt>
                <c:pt idx="13">
                  <c:v>0.39</c:v>
                </c:pt>
              </c:numCache>
            </c:numRef>
          </c:xVal>
          <c:yVal>
            <c:numRef>
              <c:f>'Two IRRs'!$H$6:$H$19</c:f>
              <c:numCache>
                <c:formatCode>0.00</c:formatCode>
                <c:ptCount val="14"/>
                <c:pt idx="0">
                  <c:v>-20</c:v>
                </c:pt>
                <c:pt idx="1">
                  <c:v>-10.507575424608092</c:v>
                </c:pt>
                <c:pt idx="2">
                  <c:v>-3.9854362682000044</c:v>
                </c:pt>
                <c:pt idx="3">
                  <c:v>0.24085647329212634</c:v>
                </c:pt>
                <c:pt idx="4">
                  <c:v>2.6925493400257778</c:v>
                </c:pt>
                <c:pt idx="5">
                  <c:v>3.7742340642815009</c:v>
                </c:pt>
                <c:pt idx="6">
                  <c:v>3.8011460077677839</c:v>
                </c:pt>
                <c:pt idx="7">
                  <c:v>3.0197000689104811</c:v>
                </c:pt>
                <c:pt idx="8">
                  <c:v>1.6230390485557962</c:v>
                </c:pt>
                <c:pt idx="9">
                  <c:v>-0.237122901511583</c:v>
                </c:pt>
                <c:pt idx="10">
                  <c:v>-2.4414276595572915</c:v>
                </c:pt>
                <c:pt idx="11">
                  <c:v>-4.895886047904952</c:v>
                </c:pt>
                <c:pt idx="12">
                  <c:v>-7.5264699851816204</c:v>
                </c:pt>
                <c:pt idx="13">
                  <c:v>-10.274907341794687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00-4FA4-9913-27028640C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31080"/>
        <c:axId val="321570648"/>
      </c:scatterChart>
      <c:valAx>
        <c:axId val="319631080"/>
        <c:scaling>
          <c:orientation val="minMax"/>
          <c:max val="0.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Discount rate</a:t>
                </a:r>
              </a:p>
            </c:rich>
          </c:tx>
          <c:layout>
            <c:manualLayout>
              <c:xMode val="edge"/>
              <c:yMode val="edge"/>
              <c:x val="0.44387755102040816"/>
              <c:y val="0.594488188976378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570648"/>
        <c:crosses val="autoZero"/>
        <c:crossBetween val="midCat"/>
      </c:valAx>
      <c:valAx>
        <c:axId val="3215706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present value</a:t>
                </a:r>
              </a:p>
            </c:rich>
          </c:tx>
          <c:layout>
            <c:manualLayout>
              <c:xMode val="edge"/>
              <c:yMode val="edge"/>
              <c:x val="2.8061224489795918E-2"/>
              <c:y val="0.3503937007874015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31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Two IRRs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CD-47FB-AD71-5BFC2D974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926560"/>
        <c:axId val="318926952"/>
      </c:scatterChart>
      <c:valAx>
        <c:axId val="318926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Discount rate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926952"/>
        <c:crosses val="autoZero"/>
        <c:crossBetween val="midCat"/>
      </c:valAx>
      <c:valAx>
        <c:axId val="3189269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Net present value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92656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NPV of Bond Cash Flows</a:t>
            </a:r>
          </a:p>
        </c:rich>
      </c:tx>
      <c:layout>
        <c:manualLayout>
          <c:xMode val="edge"/>
          <c:yMode val="edge"/>
          <c:x val="0.19736876640419942"/>
          <c:y val="3.61132229161010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105290632212802"/>
          <c:y val="0.14883720930232558"/>
          <c:w val="0.74342224670771018"/>
          <c:h val="0.6976744186046511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'Bond IRR'!$E$5:$E$15</c:f>
              <c:numCache>
                <c:formatCode>0%</c:formatCode>
                <c:ptCount val="1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</c:numCache>
            </c:numRef>
          </c:xVal>
          <c:yVal>
            <c:numRef>
              <c:f>'Bond IRR'!$F$5:$F$15</c:f>
              <c:numCache>
                <c:formatCode>#,##0.00</c:formatCode>
                <c:ptCount val="11"/>
                <c:pt idx="0">
                  <c:v>1000</c:v>
                </c:pt>
                <c:pt idx="1">
                  <c:v>786.03851523955382</c:v>
                </c:pt>
                <c:pt idx="2">
                  <c:v>603.96469249702341</c:v>
                </c:pt>
                <c:pt idx="3">
                  <c:v>448.39175243878162</c:v>
                </c:pt>
                <c:pt idx="4">
                  <c:v>314.93277887450563</c:v>
                </c:pt>
                <c:pt idx="5">
                  <c:v>200</c:v>
                </c:pt>
                <c:pt idx="6">
                  <c:v>100.64720466322774</c:v>
                </c:pt>
                <c:pt idx="7">
                  <c:v>14.445444243074121</c:v>
                </c:pt>
                <c:pt idx="8">
                  <c:v>-60.615453700742364</c:v>
                </c:pt>
                <c:pt idx="9">
                  <c:v>-126.20526056422</c:v>
                </c:pt>
                <c:pt idx="10">
                  <c:v>-183.71598031931103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9F-45E4-BA5B-01A7AD20E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927736"/>
        <c:axId val="318928128"/>
      </c:scatterChart>
      <c:valAx>
        <c:axId val="318927736"/>
        <c:scaling>
          <c:orientation val="minMax"/>
          <c:max val="0.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Discount rate</a:t>
                </a:r>
              </a:p>
            </c:rich>
          </c:tx>
          <c:layout>
            <c:manualLayout>
              <c:xMode val="edge"/>
              <c:yMode val="edge"/>
              <c:x val="0.41776384859787258"/>
              <c:y val="0.88372093023255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928128"/>
        <c:crosses val="autoZero"/>
        <c:crossBetween val="midCat"/>
      </c:valAx>
      <c:valAx>
        <c:axId val="3189281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</a:t>
                </a:r>
              </a:p>
            </c:rich>
          </c:tx>
          <c:layout>
            <c:manualLayout>
              <c:xMode val="edge"/>
              <c:yMode val="edge"/>
              <c:x val="1.6447368421052631E-2"/>
              <c:y val="0.437209302325581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927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 of Multiple Compounding Periods</a:t>
            </a:r>
          </a:p>
        </c:rich>
      </c:tx>
      <c:layout>
        <c:manualLayout>
          <c:xMode val="edge"/>
          <c:yMode val="edge"/>
          <c:x val="0.29873293810301682"/>
          <c:y val="1.89392992542598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875023841883895"/>
          <c:y val="0.12878835518893225"/>
          <c:w val="0.69866147576629178"/>
          <c:h val="0.7121238463388018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'Multiple compounding periods'!$A$25:$A$35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12</c:v>
                </c:pt>
                <c:pt idx="4">
                  <c:v>52</c:v>
                </c:pt>
                <c:pt idx="5">
                  <c:v>100</c:v>
                </c:pt>
                <c:pt idx="6">
                  <c:v>150</c:v>
                </c:pt>
                <c:pt idx="7">
                  <c:v>300</c:v>
                </c:pt>
                <c:pt idx="8">
                  <c:v>365</c:v>
                </c:pt>
                <c:pt idx="9">
                  <c:v>730</c:v>
                </c:pt>
                <c:pt idx="10">
                  <c:v>8760</c:v>
                </c:pt>
              </c:numCache>
            </c:numRef>
          </c:xVal>
          <c:yVal>
            <c:numRef>
              <c:f>'Multiple compounding periods'!$B$25:$B$35</c:f>
              <c:numCache>
                <c:formatCode>#,##0.000</c:formatCode>
                <c:ptCount val="11"/>
                <c:pt idx="0">
                  <c:v>1050</c:v>
                </c:pt>
                <c:pt idx="1">
                  <c:v>1050.625</c:v>
                </c:pt>
                <c:pt idx="2">
                  <c:v>1050.9453369140624</c:v>
                </c:pt>
                <c:pt idx="3">
                  <c:v>1051.1618978817335</c:v>
                </c:pt>
                <c:pt idx="4">
                  <c:v>1051.2458419271975</c:v>
                </c:pt>
                <c:pt idx="5">
                  <c:v>1051.2579599480462</c:v>
                </c:pt>
                <c:pt idx="6">
                  <c:v>1051.2623377663551</c:v>
                </c:pt>
                <c:pt idx="7">
                  <c:v>1051.2667165755583</c:v>
                </c:pt>
                <c:pt idx="8">
                  <c:v>1051.2674964674229</c:v>
                </c:pt>
                <c:pt idx="9">
                  <c:v>1051.2692963380434</c:v>
                </c:pt>
                <c:pt idx="10">
                  <c:v>1051.2709463660917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86-4053-91FB-329F7188E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143696"/>
        <c:axId val="468144088"/>
      </c:scatterChart>
      <c:valAx>
        <c:axId val="468143696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compounding intervals </a:t>
                </a:r>
              </a:p>
            </c:rich>
          </c:tx>
          <c:layout>
            <c:manualLayout>
              <c:xMode val="edge"/>
              <c:yMode val="edge"/>
              <c:x val="0.46651832583427072"/>
              <c:y val="0.7424270261671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44088"/>
        <c:crosses val="autoZero"/>
        <c:crossBetween val="midCat"/>
      </c:valAx>
      <c:valAx>
        <c:axId val="4681440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End-year accretion</a:t>
                </a:r>
              </a:p>
            </c:rich>
          </c:tx>
          <c:layout>
            <c:manualLayout>
              <c:xMode val="edge"/>
              <c:yMode val="edge"/>
              <c:x val="2.2321428571428572E-2"/>
              <c:y val="0.250000795355126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4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XNPV as Function of Discount Rate</a:t>
            </a:r>
          </a:p>
        </c:rich>
      </c:tx>
      <c:layout>
        <c:manualLayout>
          <c:xMode val="edge"/>
          <c:yMode val="edge"/>
          <c:x val="0.17765655468615013"/>
          <c:y val="1.54656530002715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8485294394573E-2"/>
          <c:y val="7.3232741256180192E-2"/>
          <c:w val="0.85321180544213859"/>
          <c:h val="0.8787916713162503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'2-XIRR'!$E$7:$E$24</c:f>
              <c:numCache>
                <c:formatCode>0.0%</c:formatCode>
                <c:ptCount val="18"/>
                <c:pt idx="0">
                  <c:v>1E-3</c:v>
                </c:pt>
                <c:pt idx="1">
                  <c:v>2.908364519770941E-2</c:v>
                </c:pt>
                <c:pt idx="2">
                  <c:v>4.9000000000000002E-2</c:v>
                </c:pt>
                <c:pt idx="3">
                  <c:v>7.2999999999999995E-2</c:v>
                </c:pt>
                <c:pt idx="4">
                  <c:v>9.7000000000000003E-2</c:v>
                </c:pt>
                <c:pt idx="5">
                  <c:v>0.121</c:v>
                </c:pt>
                <c:pt idx="6">
                  <c:v>0.14499999999999999</c:v>
                </c:pt>
                <c:pt idx="7">
                  <c:v>0.16900000000000001</c:v>
                </c:pt>
                <c:pt idx="8">
                  <c:v>0.193</c:v>
                </c:pt>
                <c:pt idx="9">
                  <c:v>0.217</c:v>
                </c:pt>
                <c:pt idx="10">
                  <c:v>0.24099999999999999</c:v>
                </c:pt>
                <c:pt idx="11">
                  <c:v>0.26500000000000001</c:v>
                </c:pt>
                <c:pt idx="12">
                  <c:v>0.28899999999999998</c:v>
                </c:pt>
                <c:pt idx="13">
                  <c:v>0.313</c:v>
                </c:pt>
                <c:pt idx="14">
                  <c:v>0.33700000000000002</c:v>
                </c:pt>
                <c:pt idx="15">
                  <c:v>0.34866095022106647</c:v>
                </c:pt>
                <c:pt idx="16">
                  <c:v>0.38500000000000001</c:v>
                </c:pt>
                <c:pt idx="17">
                  <c:v>0.40899999999999997</c:v>
                </c:pt>
              </c:numCache>
            </c:numRef>
          </c:xVal>
          <c:yVal>
            <c:numRef>
              <c:f>'2-XIRR'!$F$7:$F$24</c:f>
              <c:numCache>
                <c:formatCode>#,##0.000</c:formatCode>
                <c:ptCount val="18"/>
                <c:pt idx="0">
                  <c:v>-47.941738242132487</c:v>
                </c:pt>
                <c:pt idx="1">
                  <c:v>2.5794086013775086E-6</c:v>
                </c:pt>
                <c:pt idx="2">
                  <c:v>24.133802428393437</c:v>
                </c:pt>
                <c:pt idx="3">
                  <c:v>44.620320463511234</c:v>
                </c:pt>
                <c:pt idx="4">
                  <c:v>57.577829314553355</c:v>
                </c:pt>
                <c:pt idx="5">
                  <c:v>64.597064052832138</c:v>
                </c:pt>
                <c:pt idx="6">
                  <c:v>66.946847718861363</c:v>
                </c:pt>
                <c:pt idx="7">
                  <c:v>65.641209886420938</c:v>
                </c:pt>
                <c:pt idx="8">
                  <c:v>61.4918204913929</c:v>
                </c:pt>
                <c:pt idx="9">
                  <c:v>55.149124357957248</c:v>
                </c:pt>
                <c:pt idx="10">
                  <c:v>47.1347398757772</c:v>
                </c:pt>
                <c:pt idx="11">
                  <c:v>37.867073028446498</c:v>
                </c:pt>
                <c:pt idx="12">
                  <c:v>27.681639367950652</c:v>
                </c:pt>
                <c:pt idx="13">
                  <c:v>16.847241163392198</c:v>
                </c:pt>
                <c:pt idx="14">
                  <c:v>5.5788855223815403</c:v>
                </c:pt>
                <c:pt idx="15">
                  <c:v>5.1736861905737896E-7</c:v>
                </c:pt>
                <c:pt idx="16">
                  <c:v>-17.608606485765335</c:v>
                </c:pt>
                <c:pt idx="17">
                  <c:v>-29.283357872380805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2-4D12-A568-83BBB9192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572216"/>
        <c:axId val="468144872"/>
      </c:scatterChart>
      <c:valAx>
        <c:axId val="321572216"/>
        <c:scaling>
          <c:orientation val="minMax"/>
          <c:max val="0.42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44872"/>
        <c:crosses val="autoZero"/>
        <c:crossBetween val="midCat"/>
        <c:majorUnit val="0.03"/>
      </c:valAx>
      <c:valAx>
        <c:axId val="468144872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572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34926</xdr:colOff>
      <xdr:row>1</xdr:row>
      <xdr:rowOff>69850</xdr:rowOff>
    </xdr:from>
    <xdr:to>
      <xdr:col>3</xdr:col>
      <xdr:colOff>636</xdr:colOff>
      <xdr:row>9</xdr:row>
      <xdr:rowOff>117738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7B26F3F-E2C5-470C-AA58-482B42CF9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6" y="298450"/>
          <a:ext cx="1828800" cy="13750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142875</xdr:rowOff>
    </xdr:from>
    <xdr:to>
      <xdr:col>0</xdr:col>
      <xdr:colOff>0</xdr:colOff>
      <xdr:row>24</xdr:row>
      <xdr:rowOff>142875</xdr:rowOff>
    </xdr:to>
    <xdr:sp macro="" textlink="">
      <xdr:nvSpPr>
        <xdr:cNvPr id="25601" name="Text Box 1">
          <a:extLst>
            <a:ext uri="{FF2B5EF4-FFF2-40B4-BE49-F238E27FC236}">
              <a16:creationId xmlns:a16="http://schemas.microsoft.com/office/drawing/2014/main" id="{00000000-0008-0000-0A00-000001640000}"/>
            </a:ext>
          </a:extLst>
        </xdr:cNvPr>
        <xdr:cNvSpPr txBox="1">
          <a:spLocks noChangeArrowheads="1"/>
        </xdr:cNvSpPr>
      </xdr:nvSpPr>
      <xdr:spPr bwMode="auto">
        <a:xfrm>
          <a:off x="0" y="4810125"/>
          <a:ext cx="0" cy="161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=$B$15*F20</a:t>
          </a:r>
        </a:p>
      </xdr:txBody>
    </xdr:sp>
    <xdr:clientData/>
  </xdr:twoCellAnchor>
  <xdr:twoCellAnchor>
    <xdr:from>
      <xdr:col>0</xdr:col>
      <xdr:colOff>0</xdr:colOff>
      <xdr:row>23</xdr:row>
      <xdr:rowOff>160020</xdr:rowOff>
    </xdr:from>
    <xdr:to>
      <xdr:col>0</xdr:col>
      <xdr:colOff>0</xdr:colOff>
      <xdr:row>25</xdr:row>
      <xdr:rowOff>19191</xdr:rowOff>
    </xdr:to>
    <xdr:sp macro="" textlink="">
      <xdr:nvSpPr>
        <xdr:cNvPr id="25604" name="Text Box 4">
          <a:extLst>
            <a:ext uri="{FF2B5EF4-FFF2-40B4-BE49-F238E27FC236}">
              <a16:creationId xmlns:a16="http://schemas.microsoft.com/office/drawing/2014/main" id="{00000000-0008-0000-0A00-000004640000}"/>
            </a:ext>
          </a:extLst>
        </xdr:cNvPr>
        <xdr:cNvSpPr txBox="1">
          <a:spLocks noChangeArrowheads="1"/>
        </xdr:cNvSpPr>
      </xdr:nvSpPr>
      <xdr:spPr bwMode="auto">
        <a:xfrm>
          <a:off x="0" y="4819650"/>
          <a:ext cx="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=F20-I20</a:t>
          </a:r>
        </a:p>
      </xdr:txBody>
    </xdr:sp>
    <xdr:clientData/>
  </xdr:twoCellAnchor>
  <xdr:twoCellAnchor>
    <xdr:from>
      <xdr:col>0</xdr:col>
      <xdr:colOff>0</xdr:colOff>
      <xdr:row>15</xdr:row>
      <xdr:rowOff>160020</xdr:rowOff>
    </xdr:from>
    <xdr:to>
      <xdr:col>0</xdr:col>
      <xdr:colOff>0</xdr:colOff>
      <xdr:row>17</xdr:row>
      <xdr:rowOff>9497</xdr:rowOff>
    </xdr:to>
    <xdr:sp macro="" textlink="">
      <xdr:nvSpPr>
        <xdr:cNvPr id="25605" name="Text Box 5">
          <a:extLst>
            <a:ext uri="{FF2B5EF4-FFF2-40B4-BE49-F238E27FC236}">
              <a16:creationId xmlns:a16="http://schemas.microsoft.com/office/drawing/2014/main" id="{00000000-0008-0000-0A00-000005640000}"/>
            </a:ext>
          </a:extLst>
        </xdr:cNvPr>
        <xdr:cNvSpPr txBox="1">
          <a:spLocks noChangeArrowheads="1"/>
        </xdr:cNvSpPr>
      </xdr:nvSpPr>
      <xdr:spPr bwMode="auto">
        <a:xfrm>
          <a:off x="0" y="3038475"/>
          <a:ext cx="0" cy="504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=-B19</a:t>
          </a:r>
        </a:p>
      </xdr:txBody>
    </xdr:sp>
    <xdr:clientData/>
  </xdr:twoCellAnchor>
  <xdr:twoCellAnchor>
    <xdr:from>
      <xdr:col>3</xdr:col>
      <xdr:colOff>212725</xdr:colOff>
      <xdr:row>20</xdr:row>
      <xdr:rowOff>63500</xdr:rowOff>
    </xdr:from>
    <xdr:to>
      <xdr:col>4</xdr:col>
      <xdr:colOff>158750</xdr:colOff>
      <xdr:row>21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8236D67-1B31-4F62-AEA8-A1419D8CFA4F}"/>
            </a:ext>
          </a:extLst>
        </xdr:cNvPr>
        <xdr:cNvCxnSpPr/>
      </xdr:nvCxnSpPr>
      <xdr:spPr bwMode="auto">
        <a:xfrm flipV="1">
          <a:off x="3975100" y="4137025"/>
          <a:ext cx="736600" cy="266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0</xdr:col>
      <xdr:colOff>606425</xdr:colOff>
      <xdr:row>17</xdr:row>
      <xdr:rowOff>76200</xdr:rowOff>
    </xdr:from>
    <xdr:to>
      <xdr:col>1</xdr:col>
      <xdr:colOff>231775</xdr:colOff>
      <xdr:row>22</xdr:row>
      <xdr:rowOff>3175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882637C2-74A5-4B64-948D-4A3B3ED8A48A}"/>
            </a:ext>
          </a:extLst>
        </xdr:cNvPr>
        <xdr:cNvCxnSpPr/>
      </xdr:nvCxnSpPr>
      <xdr:spPr bwMode="auto">
        <a:xfrm flipV="1">
          <a:off x="606425" y="3022600"/>
          <a:ext cx="904875" cy="762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0</xdr:col>
      <xdr:colOff>606425</xdr:colOff>
      <xdr:row>13</xdr:row>
      <xdr:rowOff>171450</xdr:rowOff>
    </xdr:from>
    <xdr:to>
      <xdr:col>1</xdr:col>
      <xdr:colOff>171450</xdr:colOff>
      <xdr:row>16</xdr:row>
      <xdr:rowOff>146050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2AB2410D-64B5-44E7-AE91-A9775A33D552}"/>
            </a:ext>
          </a:extLst>
        </xdr:cNvPr>
        <xdr:cNvCxnSpPr/>
      </xdr:nvCxnSpPr>
      <xdr:spPr bwMode="auto">
        <a:xfrm>
          <a:off x="606425" y="2444750"/>
          <a:ext cx="844550" cy="6762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2</xdr:col>
      <xdr:colOff>149225</xdr:colOff>
      <xdr:row>12</xdr:row>
      <xdr:rowOff>171450</xdr:rowOff>
    </xdr:from>
    <xdr:to>
      <xdr:col>2</xdr:col>
      <xdr:colOff>257175</xdr:colOff>
      <xdr:row>16</xdr:row>
      <xdr:rowOff>107950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D1F105AE-D6D9-4CCC-8273-2D8E9427D03E}"/>
            </a:ext>
          </a:extLst>
        </xdr:cNvPr>
        <xdr:cNvCxnSpPr/>
      </xdr:nvCxnSpPr>
      <xdr:spPr bwMode="auto">
        <a:xfrm>
          <a:off x="2578100" y="2270125"/>
          <a:ext cx="107950" cy="8223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3</xdr:col>
      <xdr:colOff>727075</xdr:colOff>
      <xdr:row>14</xdr:row>
      <xdr:rowOff>19050</xdr:rowOff>
    </xdr:from>
    <xdr:to>
      <xdr:col>4</xdr:col>
      <xdr:colOff>412750</xdr:colOff>
      <xdr:row>16</xdr:row>
      <xdr:rowOff>117475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4F54F675-DE11-452D-BBE0-2555D442EA4C}"/>
            </a:ext>
          </a:extLst>
        </xdr:cNvPr>
        <xdr:cNvCxnSpPr/>
      </xdr:nvCxnSpPr>
      <xdr:spPr bwMode="auto">
        <a:xfrm flipH="1">
          <a:off x="4149725" y="2466975"/>
          <a:ext cx="615950" cy="6254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142875</xdr:rowOff>
    </xdr:from>
    <xdr:to>
      <xdr:col>0</xdr:col>
      <xdr:colOff>0</xdr:colOff>
      <xdr:row>13</xdr:row>
      <xdr:rowOff>142875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A7B31D08-73BF-4D0A-BBF1-00F943842B2E}"/>
            </a:ext>
          </a:extLst>
        </xdr:cNvPr>
        <xdr:cNvSpPr txBox="1">
          <a:spLocks noChangeArrowheads="1"/>
        </xdr:cNvSpPr>
      </xdr:nvSpPr>
      <xdr:spPr bwMode="auto">
        <a:xfrm>
          <a:off x="0" y="4283075"/>
          <a:ext cx="0" cy="165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=$B$15*F20</a:t>
          </a:r>
        </a:p>
      </xdr:txBody>
    </xdr:sp>
    <xdr:clientData/>
  </xdr:twoCellAnchor>
  <xdr:twoCellAnchor>
    <xdr:from>
      <xdr:col>0</xdr:col>
      <xdr:colOff>0</xdr:colOff>
      <xdr:row>12</xdr:row>
      <xdr:rowOff>160020</xdr:rowOff>
    </xdr:from>
    <xdr:to>
      <xdr:col>0</xdr:col>
      <xdr:colOff>0</xdr:colOff>
      <xdr:row>14</xdr:row>
      <xdr:rowOff>19191</xdr:rowOff>
    </xdr:to>
    <xdr:sp macro="" textlink="">
      <xdr:nvSpPr>
        <xdr:cNvPr id="3" name="Text Box 4">
          <a:extLst>
            <a:ext uri="{FF2B5EF4-FFF2-40B4-BE49-F238E27FC236}">
              <a16:creationId xmlns:a16="http://schemas.microsoft.com/office/drawing/2014/main" id="{2B391F6B-D685-48A7-9496-979033C1CA13}"/>
            </a:ext>
          </a:extLst>
        </xdr:cNvPr>
        <xdr:cNvSpPr txBox="1">
          <a:spLocks noChangeArrowheads="1"/>
        </xdr:cNvSpPr>
      </xdr:nvSpPr>
      <xdr:spPr bwMode="auto">
        <a:xfrm>
          <a:off x="0" y="4300220"/>
          <a:ext cx="0" cy="19889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=F20-I20</a:t>
          </a:r>
        </a:p>
      </xdr:txBody>
    </xdr:sp>
    <xdr:clientData/>
  </xdr:twoCellAnchor>
  <xdr:twoCellAnchor>
    <xdr:from>
      <xdr:col>0</xdr:col>
      <xdr:colOff>0</xdr:colOff>
      <xdr:row>4</xdr:row>
      <xdr:rowOff>160020</xdr:rowOff>
    </xdr:from>
    <xdr:to>
      <xdr:col>0</xdr:col>
      <xdr:colOff>0</xdr:colOff>
      <xdr:row>6</xdr:row>
      <xdr:rowOff>9497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36B99CD5-D8E5-412D-8525-7FA0C3883394}"/>
            </a:ext>
          </a:extLst>
        </xdr:cNvPr>
        <xdr:cNvSpPr txBox="1">
          <a:spLocks noChangeArrowheads="1"/>
        </xdr:cNvSpPr>
      </xdr:nvSpPr>
      <xdr:spPr bwMode="auto">
        <a:xfrm>
          <a:off x="0" y="2804795"/>
          <a:ext cx="0" cy="3447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=-B19</a:t>
          </a:r>
        </a:p>
      </xdr:txBody>
    </xdr:sp>
    <xdr:clientData/>
  </xdr:twoCellAnchor>
  <xdr:twoCellAnchor>
    <xdr:from>
      <xdr:col>3</xdr:col>
      <xdr:colOff>212725</xdr:colOff>
      <xdr:row>9</xdr:row>
      <xdr:rowOff>63500</xdr:rowOff>
    </xdr:from>
    <xdr:to>
      <xdr:col>4</xdr:col>
      <xdr:colOff>158750</xdr:colOff>
      <xdr:row>10</xdr:row>
      <xdr:rowOff>165100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DA64A0DA-D729-4CE9-819C-39D84263BC6B}"/>
            </a:ext>
          </a:extLst>
        </xdr:cNvPr>
        <xdr:cNvCxnSpPr/>
      </xdr:nvCxnSpPr>
      <xdr:spPr bwMode="auto">
        <a:xfrm flipV="1">
          <a:off x="3635375" y="3698875"/>
          <a:ext cx="876300" cy="266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0</xdr:col>
      <xdr:colOff>606425</xdr:colOff>
      <xdr:row>6</xdr:row>
      <xdr:rowOff>76200</xdr:rowOff>
    </xdr:from>
    <xdr:to>
      <xdr:col>1</xdr:col>
      <xdr:colOff>231775</xdr:colOff>
      <xdr:row>11</xdr:row>
      <xdr:rowOff>3175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147A79DB-5A54-4516-A81F-6E843F3BEC62}"/>
            </a:ext>
          </a:extLst>
        </xdr:cNvPr>
        <xdr:cNvCxnSpPr/>
      </xdr:nvCxnSpPr>
      <xdr:spPr bwMode="auto">
        <a:xfrm flipV="1">
          <a:off x="606425" y="3216275"/>
          <a:ext cx="904875" cy="762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2</xdr:col>
      <xdr:colOff>82550</xdr:colOff>
      <xdr:row>2</xdr:row>
      <xdr:rowOff>171450</xdr:rowOff>
    </xdr:from>
    <xdr:to>
      <xdr:col>2</xdr:col>
      <xdr:colOff>149225</xdr:colOff>
      <xdr:row>5</xdr:row>
      <xdr:rowOff>130175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A36EB157-7C14-4027-9B3D-769BAABC1CF1}"/>
            </a:ext>
          </a:extLst>
        </xdr:cNvPr>
        <xdr:cNvCxnSpPr/>
      </xdr:nvCxnSpPr>
      <xdr:spPr bwMode="auto">
        <a:xfrm flipH="1">
          <a:off x="2511425" y="587375"/>
          <a:ext cx="66675" cy="6604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142875</xdr:rowOff>
    </xdr:from>
    <xdr:to>
      <xdr:col>0</xdr:col>
      <xdr:colOff>0</xdr:colOff>
      <xdr:row>13</xdr:row>
      <xdr:rowOff>142875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F7B684FD-8725-4021-830F-781D50D920FA}"/>
            </a:ext>
          </a:extLst>
        </xdr:cNvPr>
        <xdr:cNvSpPr txBox="1">
          <a:spLocks noChangeArrowheads="1"/>
        </xdr:cNvSpPr>
      </xdr:nvSpPr>
      <xdr:spPr bwMode="auto">
        <a:xfrm>
          <a:off x="0" y="2425700"/>
          <a:ext cx="0" cy="165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=$B$15*F20</a:t>
          </a:r>
        </a:p>
      </xdr:txBody>
    </xdr:sp>
    <xdr:clientData/>
  </xdr:twoCellAnchor>
  <xdr:twoCellAnchor>
    <xdr:from>
      <xdr:col>0</xdr:col>
      <xdr:colOff>0</xdr:colOff>
      <xdr:row>12</xdr:row>
      <xdr:rowOff>160020</xdr:rowOff>
    </xdr:from>
    <xdr:to>
      <xdr:col>0</xdr:col>
      <xdr:colOff>0</xdr:colOff>
      <xdr:row>14</xdr:row>
      <xdr:rowOff>19191</xdr:rowOff>
    </xdr:to>
    <xdr:sp macro="" textlink="">
      <xdr:nvSpPr>
        <xdr:cNvPr id="3" name="Text Box 4">
          <a:extLst>
            <a:ext uri="{FF2B5EF4-FFF2-40B4-BE49-F238E27FC236}">
              <a16:creationId xmlns:a16="http://schemas.microsoft.com/office/drawing/2014/main" id="{93FD782C-5805-40ED-B820-3BD47498B9BB}"/>
            </a:ext>
          </a:extLst>
        </xdr:cNvPr>
        <xdr:cNvSpPr txBox="1">
          <a:spLocks noChangeArrowheads="1"/>
        </xdr:cNvSpPr>
      </xdr:nvSpPr>
      <xdr:spPr bwMode="auto">
        <a:xfrm>
          <a:off x="0" y="2442845"/>
          <a:ext cx="0" cy="18937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=F20-I20</a:t>
          </a:r>
        </a:p>
      </xdr:txBody>
    </xdr:sp>
    <xdr:clientData/>
  </xdr:twoCellAnchor>
  <xdr:twoCellAnchor>
    <xdr:from>
      <xdr:col>0</xdr:col>
      <xdr:colOff>0</xdr:colOff>
      <xdr:row>4</xdr:row>
      <xdr:rowOff>160020</xdr:rowOff>
    </xdr:from>
    <xdr:to>
      <xdr:col>0</xdr:col>
      <xdr:colOff>0</xdr:colOff>
      <xdr:row>6</xdr:row>
      <xdr:rowOff>9497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CF54C8CC-33A7-46A9-900E-15F65AFF7E4D}"/>
            </a:ext>
          </a:extLst>
        </xdr:cNvPr>
        <xdr:cNvSpPr txBox="1">
          <a:spLocks noChangeArrowheads="1"/>
        </xdr:cNvSpPr>
      </xdr:nvSpPr>
      <xdr:spPr bwMode="auto">
        <a:xfrm>
          <a:off x="0" y="947420"/>
          <a:ext cx="0" cy="3447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=-B19</a:t>
          </a:r>
        </a:p>
      </xdr:txBody>
    </xdr:sp>
    <xdr:clientData/>
  </xdr:twoCellAnchor>
  <xdr:twoCellAnchor>
    <xdr:from>
      <xdr:col>3</xdr:col>
      <xdr:colOff>212725</xdr:colOff>
      <xdr:row>9</xdr:row>
      <xdr:rowOff>63500</xdr:rowOff>
    </xdr:from>
    <xdr:to>
      <xdr:col>4</xdr:col>
      <xdr:colOff>158750</xdr:colOff>
      <xdr:row>10</xdr:row>
      <xdr:rowOff>165100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AFA86DA-01F4-4F01-AE4E-4E1003A0E5E4}"/>
            </a:ext>
          </a:extLst>
        </xdr:cNvPr>
        <xdr:cNvCxnSpPr/>
      </xdr:nvCxnSpPr>
      <xdr:spPr bwMode="auto">
        <a:xfrm flipV="1">
          <a:off x="3263900" y="1841500"/>
          <a:ext cx="876300" cy="266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0</xdr:col>
      <xdr:colOff>606425</xdr:colOff>
      <xdr:row>6</xdr:row>
      <xdr:rowOff>76200</xdr:rowOff>
    </xdr:from>
    <xdr:to>
      <xdr:col>1</xdr:col>
      <xdr:colOff>231775</xdr:colOff>
      <xdr:row>11</xdr:row>
      <xdr:rowOff>3175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2CCA914-BB34-49A2-A653-7CF2DE0FE2DA}"/>
            </a:ext>
          </a:extLst>
        </xdr:cNvPr>
        <xdr:cNvCxnSpPr/>
      </xdr:nvCxnSpPr>
      <xdr:spPr bwMode="auto">
        <a:xfrm flipV="1">
          <a:off x="606425" y="1358900"/>
          <a:ext cx="904875" cy="762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2</xdr:col>
      <xdr:colOff>82550</xdr:colOff>
      <xdr:row>2</xdr:row>
      <xdr:rowOff>171450</xdr:rowOff>
    </xdr:from>
    <xdr:to>
      <xdr:col>2</xdr:col>
      <xdr:colOff>149225</xdr:colOff>
      <xdr:row>5</xdr:row>
      <xdr:rowOff>130175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890A18B8-40EA-4190-A2BC-795F2B2074C9}"/>
            </a:ext>
          </a:extLst>
        </xdr:cNvPr>
        <xdr:cNvCxnSpPr/>
      </xdr:nvCxnSpPr>
      <xdr:spPr bwMode="auto">
        <a:xfrm flipH="1">
          <a:off x="2511425" y="587375"/>
          <a:ext cx="66675" cy="6604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 editAs="oneCell">
    <xdr:from>
      <xdr:col>6</xdr:col>
      <xdr:colOff>66676</xdr:colOff>
      <xdr:row>10</xdr:row>
      <xdr:rowOff>171450</xdr:rowOff>
    </xdr:from>
    <xdr:to>
      <xdr:col>9</xdr:col>
      <xdr:colOff>498476</xdr:colOff>
      <xdr:row>21</xdr:row>
      <xdr:rowOff>45525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0E70FF4-42EF-4695-B8E4-039F367B1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0126" y="2114550"/>
          <a:ext cx="2260600" cy="1699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160020</xdr:colOff>
      <xdr:row>11</xdr:row>
      <xdr:rowOff>99060</xdr:rowOff>
    </xdr:from>
    <xdr:to>
      <xdr:col>5</xdr:col>
      <xdr:colOff>533400</xdr:colOff>
      <xdr:row>26</xdr:row>
      <xdr:rowOff>76200</xdr:rowOff>
    </xdr:to>
    <xdr:graphicFrame macro="">
      <xdr:nvGraphicFramePr>
        <xdr:cNvPr id="13320" name="Chart 1">
          <a:extLst>
            <a:ext uri="{FF2B5EF4-FFF2-40B4-BE49-F238E27FC236}">
              <a16:creationId xmlns:a16="http://schemas.microsoft.com/office/drawing/2014/main" id="{00000000-0008-0000-0D00-0000083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533400</xdr:colOff>
      <xdr:row>0</xdr:row>
      <xdr:rowOff>0</xdr:rowOff>
    </xdr:to>
    <xdr:graphicFrame macro="">
      <xdr:nvGraphicFramePr>
        <xdr:cNvPr id="15369" name="Chart 1">
          <a:extLst>
            <a:ext uri="{FF2B5EF4-FFF2-40B4-BE49-F238E27FC236}">
              <a16:creationId xmlns:a16="http://schemas.microsoft.com/office/drawing/2014/main" id="{00000000-0008-0000-0E00-0000093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38734</xdr:colOff>
      <xdr:row>4</xdr:row>
      <xdr:rowOff>38735</xdr:rowOff>
    </xdr:from>
    <xdr:to>
      <xdr:col>10</xdr:col>
      <xdr:colOff>571499</xdr:colOff>
      <xdr:row>14</xdr:row>
      <xdr:rowOff>158750</xdr:rowOff>
    </xdr:to>
    <xdr:graphicFrame macro="">
      <xdr:nvGraphicFramePr>
        <xdr:cNvPr id="15370" name="Chart 2">
          <a:extLst>
            <a:ext uri="{FF2B5EF4-FFF2-40B4-BE49-F238E27FC236}">
              <a16:creationId xmlns:a16="http://schemas.microsoft.com/office/drawing/2014/main" id="{00000000-0008-0000-0E00-00000A3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139700</xdr:colOff>
      <xdr:row>1</xdr:row>
      <xdr:rowOff>76201</xdr:rowOff>
    </xdr:from>
    <xdr:to>
      <xdr:col>15</xdr:col>
      <xdr:colOff>187325</xdr:colOff>
      <xdr:row>20</xdr:row>
      <xdr:rowOff>97561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2C84111-4CAA-4C33-8E97-5F0D39A2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7225" y="304801"/>
          <a:ext cx="5534025" cy="3361460"/>
        </a:xfrm>
        <a:prstGeom prst="rect">
          <a:avLst/>
        </a:prstGeom>
      </xdr:spPr>
    </xdr:pic>
    <xdr:clientData/>
  </xdr:twoCellAnchor>
  <xdr:twoCellAnchor>
    <xdr:from>
      <xdr:col>0</xdr:col>
      <xdr:colOff>558800</xdr:colOff>
      <xdr:row>7</xdr:row>
      <xdr:rowOff>9525</xdr:rowOff>
    </xdr:from>
    <xdr:to>
      <xdr:col>1</xdr:col>
      <xdr:colOff>139700</xdr:colOff>
      <xdr:row>9</xdr:row>
      <xdr:rowOff>117475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A8E5BBC3-3AF1-49E3-951F-85C95A194864}"/>
            </a:ext>
          </a:extLst>
        </xdr:cNvPr>
        <xdr:cNvCxnSpPr/>
      </xdr:nvCxnSpPr>
      <xdr:spPr bwMode="auto">
        <a:xfrm>
          <a:off x="558800" y="1247775"/>
          <a:ext cx="720725" cy="603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0</xdr:col>
      <xdr:colOff>574675</xdr:colOff>
      <xdr:row>10</xdr:row>
      <xdr:rowOff>82550</xdr:rowOff>
    </xdr:from>
    <xdr:to>
      <xdr:col>1</xdr:col>
      <xdr:colOff>146050</xdr:colOff>
      <xdr:row>16</xdr:row>
      <xdr:rowOff>165100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BC338A81-0D40-4524-88DD-78D949FB8928}"/>
            </a:ext>
          </a:extLst>
        </xdr:cNvPr>
        <xdr:cNvCxnSpPr/>
      </xdr:nvCxnSpPr>
      <xdr:spPr bwMode="auto">
        <a:xfrm flipV="1">
          <a:off x="574675" y="1981200"/>
          <a:ext cx="711200" cy="10731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2</xdr:col>
      <xdr:colOff>574675</xdr:colOff>
      <xdr:row>7</xdr:row>
      <xdr:rowOff>9525</xdr:rowOff>
    </xdr:from>
    <xdr:to>
      <xdr:col>3</xdr:col>
      <xdr:colOff>139700</xdr:colOff>
      <xdr:row>9</xdr:row>
      <xdr:rowOff>101600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3C959EB-E31A-4A54-8DD9-CB4EF5FF7DDE}"/>
            </a:ext>
          </a:extLst>
        </xdr:cNvPr>
        <xdr:cNvCxnSpPr/>
      </xdr:nvCxnSpPr>
      <xdr:spPr bwMode="auto">
        <a:xfrm>
          <a:off x="2892425" y="1247775"/>
          <a:ext cx="708025" cy="5873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876299</xdr:colOff>
      <xdr:row>4</xdr:row>
      <xdr:rowOff>137159</xdr:rowOff>
    </xdr:from>
    <xdr:to>
      <xdr:col>4</xdr:col>
      <xdr:colOff>469899</xdr:colOff>
      <xdr:row>8</xdr:row>
      <xdr:rowOff>3174</xdr:rowOff>
    </xdr:to>
    <xdr:sp macro="" textlink="">
      <xdr:nvSpPr>
        <xdr:cNvPr id="6154" name="Line 1">
          <a:extLst>
            <a:ext uri="{FF2B5EF4-FFF2-40B4-BE49-F238E27FC236}">
              <a16:creationId xmlns:a16="http://schemas.microsoft.com/office/drawing/2014/main" id="{00000000-0008-0000-1100-00000A180000}"/>
            </a:ext>
          </a:extLst>
        </xdr:cNvPr>
        <xdr:cNvSpPr>
          <a:spLocks noChangeShapeType="1"/>
        </xdr:cNvSpPr>
      </xdr:nvSpPr>
      <xdr:spPr bwMode="auto">
        <a:xfrm flipH="1" flipV="1">
          <a:off x="2393949" y="1381759"/>
          <a:ext cx="1260475" cy="5359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908049</xdr:colOff>
      <xdr:row>5</xdr:row>
      <xdr:rowOff>68580</xdr:rowOff>
    </xdr:from>
    <xdr:to>
      <xdr:col>4</xdr:col>
      <xdr:colOff>469899</xdr:colOff>
      <xdr:row>12</xdr:row>
      <xdr:rowOff>3175</xdr:rowOff>
    </xdr:to>
    <xdr:sp macro="" textlink="">
      <xdr:nvSpPr>
        <xdr:cNvPr id="6155" name="Line 2">
          <a:extLst>
            <a:ext uri="{FF2B5EF4-FFF2-40B4-BE49-F238E27FC236}">
              <a16:creationId xmlns:a16="http://schemas.microsoft.com/office/drawing/2014/main" id="{00000000-0008-0000-1100-00000B180000}"/>
            </a:ext>
          </a:extLst>
        </xdr:cNvPr>
        <xdr:cNvSpPr>
          <a:spLocks noChangeShapeType="1"/>
        </xdr:cNvSpPr>
      </xdr:nvSpPr>
      <xdr:spPr bwMode="auto">
        <a:xfrm flipH="1" flipV="1">
          <a:off x="1517649" y="1478280"/>
          <a:ext cx="2136775" cy="111887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</xdr:colOff>
      <xdr:row>6</xdr:row>
      <xdr:rowOff>60960</xdr:rowOff>
    </xdr:from>
    <xdr:to>
      <xdr:col>5</xdr:col>
      <xdr:colOff>518160</xdr:colOff>
      <xdr:row>9</xdr:row>
      <xdr:rowOff>167640</xdr:rowOff>
    </xdr:to>
    <xdr:sp macro="" textlink="">
      <xdr:nvSpPr>
        <xdr:cNvPr id="5130" name="Line 2">
          <a:extLst>
            <a:ext uri="{FF2B5EF4-FFF2-40B4-BE49-F238E27FC236}">
              <a16:creationId xmlns:a16="http://schemas.microsoft.com/office/drawing/2014/main" id="{00000000-0008-0000-1200-00000A140000}"/>
            </a:ext>
          </a:extLst>
        </xdr:cNvPr>
        <xdr:cNvSpPr>
          <a:spLocks noChangeShapeType="1"/>
        </xdr:cNvSpPr>
      </xdr:nvSpPr>
      <xdr:spPr bwMode="auto">
        <a:xfrm flipH="1" flipV="1">
          <a:off x="3832860" y="1287780"/>
          <a:ext cx="2202180" cy="609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480060</xdr:colOff>
      <xdr:row>7</xdr:row>
      <xdr:rowOff>91440</xdr:rowOff>
    </xdr:from>
    <xdr:to>
      <xdr:col>4</xdr:col>
      <xdr:colOff>0</xdr:colOff>
      <xdr:row>17</xdr:row>
      <xdr:rowOff>83820</xdr:rowOff>
    </xdr:to>
    <xdr:sp macro="" textlink="">
      <xdr:nvSpPr>
        <xdr:cNvPr id="5132" name="Line 4">
          <a:extLst>
            <a:ext uri="{FF2B5EF4-FFF2-40B4-BE49-F238E27FC236}">
              <a16:creationId xmlns:a16="http://schemas.microsoft.com/office/drawing/2014/main" id="{00000000-0008-0000-1200-00000C140000}"/>
            </a:ext>
          </a:extLst>
        </xdr:cNvPr>
        <xdr:cNvSpPr>
          <a:spLocks noChangeShapeType="1"/>
        </xdr:cNvSpPr>
      </xdr:nvSpPr>
      <xdr:spPr bwMode="auto">
        <a:xfrm flipH="1" flipV="1">
          <a:off x="1668780" y="1485900"/>
          <a:ext cx="2773680" cy="16916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297180</xdr:colOff>
      <xdr:row>5</xdr:row>
      <xdr:rowOff>0</xdr:rowOff>
    </xdr:from>
    <xdr:to>
      <xdr:col>5</xdr:col>
      <xdr:colOff>556260</xdr:colOff>
      <xdr:row>6</xdr:row>
      <xdr:rowOff>76200</xdr:rowOff>
    </xdr:to>
    <xdr:sp macro="" textlink="">
      <xdr:nvSpPr>
        <xdr:cNvPr id="31749" name="Line 3">
          <a:extLst>
            <a:ext uri="{FF2B5EF4-FFF2-40B4-BE49-F238E27FC236}">
              <a16:creationId xmlns:a16="http://schemas.microsoft.com/office/drawing/2014/main" id="{00000000-0008-0000-1300-0000057C0000}"/>
            </a:ext>
          </a:extLst>
        </xdr:cNvPr>
        <xdr:cNvSpPr>
          <a:spLocks noChangeShapeType="1"/>
        </xdr:cNvSpPr>
      </xdr:nvSpPr>
      <xdr:spPr bwMode="auto">
        <a:xfrm flipH="1">
          <a:off x="4648200" y="937260"/>
          <a:ext cx="2514600" cy="4267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297180</xdr:colOff>
      <xdr:row>5</xdr:row>
      <xdr:rowOff>0</xdr:rowOff>
    </xdr:from>
    <xdr:to>
      <xdr:col>5</xdr:col>
      <xdr:colOff>556260</xdr:colOff>
      <xdr:row>6</xdr:row>
      <xdr:rowOff>76200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40828C61-D6DB-473F-B3EC-12D252ED28A0}"/>
            </a:ext>
          </a:extLst>
        </xdr:cNvPr>
        <xdr:cNvSpPr>
          <a:spLocks noChangeShapeType="1"/>
        </xdr:cNvSpPr>
      </xdr:nvSpPr>
      <xdr:spPr bwMode="auto">
        <a:xfrm flipH="1">
          <a:off x="4648200" y="937260"/>
          <a:ext cx="2514600" cy="4267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6</xdr:col>
      <xdr:colOff>537882</xdr:colOff>
      <xdr:row>2</xdr:row>
      <xdr:rowOff>116541</xdr:rowOff>
    </xdr:from>
    <xdr:to>
      <xdr:col>18</xdr:col>
      <xdr:colOff>232206</xdr:colOff>
      <xdr:row>36</xdr:row>
      <xdr:rowOff>61375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C531A5D-D52D-4BB3-AF4D-D3D63E333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40762" y="512781"/>
          <a:ext cx="7009524" cy="64446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1409700</xdr:colOff>
      <xdr:row>6</xdr:row>
      <xdr:rowOff>91440</xdr:rowOff>
    </xdr:from>
    <xdr:to>
      <xdr:col>15</xdr:col>
      <xdr:colOff>7620</xdr:colOff>
      <xdr:row>6</xdr:row>
      <xdr:rowOff>91440</xdr:rowOff>
    </xdr:to>
    <xdr:sp macro="" textlink="">
      <xdr:nvSpPr>
        <xdr:cNvPr id="35871" name="Line 1">
          <a:extLst>
            <a:ext uri="{FF2B5EF4-FFF2-40B4-BE49-F238E27FC236}">
              <a16:creationId xmlns:a16="http://schemas.microsoft.com/office/drawing/2014/main" id="{00000000-0008-0000-1400-00001F8C0000}"/>
            </a:ext>
          </a:extLst>
        </xdr:cNvPr>
        <xdr:cNvSpPr>
          <a:spLocks noChangeShapeType="1"/>
        </xdr:cNvSpPr>
      </xdr:nvSpPr>
      <xdr:spPr bwMode="auto">
        <a:xfrm>
          <a:off x="1409700" y="1097280"/>
          <a:ext cx="880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297180</xdr:colOff>
      <xdr:row>6</xdr:row>
      <xdr:rowOff>45720</xdr:rowOff>
    </xdr:from>
    <xdr:to>
      <xdr:col>2</xdr:col>
      <xdr:colOff>297180</xdr:colOff>
      <xdr:row>6</xdr:row>
      <xdr:rowOff>144780</xdr:rowOff>
    </xdr:to>
    <xdr:sp macro="" textlink="">
      <xdr:nvSpPr>
        <xdr:cNvPr id="35872" name="Line 2">
          <a:extLst>
            <a:ext uri="{FF2B5EF4-FFF2-40B4-BE49-F238E27FC236}">
              <a16:creationId xmlns:a16="http://schemas.microsoft.com/office/drawing/2014/main" id="{00000000-0008-0000-1400-0000208C0000}"/>
            </a:ext>
          </a:extLst>
        </xdr:cNvPr>
        <xdr:cNvSpPr>
          <a:spLocks noChangeShapeType="1"/>
        </xdr:cNvSpPr>
      </xdr:nvSpPr>
      <xdr:spPr bwMode="auto">
        <a:xfrm>
          <a:off x="2339340" y="1051560"/>
          <a:ext cx="0" cy="990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312420</xdr:colOff>
      <xdr:row>6</xdr:row>
      <xdr:rowOff>38100</xdr:rowOff>
    </xdr:from>
    <xdr:to>
      <xdr:col>4</xdr:col>
      <xdr:colOff>312420</xdr:colOff>
      <xdr:row>6</xdr:row>
      <xdr:rowOff>137160</xdr:rowOff>
    </xdr:to>
    <xdr:sp macro="" textlink="">
      <xdr:nvSpPr>
        <xdr:cNvPr id="35873" name="Line 3">
          <a:extLst>
            <a:ext uri="{FF2B5EF4-FFF2-40B4-BE49-F238E27FC236}">
              <a16:creationId xmlns:a16="http://schemas.microsoft.com/office/drawing/2014/main" id="{00000000-0008-0000-1400-0000218C0000}"/>
            </a:ext>
          </a:extLst>
        </xdr:cNvPr>
        <xdr:cNvSpPr>
          <a:spLocks noChangeShapeType="1"/>
        </xdr:cNvSpPr>
      </xdr:nvSpPr>
      <xdr:spPr bwMode="auto">
        <a:xfrm>
          <a:off x="3573780" y="1043940"/>
          <a:ext cx="0" cy="990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411480</xdr:colOff>
      <xdr:row>6</xdr:row>
      <xdr:rowOff>38100</xdr:rowOff>
    </xdr:from>
    <xdr:to>
      <xdr:col>5</xdr:col>
      <xdr:colOff>411480</xdr:colOff>
      <xdr:row>6</xdr:row>
      <xdr:rowOff>137160</xdr:rowOff>
    </xdr:to>
    <xdr:sp macro="" textlink="">
      <xdr:nvSpPr>
        <xdr:cNvPr id="35874" name="Line 4">
          <a:extLst>
            <a:ext uri="{FF2B5EF4-FFF2-40B4-BE49-F238E27FC236}">
              <a16:creationId xmlns:a16="http://schemas.microsoft.com/office/drawing/2014/main" id="{00000000-0008-0000-1400-0000228C0000}"/>
            </a:ext>
          </a:extLst>
        </xdr:cNvPr>
        <xdr:cNvSpPr>
          <a:spLocks noChangeShapeType="1"/>
        </xdr:cNvSpPr>
      </xdr:nvSpPr>
      <xdr:spPr bwMode="auto">
        <a:xfrm>
          <a:off x="4282440" y="1043940"/>
          <a:ext cx="0" cy="990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335280</xdr:colOff>
      <xdr:row>6</xdr:row>
      <xdr:rowOff>38100</xdr:rowOff>
    </xdr:from>
    <xdr:to>
      <xdr:col>6</xdr:col>
      <xdr:colOff>335280</xdr:colOff>
      <xdr:row>6</xdr:row>
      <xdr:rowOff>137160</xdr:rowOff>
    </xdr:to>
    <xdr:sp macro="" textlink="">
      <xdr:nvSpPr>
        <xdr:cNvPr id="35875" name="Line 5">
          <a:extLst>
            <a:ext uri="{FF2B5EF4-FFF2-40B4-BE49-F238E27FC236}">
              <a16:creationId xmlns:a16="http://schemas.microsoft.com/office/drawing/2014/main" id="{00000000-0008-0000-1400-0000238C0000}"/>
            </a:ext>
          </a:extLst>
        </xdr:cNvPr>
        <xdr:cNvSpPr>
          <a:spLocks noChangeShapeType="1"/>
        </xdr:cNvSpPr>
      </xdr:nvSpPr>
      <xdr:spPr bwMode="auto">
        <a:xfrm>
          <a:off x="5052060" y="1043940"/>
          <a:ext cx="0" cy="990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327660</xdr:colOff>
      <xdr:row>6</xdr:row>
      <xdr:rowOff>38100</xdr:rowOff>
    </xdr:from>
    <xdr:to>
      <xdr:col>7</xdr:col>
      <xdr:colOff>327660</xdr:colOff>
      <xdr:row>6</xdr:row>
      <xdr:rowOff>137160</xdr:rowOff>
    </xdr:to>
    <xdr:sp macro="" textlink="">
      <xdr:nvSpPr>
        <xdr:cNvPr id="35876" name="Line 6">
          <a:extLst>
            <a:ext uri="{FF2B5EF4-FFF2-40B4-BE49-F238E27FC236}">
              <a16:creationId xmlns:a16="http://schemas.microsoft.com/office/drawing/2014/main" id="{00000000-0008-0000-1400-0000248C0000}"/>
            </a:ext>
          </a:extLst>
        </xdr:cNvPr>
        <xdr:cNvSpPr>
          <a:spLocks noChangeShapeType="1"/>
        </xdr:cNvSpPr>
      </xdr:nvSpPr>
      <xdr:spPr bwMode="auto">
        <a:xfrm>
          <a:off x="5654040" y="1043940"/>
          <a:ext cx="0" cy="990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297180</xdr:colOff>
      <xdr:row>6</xdr:row>
      <xdr:rowOff>38100</xdr:rowOff>
    </xdr:from>
    <xdr:to>
      <xdr:col>8</xdr:col>
      <xdr:colOff>297180</xdr:colOff>
      <xdr:row>6</xdr:row>
      <xdr:rowOff>137160</xdr:rowOff>
    </xdr:to>
    <xdr:sp macro="" textlink="">
      <xdr:nvSpPr>
        <xdr:cNvPr id="35877" name="Line 7">
          <a:extLst>
            <a:ext uri="{FF2B5EF4-FFF2-40B4-BE49-F238E27FC236}">
              <a16:creationId xmlns:a16="http://schemas.microsoft.com/office/drawing/2014/main" id="{00000000-0008-0000-1400-0000258C0000}"/>
            </a:ext>
          </a:extLst>
        </xdr:cNvPr>
        <xdr:cNvSpPr>
          <a:spLocks noChangeShapeType="1"/>
        </xdr:cNvSpPr>
      </xdr:nvSpPr>
      <xdr:spPr bwMode="auto">
        <a:xfrm>
          <a:off x="6233160" y="1043940"/>
          <a:ext cx="0" cy="990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297180</xdr:colOff>
      <xdr:row>6</xdr:row>
      <xdr:rowOff>38100</xdr:rowOff>
    </xdr:from>
    <xdr:to>
      <xdr:col>9</xdr:col>
      <xdr:colOff>297180</xdr:colOff>
      <xdr:row>6</xdr:row>
      <xdr:rowOff>137160</xdr:rowOff>
    </xdr:to>
    <xdr:sp macro="" textlink="">
      <xdr:nvSpPr>
        <xdr:cNvPr id="35878" name="Line 8">
          <a:extLst>
            <a:ext uri="{FF2B5EF4-FFF2-40B4-BE49-F238E27FC236}">
              <a16:creationId xmlns:a16="http://schemas.microsoft.com/office/drawing/2014/main" id="{00000000-0008-0000-1400-0000268C0000}"/>
            </a:ext>
          </a:extLst>
        </xdr:cNvPr>
        <xdr:cNvSpPr>
          <a:spLocks noChangeShapeType="1"/>
        </xdr:cNvSpPr>
      </xdr:nvSpPr>
      <xdr:spPr bwMode="auto">
        <a:xfrm>
          <a:off x="6842760" y="1043940"/>
          <a:ext cx="0" cy="990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6</xdr:row>
      <xdr:rowOff>30480</xdr:rowOff>
    </xdr:from>
    <xdr:to>
      <xdr:col>10</xdr:col>
      <xdr:colOff>304800</xdr:colOff>
      <xdr:row>6</xdr:row>
      <xdr:rowOff>129540</xdr:rowOff>
    </xdr:to>
    <xdr:sp macro="" textlink="">
      <xdr:nvSpPr>
        <xdr:cNvPr id="35879" name="Line 9">
          <a:extLst>
            <a:ext uri="{FF2B5EF4-FFF2-40B4-BE49-F238E27FC236}">
              <a16:creationId xmlns:a16="http://schemas.microsoft.com/office/drawing/2014/main" id="{00000000-0008-0000-1400-0000278C0000}"/>
            </a:ext>
          </a:extLst>
        </xdr:cNvPr>
        <xdr:cNvSpPr>
          <a:spLocks noChangeShapeType="1"/>
        </xdr:cNvSpPr>
      </xdr:nvSpPr>
      <xdr:spPr bwMode="auto">
        <a:xfrm>
          <a:off x="7459980" y="1036320"/>
          <a:ext cx="0" cy="990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304800</xdr:colOff>
      <xdr:row>6</xdr:row>
      <xdr:rowOff>38100</xdr:rowOff>
    </xdr:from>
    <xdr:to>
      <xdr:col>11</xdr:col>
      <xdr:colOff>304800</xdr:colOff>
      <xdr:row>6</xdr:row>
      <xdr:rowOff>137160</xdr:rowOff>
    </xdr:to>
    <xdr:sp macro="" textlink="">
      <xdr:nvSpPr>
        <xdr:cNvPr id="35880" name="Line 10">
          <a:extLst>
            <a:ext uri="{FF2B5EF4-FFF2-40B4-BE49-F238E27FC236}">
              <a16:creationId xmlns:a16="http://schemas.microsoft.com/office/drawing/2014/main" id="{00000000-0008-0000-1400-0000288C0000}"/>
            </a:ext>
          </a:extLst>
        </xdr:cNvPr>
        <xdr:cNvSpPr>
          <a:spLocks noChangeShapeType="1"/>
        </xdr:cNvSpPr>
      </xdr:nvSpPr>
      <xdr:spPr bwMode="auto">
        <a:xfrm>
          <a:off x="8069580" y="1043940"/>
          <a:ext cx="0" cy="990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312420</xdr:colOff>
      <xdr:row>6</xdr:row>
      <xdr:rowOff>30480</xdr:rowOff>
    </xdr:from>
    <xdr:to>
      <xdr:col>12</xdr:col>
      <xdr:colOff>312420</xdr:colOff>
      <xdr:row>6</xdr:row>
      <xdr:rowOff>129540</xdr:rowOff>
    </xdr:to>
    <xdr:sp macro="" textlink="">
      <xdr:nvSpPr>
        <xdr:cNvPr id="35881" name="Line 11">
          <a:extLst>
            <a:ext uri="{FF2B5EF4-FFF2-40B4-BE49-F238E27FC236}">
              <a16:creationId xmlns:a16="http://schemas.microsoft.com/office/drawing/2014/main" id="{00000000-0008-0000-1400-0000298C0000}"/>
            </a:ext>
          </a:extLst>
        </xdr:cNvPr>
        <xdr:cNvSpPr>
          <a:spLocks noChangeShapeType="1"/>
        </xdr:cNvSpPr>
      </xdr:nvSpPr>
      <xdr:spPr bwMode="auto">
        <a:xfrm>
          <a:off x="8686800" y="1036320"/>
          <a:ext cx="0" cy="990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312420</xdr:colOff>
      <xdr:row>6</xdr:row>
      <xdr:rowOff>30480</xdr:rowOff>
    </xdr:from>
    <xdr:to>
      <xdr:col>13</xdr:col>
      <xdr:colOff>312420</xdr:colOff>
      <xdr:row>6</xdr:row>
      <xdr:rowOff>129540</xdr:rowOff>
    </xdr:to>
    <xdr:sp macro="" textlink="">
      <xdr:nvSpPr>
        <xdr:cNvPr id="35882" name="Line 12">
          <a:extLst>
            <a:ext uri="{FF2B5EF4-FFF2-40B4-BE49-F238E27FC236}">
              <a16:creationId xmlns:a16="http://schemas.microsoft.com/office/drawing/2014/main" id="{00000000-0008-0000-1400-00002A8C0000}"/>
            </a:ext>
          </a:extLst>
        </xdr:cNvPr>
        <xdr:cNvSpPr>
          <a:spLocks noChangeShapeType="1"/>
        </xdr:cNvSpPr>
      </xdr:nvSpPr>
      <xdr:spPr bwMode="auto">
        <a:xfrm>
          <a:off x="9296400" y="1036320"/>
          <a:ext cx="0" cy="990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312420</xdr:colOff>
      <xdr:row>6</xdr:row>
      <xdr:rowOff>30480</xdr:rowOff>
    </xdr:from>
    <xdr:to>
      <xdr:col>14</xdr:col>
      <xdr:colOff>312420</xdr:colOff>
      <xdr:row>6</xdr:row>
      <xdr:rowOff>129540</xdr:rowOff>
    </xdr:to>
    <xdr:sp macro="" textlink="">
      <xdr:nvSpPr>
        <xdr:cNvPr id="35883" name="Line 13">
          <a:extLst>
            <a:ext uri="{FF2B5EF4-FFF2-40B4-BE49-F238E27FC236}">
              <a16:creationId xmlns:a16="http://schemas.microsoft.com/office/drawing/2014/main" id="{00000000-0008-0000-1400-00002B8C0000}"/>
            </a:ext>
          </a:extLst>
        </xdr:cNvPr>
        <xdr:cNvSpPr>
          <a:spLocks noChangeShapeType="1"/>
        </xdr:cNvSpPr>
      </xdr:nvSpPr>
      <xdr:spPr bwMode="auto">
        <a:xfrm>
          <a:off x="9906000" y="1036320"/>
          <a:ext cx="0" cy="990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297180</xdr:colOff>
      <xdr:row>6</xdr:row>
      <xdr:rowOff>38100</xdr:rowOff>
    </xdr:from>
    <xdr:to>
      <xdr:col>3</xdr:col>
      <xdr:colOff>297180</xdr:colOff>
      <xdr:row>6</xdr:row>
      <xdr:rowOff>137160</xdr:rowOff>
    </xdr:to>
    <xdr:sp macro="" textlink="">
      <xdr:nvSpPr>
        <xdr:cNvPr id="35884" name="Line 14">
          <a:extLst>
            <a:ext uri="{FF2B5EF4-FFF2-40B4-BE49-F238E27FC236}">
              <a16:creationId xmlns:a16="http://schemas.microsoft.com/office/drawing/2014/main" id="{00000000-0008-0000-1400-00002C8C0000}"/>
            </a:ext>
          </a:extLst>
        </xdr:cNvPr>
        <xdr:cNvSpPr>
          <a:spLocks noChangeShapeType="1"/>
        </xdr:cNvSpPr>
      </xdr:nvSpPr>
      <xdr:spPr bwMode="auto">
        <a:xfrm>
          <a:off x="2948940" y="1043940"/>
          <a:ext cx="0" cy="990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297180</xdr:colOff>
      <xdr:row>6</xdr:row>
      <xdr:rowOff>30480</xdr:rowOff>
    </xdr:from>
    <xdr:to>
      <xdr:col>1</xdr:col>
      <xdr:colOff>297180</xdr:colOff>
      <xdr:row>6</xdr:row>
      <xdr:rowOff>129540</xdr:rowOff>
    </xdr:to>
    <xdr:sp macro="" textlink="">
      <xdr:nvSpPr>
        <xdr:cNvPr id="35885" name="Line 15">
          <a:extLst>
            <a:ext uri="{FF2B5EF4-FFF2-40B4-BE49-F238E27FC236}">
              <a16:creationId xmlns:a16="http://schemas.microsoft.com/office/drawing/2014/main" id="{00000000-0008-0000-1400-00002D8C0000}"/>
            </a:ext>
          </a:extLst>
        </xdr:cNvPr>
        <xdr:cNvSpPr>
          <a:spLocks noChangeShapeType="1"/>
        </xdr:cNvSpPr>
      </xdr:nvSpPr>
      <xdr:spPr bwMode="auto">
        <a:xfrm>
          <a:off x="1729740" y="1036320"/>
          <a:ext cx="0" cy="990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7</xdr:row>
      <xdr:rowOff>19050</xdr:rowOff>
    </xdr:from>
    <xdr:to>
      <xdr:col>2</xdr:col>
      <xdr:colOff>1722120</xdr:colOff>
      <xdr:row>22</xdr:row>
      <xdr:rowOff>133350</xdr:rowOff>
    </xdr:to>
    <xdr:graphicFrame macro="">
      <xdr:nvGraphicFramePr>
        <xdr:cNvPr id="8197" name="Chart 1">
          <a:extLst>
            <a:ext uri="{FF2B5EF4-FFF2-40B4-BE49-F238E27FC236}">
              <a16:creationId xmlns:a16="http://schemas.microsoft.com/office/drawing/2014/main" id="{00000000-0008-0000-1700-000005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17</xdr:row>
      <xdr:rowOff>38100</xdr:rowOff>
    </xdr:from>
    <xdr:to>
      <xdr:col>2</xdr:col>
      <xdr:colOff>2028825</xdr:colOff>
      <xdr:row>31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D14"/>
  <sheetViews>
    <sheetView zoomScale="130" zoomScaleNormal="130" workbookViewId="0">
      <selection activeCell="B5" sqref="B5"/>
    </sheetView>
  </sheetViews>
  <sheetFormatPr defaultRowHeight="13.2" x14ac:dyDescent="0.25"/>
  <cols>
    <col min="1" max="1" width="24.88671875" bestFit="1" customWidth="1"/>
    <col min="2" max="2" width="9.109375" bestFit="1" customWidth="1"/>
    <col min="3" max="3" width="17.6640625" bestFit="1" customWidth="1"/>
    <col min="4" max="4" width="18.33203125" bestFit="1" customWidth="1"/>
  </cols>
  <sheetData>
    <row r="1" spans="1:4" ht="17.399999999999999" x14ac:dyDescent="0.3">
      <c r="A1" s="102" t="s">
        <v>54</v>
      </c>
      <c r="B1" s="102"/>
      <c r="C1" s="102"/>
      <c r="D1" s="102"/>
    </row>
    <row r="2" spans="1:4" x14ac:dyDescent="0.25">
      <c r="A2" t="s">
        <v>0</v>
      </c>
      <c r="B2" s="2">
        <v>0.04</v>
      </c>
    </row>
    <row r="3" spans="1:4" s="18" customFormat="1" x14ac:dyDescent="0.25">
      <c r="A3" s="18" t="s">
        <v>2</v>
      </c>
      <c r="B3" s="18" t="s">
        <v>20</v>
      </c>
      <c r="C3" s="27" t="s">
        <v>1</v>
      </c>
    </row>
    <row r="4" spans="1:4" s="18" customFormat="1" x14ac:dyDescent="0.25">
      <c r="A4" s="79">
        <v>0</v>
      </c>
      <c r="C4" s="27"/>
    </row>
    <row r="5" spans="1:4" s="18" customFormat="1" x14ac:dyDescent="0.25">
      <c r="A5" s="28">
        <v>1</v>
      </c>
      <c r="B5" s="39">
        <v>100</v>
      </c>
      <c r="C5" s="31">
        <f>B5/(1+$B$2)^A5</f>
        <v>96.153846153846146</v>
      </c>
      <c r="D5" t="str">
        <f ca="1">"&lt;--"&amp;_xlfn.FORMULATEXT(C5)</f>
        <v>&lt;--=B5/(1+$B$2)^A5</v>
      </c>
    </row>
    <row r="6" spans="1:4" x14ac:dyDescent="0.25">
      <c r="A6" s="1">
        <v>2</v>
      </c>
      <c r="B6">
        <v>100</v>
      </c>
      <c r="C6" s="7">
        <f>B6/(1+$B$2)^A6</f>
        <v>92.455621301775139</v>
      </c>
      <c r="D6" t="str">
        <f ca="1">"&lt;--"&amp;_xlfn.FORMULATEXT(C6)</f>
        <v>&lt;--=B6/(1+$B$2)^A6</v>
      </c>
    </row>
    <row r="7" spans="1:4" x14ac:dyDescent="0.25">
      <c r="A7" s="1">
        <v>3</v>
      </c>
      <c r="B7">
        <v>100</v>
      </c>
      <c r="C7" s="7">
        <f>B7/(1+$B$2)^A7</f>
        <v>88.899635867091476</v>
      </c>
      <c r="D7" t="str">
        <f ca="1">"&lt;--"&amp;_xlfn.FORMULATEXT(C7)</f>
        <v>&lt;--=B7/(1+$B$2)^A7</v>
      </c>
    </row>
    <row r="8" spans="1:4" x14ac:dyDescent="0.25">
      <c r="A8" s="1">
        <v>4</v>
      </c>
      <c r="B8">
        <v>100</v>
      </c>
      <c r="C8" s="7">
        <f>B8/(1+$B$2)^A8</f>
        <v>85.480419102972576</v>
      </c>
      <c r="D8" t="str">
        <f ca="1">"&lt;--"&amp;_xlfn.FORMULATEXT(C8)</f>
        <v>&lt;--=B8/(1+$B$2)^A8</v>
      </c>
    </row>
    <row r="9" spans="1:4" x14ac:dyDescent="0.25">
      <c r="A9" s="1">
        <v>5</v>
      </c>
      <c r="B9">
        <v>100</v>
      </c>
      <c r="C9" s="7">
        <f>B9/(1+$B$2)^A9</f>
        <v>82.19271067593516</v>
      </c>
      <c r="D9" t="str">
        <f ca="1">"&lt;--"&amp;_xlfn.FORMULATEXT(C9)</f>
        <v>&lt;--=B9/(1+$B$2)^A9</v>
      </c>
    </row>
    <row r="11" spans="1:4" x14ac:dyDescent="0.25">
      <c r="A11" t="s">
        <v>1</v>
      </c>
    </row>
    <row r="12" spans="1:4" x14ac:dyDescent="0.25">
      <c r="A12" s="72" t="str">
        <f>"     Summing cells "&amp;CHAR(COLUMN(C5)+64)&amp;ROW(C5)&amp;":"&amp;CHAR(COLUMN(C9)+64)&amp;ROW(C9)</f>
        <v xml:space="preserve">     Summing cells C5:C9</v>
      </c>
      <c r="B12" s="73">
        <f>SUM(C5:C9)</f>
        <v>445.18223310162045</v>
      </c>
      <c r="C12" t="str">
        <f ca="1">"&lt;--"&amp;_xlfn.FORMULATEXT(B12)</f>
        <v>&lt;--=SUM(C5:C9)</v>
      </c>
    </row>
    <row r="13" spans="1:4" x14ac:dyDescent="0.25">
      <c r="A13" s="72" t="s">
        <v>52</v>
      </c>
      <c r="B13" s="73">
        <f>NPV(B2,B5:B9)</f>
        <v>445.18223310162051</v>
      </c>
      <c r="C13" t="str">
        <f ca="1">"&lt;--"&amp;_xlfn.FORMULATEXT(B13)</f>
        <v>&lt;--=NPV(B2,B5:B9)</v>
      </c>
    </row>
    <row r="14" spans="1:4" x14ac:dyDescent="0.25">
      <c r="A14" s="72" t="s">
        <v>55</v>
      </c>
      <c r="B14" s="74">
        <f>PV(B2,5,-100)</f>
        <v>445.18223310162108</v>
      </c>
      <c r="C14" t="str">
        <f ca="1">"&lt;--"&amp;_xlfn.FORMULATEXT(B14)</f>
        <v>&lt;--=PV(B2,5,-100)</v>
      </c>
    </row>
  </sheetData>
  <mergeCells count="1">
    <mergeCell ref="A1:D1"/>
  </mergeCells>
  <phoneticPr fontId="3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:D13"/>
  <sheetViews>
    <sheetView workbookViewId="0">
      <selection activeCell="C5" sqref="C5"/>
    </sheetView>
  </sheetViews>
  <sheetFormatPr defaultRowHeight="13.2" x14ac:dyDescent="0.25"/>
  <cols>
    <col min="1" max="1" width="24.88671875" bestFit="1" customWidth="1"/>
    <col min="2" max="2" width="9.109375" bestFit="1" customWidth="1"/>
    <col min="3" max="3" width="16.5546875" bestFit="1" customWidth="1"/>
    <col min="4" max="4" width="18.33203125" bestFit="1" customWidth="1"/>
  </cols>
  <sheetData>
    <row r="1" spans="1:4" ht="64.95" customHeight="1" x14ac:dyDescent="0.25">
      <c r="A1" s="103" t="s">
        <v>74</v>
      </c>
      <c r="B1" s="104"/>
      <c r="C1" s="104"/>
      <c r="D1" s="104"/>
    </row>
    <row r="2" spans="1:4" x14ac:dyDescent="0.25">
      <c r="A2" t="s">
        <v>0</v>
      </c>
      <c r="B2" s="2">
        <v>0.04</v>
      </c>
    </row>
    <row r="3" spans="1:4" s="18" customFormat="1" ht="13.2" customHeight="1" x14ac:dyDescent="0.25">
      <c r="A3" s="18" t="s">
        <v>2</v>
      </c>
      <c r="B3" s="27" t="s">
        <v>20</v>
      </c>
      <c r="C3" s="27" t="s">
        <v>1</v>
      </c>
      <c r="D3" s="27"/>
    </row>
    <row r="4" spans="1:4" s="18" customFormat="1" ht="13.2" customHeight="1" x14ac:dyDescent="0.25">
      <c r="A4" s="79">
        <v>0</v>
      </c>
      <c r="B4" s="27"/>
      <c r="C4" s="27"/>
      <c r="D4" s="27"/>
    </row>
    <row r="5" spans="1:4" s="18" customFormat="1" x14ac:dyDescent="0.25">
      <c r="A5" s="28">
        <v>1</v>
      </c>
      <c r="B5" s="39">
        <v>100</v>
      </c>
      <c r="C5" s="31">
        <f>B5/(1+$B$2)^A5</f>
        <v>96.153846153846146</v>
      </c>
      <c r="D5" t="str">
        <f ca="1">"&lt;--"&amp;_xlfn.FORMULATEXT(C5)</f>
        <v>&lt;--=B5/(1+$B$2)^A5</v>
      </c>
    </row>
    <row r="6" spans="1:4" x14ac:dyDescent="0.25">
      <c r="A6" s="1">
        <v>2</v>
      </c>
      <c r="B6">
        <v>200</v>
      </c>
      <c r="C6" s="7">
        <f>B6/(1+$B$2)^A6</f>
        <v>184.91124260355028</v>
      </c>
      <c r="D6" t="str">
        <f ca="1">"&lt;--"&amp;_xlfn.FORMULATEXT(C6)</f>
        <v>&lt;--=B6/(1+$B$2)^A6</v>
      </c>
    </row>
    <row r="7" spans="1:4" x14ac:dyDescent="0.25">
      <c r="A7" s="1">
        <v>3</v>
      </c>
      <c r="B7">
        <v>300</v>
      </c>
      <c r="C7" s="7">
        <f>B7/(1+$B$2)^A7</f>
        <v>266.69890760127447</v>
      </c>
      <c r="D7" t="str">
        <f ca="1">"&lt;--"&amp;_xlfn.FORMULATEXT(C7)</f>
        <v>&lt;--=B7/(1+$B$2)^A7</v>
      </c>
    </row>
    <row r="8" spans="1:4" x14ac:dyDescent="0.25">
      <c r="A8" s="1">
        <v>4</v>
      </c>
      <c r="B8">
        <v>400</v>
      </c>
      <c r="C8" s="7">
        <f>B8/(1+$B$2)^A8</f>
        <v>341.9216764118903</v>
      </c>
      <c r="D8" t="str">
        <f ca="1">"&lt;--"&amp;_xlfn.FORMULATEXT(C8)</f>
        <v>&lt;--=B8/(1+$B$2)^A8</v>
      </c>
    </row>
    <row r="9" spans="1:4" x14ac:dyDescent="0.25">
      <c r="A9" s="1">
        <v>5</v>
      </c>
      <c r="B9">
        <v>500</v>
      </c>
      <c r="C9" s="7">
        <f>B9/(1+$B$2)^A9</f>
        <v>410.96355337967577</v>
      </c>
      <c r="D9" t="str">
        <f ca="1">"&lt;--"&amp;_xlfn.FORMULATEXT(C9)</f>
        <v>&lt;--=B9/(1+$B$2)^A9</v>
      </c>
    </row>
    <row r="11" spans="1:4" x14ac:dyDescent="0.25">
      <c r="A11" t="s">
        <v>1</v>
      </c>
    </row>
    <row r="12" spans="1:4" x14ac:dyDescent="0.25">
      <c r="A12" s="72" t="str">
        <f>"     Summing cells "&amp;CHAR(COLUMN(C5)+64)&amp;ROW(C5)&amp;":"&amp;CHAR(COLUMN(C9)+64)&amp;ROW(C9)</f>
        <v xml:space="preserve">     Summing cells C5:C9</v>
      </c>
      <c r="B12" s="74">
        <f>SUM(C5:C9)</f>
        <v>1300.6492261502372</v>
      </c>
      <c r="C12" t="str">
        <f ca="1">"&lt;--"&amp;_xlfn.FORMULATEXT(B12)</f>
        <v>&lt;--=SUM(C5:C9)</v>
      </c>
    </row>
    <row r="13" spans="1:4" x14ac:dyDescent="0.25">
      <c r="A13" s="72" t="s">
        <v>52</v>
      </c>
      <c r="B13" s="74">
        <f>NPV(B2,B5:B9)</f>
        <v>1300.6492261502369</v>
      </c>
      <c r="C13" t="str">
        <f ca="1">"&lt;--"&amp;_xlfn.FORMULATEXT(B13)</f>
        <v>&lt;--=NPV(B2,B5:B9)</v>
      </c>
    </row>
  </sheetData>
  <mergeCells count="1">
    <mergeCell ref="A1:D1"/>
  </mergeCells>
  <phoneticPr fontId="3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D13"/>
  <sheetViews>
    <sheetView topLeftCell="A4" workbookViewId="0">
      <selection activeCell="D9" sqref="D9"/>
    </sheetView>
  </sheetViews>
  <sheetFormatPr defaultRowHeight="13.2" x14ac:dyDescent="0.25"/>
  <cols>
    <col min="1" max="1" width="24.88671875" bestFit="1" customWidth="1"/>
    <col min="2" max="2" width="9.109375" bestFit="1" customWidth="1"/>
    <col min="3" max="3" width="21" bestFit="1" customWidth="1"/>
    <col min="4" max="4" width="18.33203125" bestFit="1" customWidth="1"/>
  </cols>
  <sheetData>
    <row r="1" spans="1:4" ht="17.399999999999999" x14ac:dyDescent="0.3">
      <c r="A1" s="102" t="s">
        <v>51</v>
      </c>
      <c r="B1" s="102"/>
      <c r="C1" s="102"/>
      <c r="D1" s="102"/>
    </row>
    <row r="2" spans="1:4" x14ac:dyDescent="0.25">
      <c r="A2" t="s">
        <v>0</v>
      </c>
      <c r="B2" s="2">
        <v>0.04</v>
      </c>
    </row>
    <row r="3" spans="1:4" s="18" customFormat="1" x14ac:dyDescent="0.25">
      <c r="A3" s="18" t="s">
        <v>2</v>
      </c>
      <c r="B3" s="18" t="s">
        <v>20</v>
      </c>
      <c r="C3" s="27" t="s">
        <v>1</v>
      </c>
    </row>
    <row r="4" spans="1:4" s="18" customFormat="1" x14ac:dyDescent="0.25">
      <c r="A4" s="28">
        <v>0</v>
      </c>
      <c r="B4" s="39">
        <v>-250</v>
      </c>
      <c r="C4" s="47">
        <f t="shared" ref="C4:C9" si="0">B4/(1+$B$2)^A4</f>
        <v>-250</v>
      </c>
      <c r="D4" t="str">
        <f ca="1">"&lt;--"&amp;_xlfn.FORMULATEXT(C4)</f>
        <v>&lt;--=B4/(1+$B$2)^A4</v>
      </c>
    </row>
    <row r="5" spans="1:4" x14ac:dyDescent="0.25">
      <c r="A5" s="1">
        <v>1</v>
      </c>
      <c r="B5">
        <v>100</v>
      </c>
      <c r="C5" s="16">
        <f t="shared" si="0"/>
        <v>96.153846153846146</v>
      </c>
      <c r="D5" t="str">
        <f t="shared" ref="D5:D9" ca="1" si="1">"&lt;--"&amp;_xlfn.FORMULATEXT(C5)</f>
        <v>&lt;--=B5/(1+$B$2)^A5</v>
      </c>
    </row>
    <row r="6" spans="1:4" x14ac:dyDescent="0.25">
      <c r="A6" s="1">
        <v>2</v>
      </c>
      <c r="B6">
        <v>100</v>
      </c>
      <c r="C6" s="16">
        <f t="shared" si="0"/>
        <v>92.455621301775139</v>
      </c>
      <c r="D6" t="str">
        <f t="shared" ca="1" si="1"/>
        <v>&lt;--=B6/(1+$B$2)^A6</v>
      </c>
    </row>
    <row r="7" spans="1:4" x14ac:dyDescent="0.25">
      <c r="A7" s="1">
        <v>3</v>
      </c>
      <c r="B7">
        <v>100</v>
      </c>
      <c r="C7" s="16">
        <f t="shared" si="0"/>
        <v>88.899635867091476</v>
      </c>
      <c r="D7" t="str">
        <f t="shared" ca="1" si="1"/>
        <v>&lt;--=B7/(1+$B$2)^A7</v>
      </c>
    </row>
    <row r="8" spans="1:4" x14ac:dyDescent="0.25">
      <c r="A8" s="1">
        <v>4</v>
      </c>
      <c r="B8">
        <v>100</v>
      </c>
      <c r="C8" s="16">
        <f t="shared" si="0"/>
        <v>85.480419102972576</v>
      </c>
      <c r="D8" t="str">
        <f t="shared" ca="1" si="1"/>
        <v>&lt;--=B8/(1+$B$2)^A8</v>
      </c>
    </row>
    <row r="9" spans="1:4" x14ac:dyDescent="0.25">
      <c r="A9" s="1">
        <v>5</v>
      </c>
      <c r="B9">
        <v>100</v>
      </c>
      <c r="C9" s="16">
        <f t="shared" si="0"/>
        <v>82.19271067593516</v>
      </c>
      <c r="D9" t="str">
        <f t="shared" ca="1" si="1"/>
        <v>&lt;--=B9/(1+$B$2)^A9</v>
      </c>
    </row>
    <row r="11" spans="1:4" x14ac:dyDescent="0.25">
      <c r="A11" t="s">
        <v>30</v>
      </c>
    </row>
    <row r="12" spans="1:4" x14ac:dyDescent="0.25">
      <c r="A12" s="72" t="str">
        <f>"     Summing cells "&amp;CHAR(COLUMN(C4)+64)&amp;ROW(C4)&amp;":"&amp;CHAR(COLUMN(C9)+64)&amp;ROW(C9)</f>
        <v xml:space="preserve">     Summing cells C4:C9</v>
      </c>
      <c r="B12" s="73">
        <f>SUM(C4:C9)</f>
        <v>195.18223310162048</v>
      </c>
      <c r="C12" t="str">
        <f t="shared" ref="C12:C13" ca="1" si="2">"&lt;--"&amp;_xlfn.FORMULATEXT(B12)</f>
        <v>&lt;--=SUM(C4:C9)</v>
      </c>
    </row>
    <row r="13" spans="1:4" x14ac:dyDescent="0.25">
      <c r="A13" s="72" t="s">
        <v>52</v>
      </c>
      <c r="B13" s="73">
        <f>B4+NPV(B2,B5:B9)</f>
        <v>195.18223310162051</v>
      </c>
      <c r="C13" t="str">
        <f t="shared" ca="1" si="2"/>
        <v>&lt;--=B4+NPV(B2,B5:B9)</v>
      </c>
    </row>
  </sheetData>
  <mergeCells count="1">
    <mergeCell ref="A1:D1"/>
  </mergeCells>
  <phoneticPr fontId="3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18"/>
  <sheetViews>
    <sheetView workbookViewId="0">
      <selection sqref="A1:C1"/>
    </sheetView>
  </sheetViews>
  <sheetFormatPr defaultRowHeight="13.2" x14ac:dyDescent="0.25"/>
  <cols>
    <col min="1" max="1" width="37.33203125" bestFit="1" customWidth="1"/>
    <col min="2" max="2" width="17" bestFit="1" customWidth="1"/>
    <col min="3" max="3" width="26.109375" customWidth="1"/>
  </cols>
  <sheetData>
    <row r="1" spans="1:3" ht="17.399999999999999" x14ac:dyDescent="0.3">
      <c r="A1" s="102" t="s">
        <v>120</v>
      </c>
      <c r="B1" s="102"/>
      <c r="C1" s="102"/>
    </row>
    <row r="2" spans="1:3" ht="13.8" x14ac:dyDescent="0.25">
      <c r="A2" s="58" t="s">
        <v>63</v>
      </c>
      <c r="B2" s="59">
        <v>1000</v>
      </c>
      <c r="C2" s="58"/>
    </row>
    <row r="3" spans="1:3" ht="13.8" x14ac:dyDescent="0.25">
      <c r="A3" s="58" t="s">
        <v>56</v>
      </c>
      <c r="B3" s="58">
        <v>5</v>
      </c>
      <c r="C3" s="58"/>
    </row>
    <row r="4" spans="1:3" ht="13.8" x14ac:dyDescent="0.25">
      <c r="A4" s="58" t="s">
        <v>57</v>
      </c>
      <c r="B4" s="60">
        <v>0.06</v>
      </c>
      <c r="C4" s="58"/>
    </row>
    <row r="5" spans="1:3" ht="13.8" x14ac:dyDescent="0.25">
      <c r="A5" s="58" t="s">
        <v>58</v>
      </c>
      <c r="B5" s="58"/>
      <c r="C5" s="58"/>
    </row>
    <row r="6" spans="1:3" ht="13.8" x14ac:dyDescent="0.25">
      <c r="A6" s="75" t="s">
        <v>59</v>
      </c>
      <c r="B6" s="76">
        <f>B2*(1-1/(1+B4)^B3)/B4</f>
        <v>4212.3637855657189</v>
      </c>
      <c r="C6" s="58" t="str">
        <f ca="1">"&lt;--"&amp;_xlfn.FORMULATEXT(B6)</f>
        <v>&lt;--=B2*(1-1/(1+B4)^B3)/B4</v>
      </c>
    </row>
    <row r="7" spans="1:3" ht="13.8" x14ac:dyDescent="0.25">
      <c r="A7" s="75" t="s">
        <v>88</v>
      </c>
      <c r="B7" s="76">
        <f>PV(B4,B3,-B2)</f>
        <v>4212.363785565718</v>
      </c>
      <c r="C7" s="58" t="str">
        <f ca="1">"&lt;--"&amp;_xlfn.FORMULATEXT(B7)</f>
        <v>&lt;--=PV(B4,B3,-B2)</v>
      </c>
    </row>
    <row r="8" spans="1:3" ht="13.8" x14ac:dyDescent="0.25">
      <c r="A8" s="58"/>
      <c r="B8" s="58"/>
      <c r="C8" s="58"/>
    </row>
    <row r="9" spans="1:3" ht="27.6" x14ac:dyDescent="0.25">
      <c r="A9" s="61" t="s">
        <v>62</v>
      </c>
      <c r="B9" s="62" t="s">
        <v>92</v>
      </c>
      <c r="C9" s="58"/>
    </row>
    <row r="10" spans="1:3" ht="13.8" x14ac:dyDescent="0.25">
      <c r="A10" s="63">
        <v>0</v>
      </c>
      <c r="B10" s="100"/>
      <c r="C10" s="58"/>
    </row>
    <row r="11" spans="1:3" ht="13.8" x14ac:dyDescent="0.25">
      <c r="A11" s="63">
        <v>1</v>
      </c>
      <c r="B11" s="64">
        <f>B2</f>
        <v>1000</v>
      </c>
      <c r="C11" s="58" t="str">
        <f ca="1">"&lt;--"&amp;_xlfn.FORMULATEXT(B11)</f>
        <v>&lt;--=B2</v>
      </c>
    </row>
    <row r="12" spans="1:3" ht="13.8" x14ac:dyDescent="0.25">
      <c r="A12" s="63">
        <v>2</v>
      </c>
      <c r="B12" s="64">
        <f>B11</f>
        <v>1000</v>
      </c>
      <c r="C12" s="58"/>
    </row>
    <row r="13" spans="1:3" ht="13.8" x14ac:dyDescent="0.25">
      <c r="A13" s="63">
        <v>3</v>
      </c>
      <c r="B13" s="64">
        <f>B12</f>
        <v>1000</v>
      </c>
      <c r="C13" s="58"/>
    </row>
    <row r="14" spans="1:3" ht="13.8" x14ac:dyDescent="0.25">
      <c r="A14" s="63">
        <v>4</v>
      </c>
      <c r="B14" s="64">
        <f>B13</f>
        <v>1000</v>
      </c>
      <c r="C14" s="58"/>
    </row>
    <row r="15" spans="1:3" ht="13.8" x14ac:dyDescent="0.25">
      <c r="A15" s="63">
        <v>5</v>
      </c>
      <c r="B15" s="64">
        <f>B14</f>
        <v>1000</v>
      </c>
      <c r="C15" s="58"/>
    </row>
    <row r="16" spans="1:3" ht="13.8" x14ac:dyDescent="0.25">
      <c r="A16" s="58"/>
      <c r="B16" s="58"/>
      <c r="C16" s="58"/>
    </row>
    <row r="17" spans="1:3" ht="13.8" x14ac:dyDescent="0.25">
      <c r="A17" s="75" t="s">
        <v>89</v>
      </c>
      <c r="B17" s="76">
        <f>NPV(B4,B11:B15)</f>
        <v>4212.3637855657134</v>
      </c>
      <c r="C17" s="58" t="str">
        <f ca="1">"&lt;--"&amp;_xlfn.FORMULATEXT(B17)</f>
        <v>&lt;--=NPV(B4,B11:B15)</v>
      </c>
    </row>
    <row r="18" spans="1:3" ht="13.8" x14ac:dyDescent="0.25">
      <c r="A18" s="58"/>
      <c r="B18" s="58"/>
      <c r="C18" s="58"/>
    </row>
  </sheetData>
  <mergeCells count="1">
    <mergeCell ref="A1:C1"/>
  </mergeCells>
  <phoneticPr fontId="3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E4"/>
  <sheetViews>
    <sheetView workbookViewId="0">
      <selection sqref="A1:E1"/>
    </sheetView>
  </sheetViews>
  <sheetFormatPr defaultRowHeight="13.2" x14ac:dyDescent="0.25"/>
  <cols>
    <col min="1" max="1" width="22.109375" customWidth="1"/>
    <col min="2" max="2" width="10.21875" customWidth="1"/>
    <col min="3" max="3" width="15.6640625" customWidth="1"/>
  </cols>
  <sheetData>
    <row r="1" spans="1:5" ht="17.399999999999999" x14ac:dyDescent="0.3">
      <c r="A1" s="102" t="s">
        <v>121</v>
      </c>
      <c r="B1" s="102"/>
      <c r="C1" s="102"/>
      <c r="D1" s="102"/>
      <c r="E1" s="102"/>
    </row>
    <row r="2" spans="1:5" x14ac:dyDescent="0.25">
      <c r="A2" t="s">
        <v>63</v>
      </c>
      <c r="B2" s="19">
        <v>1000</v>
      </c>
    </row>
    <row r="3" spans="1:5" x14ac:dyDescent="0.25">
      <c r="A3" t="s">
        <v>57</v>
      </c>
      <c r="B3" s="2">
        <v>0.06</v>
      </c>
    </row>
    <row r="4" spans="1:5" x14ac:dyDescent="0.25">
      <c r="A4" s="72" t="s">
        <v>58</v>
      </c>
      <c r="B4" s="74">
        <f>B2/B3</f>
        <v>16666.666666666668</v>
      </c>
      <c r="C4" t="str">
        <f ca="1">"&lt;--"&amp;_xlfn.FORMULATEXT(B4)</f>
        <v>&lt;--=B2/B3</v>
      </c>
    </row>
  </sheetData>
  <mergeCells count="1">
    <mergeCell ref="A1:E1"/>
  </mergeCells>
  <phoneticPr fontId="3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9"/>
  <dimension ref="A1:C18"/>
  <sheetViews>
    <sheetView workbookViewId="0">
      <selection sqref="A1:C1"/>
    </sheetView>
  </sheetViews>
  <sheetFormatPr defaultRowHeight="13.2" x14ac:dyDescent="0.25"/>
  <cols>
    <col min="1" max="1" width="37.33203125" bestFit="1" customWidth="1"/>
    <col min="2" max="2" width="16.88671875" bestFit="1" customWidth="1"/>
    <col min="3" max="3" width="35.6640625" bestFit="1" customWidth="1"/>
  </cols>
  <sheetData>
    <row r="1" spans="1:3" ht="17.399999999999999" x14ac:dyDescent="0.3">
      <c r="A1" s="102" t="s">
        <v>90</v>
      </c>
      <c r="B1" s="102"/>
      <c r="C1" s="102"/>
    </row>
    <row r="2" spans="1:3" s="58" customFormat="1" ht="13.8" x14ac:dyDescent="0.25">
      <c r="A2" s="58" t="s">
        <v>60</v>
      </c>
      <c r="B2" s="59">
        <v>1000</v>
      </c>
    </row>
    <row r="3" spans="1:3" s="58" customFormat="1" ht="13.8" x14ac:dyDescent="0.25">
      <c r="A3" s="58" t="s">
        <v>61</v>
      </c>
      <c r="B3" s="65">
        <v>0.03</v>
      </c>
    </row>
    <row r="4" spans="1:3" s="58" customFormat="1" ht="13.8" x14ac:dyDescent="0.25">
      <c r="A4" s="58" t="s">
        <v>56</v>
      </c>
      <c r="B4" s="58">
        <v>5</v>
      </c>
    </row>
    <row r="5" spans="1:3" s="58" customFormat="1" ht="13.8" x14ac:dyDescent="0.25">
      <c r="A5" s="58" t="s">
        <v>57</v>
      </c>
      <c r="B5" s="60">
        <v>0.06</v>
      </c>
    </row>
    <row r="6" spans="1:3" s="58" customFormat="1" ht="13.8" x14ac:dyDescent="0.25">
      <c r="A6" s="58" t="s">
        <v>58</v>
      </c>
    </row>
    <row r="7" spans="1:3" s="58" customFormat="1" ht="13.8" x14ac:dyDescent="0.25">
      <c r="A7" s="75" t="s">
        <v>59</v>
      </c>
      <c r="B7" s="76">
        <f>B2*(1-((1+B3)/(1+B5))^B4)/(B5-B3)</f>
        <v>4457.4324462530703</v>
      </c>
      <c r="C7" s="58" t="str">
        <f ca="1">"&lt;--"&amp;_xlfn.FORMULATEXT(B7)</f>
        <v>&lt;--=B2*(1-((1+B3)/(1+B5))^B4)/(B5-B3)</v>
      </c>
    </row>
    <row r="8" spans="1:3" s="58" customFormat="1" ht="13.8" x14ac:dyDescent="0.25">
      <c r="B8" s="64"/>
    </row>
    <row r="9" spans="1:3" s="58" customFormat="1" ht="27.6" x14ac:dyDescent="0.25">
      <c r="A9" s="61" t="s">
        <v>62</v>
      </c>
      <c r="B9" s="62" t="s">
        <v>92</v>
      </c>
    </row>
    <row r="10" spans="1:3" s="58" customFormat="1" ht="13.8" x14ac:dyDescent="0.25">
      <c r="A10" s="63">
        <v>0</v>
      </c>
      <c r="B10" s="64"/>
    </row>
    <row r="11" spans="1:3" s="58" customFormat="1" ht="13.8" x14ac:dyDescent="0.25">
      <c r="A11" s="63">
        <v>1</v>
      </c>
      <c r="B11" s="64">
        <f>B2</f>
        <v>1000</v>
      </c>
      <c r="C11" s="58" t="str">
        <f ca="1">"&lt;--"&amp;_xlfn.FORMULATEXT(B11)</f>
        <v>&lt;--=B2</v>
      </c>
    </row>
    <row r="12" spans="1:3" s="58" customFormat="1" ht="13.8" x14ac:dyDescent="0.25">
      <c r="A12" s="63">
        <v>2</v>
      </c>
      <c r="B12" s="64">
        <f>$B$2*(1+$B$3)^(A12-$A$11)</f>
        <v>1030</v>
      </c>
      <c r="C12" s="58" t="str">
        <f ca="1">"&lt;--"&amp;_xlfn.FORMULATEXT(B12)</f>
        <v>&lt;--=$B$2*(1+$B$3)^(A12-$A$11)</v>
      </c>
    </row>
    <row r="13" spans="1:3" s="58" customFormat="1" ht="13.8" x14ac:dyDescent="0.25">
      <c r="A13" s="63">
        <v>3</v>
      </c>
      <c r="B13" s="64">
        <f>$B$2*(1+$B$3)^(A13-$A$11)</f>
        <v>1060.8999999999999</v>
      </c>
      <c r="C13" s="58" t="str">
        <f ca="1">"&lt;--"&amp;_xlfn.FORMULATEXT(B13)</f>
        <v>&lt;--=$B$2*(1+$B$3)^(A13-$A$11)</v>
      </c>
    </row>
    <row r="14" spans="1:3" s="58" customFormat="1" ht="13.8" x14ac:dyDescent="0.25">
      <c r="A14" s="63">
        <v>4</v>
      </c>
      <c r="B14" s="64">
        <f>$B$2*(1+$B$3)^(A14-$A$11)</f>
        <v>1092.7270000000001</v>
      </c>
      <c r="C14" s="58" t="str">
        <f ca="1">"&lt;--"&amp;_xlfn.FORMULATEXT(B14)</f>
        <v>&lt;--=$B$2*(1+$B$3)^(A14-$A$11)</v>
      </c>
    </row>
    <row r="15" spans="1:3" s="58" customFormat="1" ht="13.8" x14ac:dyDescent="0.25">
      <c r="A15" s="63">
        <v>5</v>
      </c>
      <c r="B15" s="64">
        <f>$B$2*(1+$B$3)^(A15-$A$11)</f>
        <v>1125.5088099999998</v>
      </c>
      <c r="C15" s="58" t="str">
        <f ca="1">"&lt;--"&amp;_xlfn.FORMULATEXT(B15)</f>
        <v>&lt;--=$B$2*(1+$B$3)^(A15-$A$11)</v>
      </c>
    </row>
    <row r="16" spans="1:3" s="58" customFormat="1" ht="13.8" x14ac:dyDescent="0.25"/>
    <row r="17" spans="1:3" s="58" customFormat="1" ht="13.8" x14ac:dyDescent="0.25">
      <c r="A17" s="75" t="s">
        <v>89</v>
      </c>
      <c r="B17" s="76">
        <f>NPV(B5,B11:B15)</f>
        <v>4457.4324462530722</v>
      </c>
      <c r="C17" s="58" t="str">
        <f ca="1">"&lt;--"&amp;_xlfn.FORMULATEXT(B17)</f>
        <v>&lt;--=NPV(B5,B11:B15)</v>
      </c>
    </row>
    <row r="18" spans="1:3" s="58" customFormat="1" ht="13.8" x14ac:dyDescent="0.25"/>
  </sheetData>
  <mergeCells count="1">
    <mergeCell ref="A1:C1"/>
  </mergeCells>
  <phoneticPr fontId="3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/>
  <dimension ref="A1:C16"/>
  <sheetViews>
    <sheetView workbookViewId="0">
      <selection activeCell="H6" sqref="H6"/>
    </sheetView>
  </sheetViews>
  <sheetFormatPr defaultRowHeight="13.2" x14ac:dyDescent="0.25"/>
  <cols>
    <col min="1" max="1" width="24.88671875" bestFit="1" customWidth="1"/>
    <col min="2" max="2" width="11.44140625" customWidth="1"/>
    <col min="3" max="3" width="30" bestFit="1" customWidth="1"/>
  </cols>
  <sheetData>
    <row r="1" spans="1:3" ht="34.5" customHeight="1" x14ac:dyDescent="0.3">
      <c r="A1" s="105" t="s">
        <v>93</v>
      </c>
      <c r="B1" s="105"/>
      <c r="C1" s="105"/>
    </row>
    <row r="2" spans="1:3" s="58" customFormat="1" ht="13.8" x14ac:dyDescent="0.25">
      <c r="A2" s="58" t="s">
        <v>63</v>
      </c>
      <c r="B2" s="59">
        <v>1000</v>
      </c>
      <c r="C2" s="58" t="s">
        <v>64</v>
      </c>
    </row>
    <row r="3" spans="1:3" s="58" customFormat="1" ht="13.8" x14ac:dyDescent="0.25">
      <c r="A3" s="58" t="s">
        <v>61</v>
      </c>
      <c r="B3" s="65">
        <v>0.03</v>
      </c>
    </row>
    <row r="4" spans="1:3" s="58" customFormat="1" ht="13.8" x14ac:dyDescent="0.25">
      <c r="A4" s="58" t="s">
        <v>57</v>
      </c>
      <c r="B4" s="60">
        <v>0.06</v>
      </c>
    </row>
    <row r="5" spans="1:3" s="58" customFormat="1" ht="13.8" x14ac:dyDescent="0.25">
      <c r="A5" s="75" t="s">
        <v>58</v>
      </c>
      <c r="B5" s="76">
        <f>IF(B3&lt;B4,B2/(B4-B3),"NA")</f>
        <v>33333.333333333336</v>
      </c>
      <c r="C5" s="58" t="str">
        <f ca="1">"&lt;--"&amp;_xlfn.FORMULATEXT(B5)</f>
        <v>&lt;--=IF(B3&lt;B4,B2/(B4-B3),"NA")</v>
      </c>
    </row>
    <row r="6" spans="1:3" s="58" customFormat="1" ht="13.8" x14ac:dyDescent="0.25"/>
    <row r="7" spans="1:3" s="58" customFormat="1" ht="13.8" x14ac:dyDescent="0.25"/>
    <row r="8" spans="1:3" s="58" customFormat="1" ht="13.8" x14ac:dyDescent="0.25"/>
    <row r="9" spans="1:3" s="58" customFormat="1" ht="13.8" x14ac:dyDescent="0.25"/>
    <row r="10" spans="1:3" s="58" customFormat="1" ht="13.8" x14ac:dyDescent="0.25"/>
    <row r="11" spans="1:3" s="58" customFormat="1" ht="13.8" x14ac:dyDescent="0.25"/>
    <row r="12" spans="1:3" s="58" customFormat="1" ht="13.8" x14ac:dyDescent="0.25"/>
    <row r="13" spans="1:3" s="58" customFormat="1" ht="13.8" x14ac:dyDescent="0.25"/>
    <row r="14" spans="1:3" s="58" customFormat="1" ht="13.8" x14ac:dyDescent="0.25"/>
    <row r="15" spans="1:3" s="58" customFormat="1" ht="13.8" x14ac:dyDescent="0.25"/>
    <row r="16" spans="1:3" s="58" customFormat="1" ht="13.8" x14ac:dyDescent="0.25"/>
  </sheetData>
  <mergeCells count="1">
    <mergeCell ref="A1:C1"/>
  </mergeCells>
  <phoneticPr fontId="3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D34B0-9E8C-433D-8C57-33EAD91AB32D}">
  <sheetPr codeName="Sheet30"/>
  <dimension ref="A1:C10"/>
  <sheetViews>
    <sheetView workbookViewId="0">
      <selection activeCell="B10" sqref="B10"/>
    </sheetView>
  </sheetViews>
  <sheetFormatPr defaultRowHeight="13.2" x14ac:dyDescent="0.25"/>
  <cols>
    <col min="1" max="1" width="25.21875" customWidth="1"/>
    <col min="2" max="2" width="9.109375" bestFit="1" customWidth="1"/>
    <col min="3" max="3" width="26" customWidth="1"/>
  </cols>
  <sheetData>
    <row r="1" spans="1:3" ht="17.399999999999999" x14ac:dyDescent="0.25">
      <c r="A1" s="103" t="s">
        <v>94</v>
      </c>
      <c r="B1" s="104"/>
      <c r="C1" s="104"/>
    </row>
    <row r="2" spans="1:3" s="18" customFormat="1" ht="13.2" customHeight="1" x14ac:dyDescent="0.25">
      <c r="A2" s="18" t="s">
        <v>2</v>
      </c>
      <c r="B2" s="27" t="s">
        <v>20</v>
      </c>
      <c r="C2" s="27"/>
    </row>
    <row r="3" spans="1:3" s="18" customFormat="1" x14ac:dyDescent="0.25">
      <c r="A3" s="28">
        <v>0</v>
      </c>
      <c r="B3" s="39">
        <v>-800</v>
      </c>
      <c r="C3" s="40"/>
    </row>
    <row r="4" spans="1:3" s="18" customFormat="1" x14ac:dyDescent="0.25">
      <c r="A4" s="28">
        <v>1</v>
      </c>
      <c r="B4" s="39">
        <v>100</v>
      </c>
      <c r="C4" s="40"/>
    </row>
    <row r="5" spans="1:3" x14ac:dyDescent="0.25">
      <c r="A5" s="1">
        <v>2</v>
      </c>
      <c r="B5">
        <v>200</v>
      </c>
      <c r="C5" s="38"/>
    </row>
    <row r="6" spans="1:3" x14ac:dyDescent="0.25">
      <c r="A6" s="1">
        <v>3</v>
      </c>
      <c r="B6">
        <v>300</v>
      </c>
      <c r="C6" s="38"/>
    </row>
    <row r="7" spans="1:3" x14ac:dyDescent="0.25">
      <c r="A7" s="1">
        <v>4</v>
      </c>
      <c r="B7">
        <v>400</v>
      </c>
      <c r="C7" s="38"/>
    </row>
    <row r="8" spans="1:3" x14ac:dyDescent="0.25">
      <c r="A8" s="1">
        <v>5</v>
      </c>
      <c r="B8">
        <v>500</v>
      </c>
      <c r="C8" s="38"/>
    </row>
    <row r="10" spans="1:3" x14ac:dyDescent="0.25">
      <c r="A10" s="101" t="s">
        <v>122</v>
      </c>
      <c r="B10" s="77">
        <f>IRR(B3:B8)</f>
        <v>0.19538198175630428</v>
      </c>
      <c r="C10" s="17" t="str">
        <f ca="1">"&lt;--"&amp;_xlfn.FORMULATEXT(B10)</f>
        <v>&lt;--=IRR(B3:B8)</v>
      </c>
    </row>
  </sheetData>
  <mergeCells count="1">
    <mergeCell ref="A1:C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B95BF-7ED5-412B-B927-00806787E680}">
  <sheetPr codeName="Sheet32"/>
  <dimension ref="A1:D11"/>
  <sheetViews>
    <sheetView workbookViewId="0">
      <selection activeCell="C16" sqref="C16"/>
    </sheetView>
  </sheetViews>
  <sheetFormatPr defaultColWidth="8.77734375" defaultRowHeight="13.2" outlineLevelRow="5" outlineLevelCol="5" x14ac:dyDescent="0.25"/>
  <cols>
    <col min="1" max="1" width="22.6640625" customWidth="1"/>
    <col min="2" max="2" width="9.77734375" bestFit="1" customWidth="1"/>
    <col min="3" max="3" width="26.88671875" customWidth="1"/>
    <col min="5" max="16384" width="8.77734375" outlineLevel="5"/>
  </cols>
  <sheetData>
    <row r="1" spans="1:3" ht="17.399999999999999" x14ac:dyDescent="0.25">
      <c r="A1" s="103" t="s">
        <v>94</v>
      </c>
      <c r="B1" s="104"/>
      <c r="C1" s="104"/>
    </row>
    <row r="2" spans="1:3" s="79" customFormat="1" ht="13.2" customHeight="1" x14ac:dyDescent="0.25">
      <c r="A2" s="81" t="s">
        <v>95</v>
      </c>
      <c r="B2" s="82">
        <v>0.06</v>
      </c>
      <c r="C2" s="80"/>
    </row>
    <row r="3" spans="1:3" s="18" customFormat="1" ht="13.2" customHeight="1" x14ac:dyDescent="0.25">
      <c r="A3" s="18" t="s">
        <v>2</v>
      </c>
      <c r="B3" s="27" t="s">
        <v>20</v>
      </c>
      <c r="C3" s="27"/>
    </row>
    <row r="4" spans="1:3" s="18" customFormat="1" x14ac:dyDescent="0.25">
      <c r="A4" s="28">
        <v>0</v>
      </c>
      <c r="B4" s="39">
        <v>-800</v>
      </c>
      <c r="C4" s="40"/>
    </row>
    <row r="5" spans="1:3" s="18" customFormat="1" x14ac:dyDescent="0.25">
      <c r="A5" s="28">
        <v>1</v>
      </c>
      <c r="B5" s="39">
        <v>100</v>
      </c>
      <c r="C5" s="40"/>
    </row>
    <row r="6" spans="1:3" x14ac:dyDescent="0.25">
      <c r="A6" s="1">
        <v>2</v>
      </c>
      <c r="B6">
        <v>200</v>
      </c>
      <c r="C6" s="38"/>
    </row>
    <row r="7" spans="1:3" x14ac:dyDescent="0.25">
      <c r="A7" s="1">
        <v>3</v>
      </c>
      <c r="B7">
        <v>300</v>
      </c>
      <c r="C7" s="38"/>
    </row>
    <row r="8" spans="1:3" x14ac:dyDescent="0.25">
      <c r="A8" s="1">
        <v>4</v>
      </c>
      <c r="B8">
        <v>400</v>
      </c>
      <c r="C8" s="38"/>
    </row>
    <row r="9" spans="1:3" x14ac:dyDescent="0.25">
      <c r="A9" s="1">
        <v>5</v>
      </c>
      <c r="B9">
        <v>500</v>
      </c>
      <c r="C9" s="38"/>
    </row>
    <row r="11" spans="1:3" x14ac:dyDescent="0.25">
      <c r="A11" s="72" t="s">
        <v>53</v>
      </c>
      <c r="B11" s="74">
        <f>NPV(B2,B5:B9)+B4</f>
        <v>414.69124728228462</v>
      </c>
      <c r="C11" s="17" t="str">
        <f ca="1">"&lt;--"&amp;_xlfn.FORMULATEXT(B11)</f>
        <v>&lt;--=NPV(B2,B5:B9)+B4</v>
      </c>
    </row>
  </sheetData>
  <mergeCells count="1">
    <mergeCell ref="A1:C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3BD3-7ECC-4DFE-A69F-F9A9B6A7E49D}">
  <sheetPr codeName="Sheet35"/>
  <dimension ref="A1:D11"/>
  <sheetViews>
    <sheetView workbookViewId="0">
      <selection activeCell="C19" sqref="C19"/>
    </sheetView>
  </sheetViews>
  <sheetFormatPr defaultColWidth="8.77734375" defaultRowHeight="13.2" outlineLevelRow="5" outlineLevelCol="5" x14ac:dyDescent="0.25"/>
  <cols>
    <col min="1" max="1" width="22.6640625" customWidth="1"/>
    <col min="2" max="2" width="9.77734375" bestFit="1" customWidth="1"/>
    <col min="3" max="3" width="26.88671875" customWidth="1"/>
    <col min="5" max="16384" width="8.77734375" outlineLevel="5"/>
  </cols>
  <sheetData>
    <row r="1" spans="1:3" ht="17.399999999999999" x14ac:dyDescent="0.25">
      <c r="A1" s="103" t="s">
        <v>94</v>
      </c>
      <c r="B1" s="104"/>
      <c r="C1" s="104"/>
    </row>
    <row r="2" spans="1:3" s="79" customFormat="1" ht="13.2" customHeight="1" x14ac:dyDescent="0.25">
      <c r="A2" s="81" t="s">
        <v>95</v>
      </c>
      <c r="B2" s="82">
        <v>0.19538198175630428</v>
      </c>
      <c r="C2" s="80"/>
    </row>
    <row r="3" spans="1:3" s="18" customFormat="1" ht="13.2" customHeight="1" x14ac:dyDescent="0.25">
      <c r="A3" s="18" t="s">
        <v>2</v>
      </c>
      <c r="B3" s="27" t="s">
        <v>20</v>
      </c>
      <c r="C3" s="27"/>
    </row>
    <row r="4" spans="1:3" s="18" customFormat="1" x14ac:dyDescent="0.25">
      <c r="A4" s="28">
        <v>0</v>
      </c>
      <c r="B4" s="39">
        <v>-800</v>
      </c>
      <c r="C4" s="40"/>
    </row>
    <row r="5" spans="1:3" s="18" customFormat="1" x14ac:dyDescent="0.25">
      <c r="A5" s="28">
        <v>1</v>
      </c>
      <c r="B5" s="39">
        <v>100</v>
      </c>
      <c r="C5" s="40"/>
    </row>
    <row r="6" spans="1:3" x14ac:dyDescent="0.25">
      <c r="A6" s="1">
        <v>2</v>
      </c>
      <c r="B6">
        <v>200</v>
      </c>
      <c r="C6" s="38"/>
    </row>
    <row r="7" spans="1:3" x14ac:dyDescent="0.25">
      <c r="A7" s="1">
        <v>3</v>
      </c>
      <c r="B7">
        <v>300</v>
      </c>
      <c r="C7" s="38"/>
    </row>
    <row r="8" spans="1:3" x14ac:dyDescent="0.25">
      <c r="A8" s="1">
        <v>4</v>
      </c>
      <c r="B8">
        <v>400</v>
      </c>
      <c r="C8" s="38"/>
    </row>
    <row r="9" spans="1:3" x14ac:dyDescent="0.25">
      <c r="A9" s="1">
        <v>5</v>
      </c>
      <c r="B9">
        <v>500</v>
      </c>
      <c r="C9" s="38"/>
    </row>
    <row r="11" spans="1:3" x14ac:dyDescent="0.25">
      <c r="A11" s="72" t="s">
        <v>53</v>
      </c>
      <c r="B11" s="74">
        <f>NPV(B2,B5:B9)+B4</f>
        <v>1.756347955961246E-9</v>
      </c>
      <c r="C11" s="17" t="str">
        <f ca="1">getformula(B11)</f>
        <v>&lt;--  =NPV(B2,B5:B9)+B4</v>
      </c>
    </row>
  </sheetData>
  <mergeCells count="1">
    <mergeCell ref="A1:C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25"/>
  <sheetViews>
    <sheetView workbookViewId="0">
      <selection activeCell="C19" sqref="C19"/>
    </sheetView>
  </sheetViews>
  <sheetFormatPr defaultRowHeight="13.2" x14ac:dyDescent="0.25"/>
  <cols>
    <col min="1" max="1" width="18.33203125" bestFit="1" customWidth="1"/>
    <col min="2" max="2" width="16.44140625" customWidth="1"/>
    <col min="3" max="3" width="14.21875" bestFit="1" customWidth="1"/>
    <col min="4" max="4" width="13.33203125" customWidth="1"/>
    <col min="5" max="5" width="12.5546875" bestFit="1" customWidth="1"/>
    <col min="6" max="6" width="16.44140625" bestFit="1" customWidth="1"/>
  </cols>
  <sheetData>
    <row r="1" spans="1:6" ht="19.2" customHeight="1" x14ac:dyDescent="0.25">
      <c r="A1" s="103" t="s">
        <v>38</v>
      </c>
      <c r="B1" s="106"/>
      <c r="C1" s="106"/>
    </row>
    <row r="2" spans="1:6" x14ac:dyDescent="0.25">
      <c r="A2" s="18" t="s">
        <v>2</v>
      </c>
      <c r="B2" s="27" t="s">
        <v>20</v>
      </c>
      <c r="C2" s="27"/>
    </row>
    <row r="3" spans="1:6" s="29" customFormat="1" x14ac:dyDescent="0.25">
      <c r="A3" s="28">
        <v>0</v>
      </c>
      <c r="B3" s="39">
        <v>-800</v>
      </c>
      <c r="C3" s="40"/>
    </row>
    <row r="4" spans="1:6" x14ac:dyDescent="0.25">
      <c r="A4" s="28">
        <v>1</v>
      </c>
      <c r="B4" s="39">
        <v>100</v>
      </c>
      <c r="C4" s="40"/>
    </row>
    <row r="5" spans="1:6" x14ac:dyDescent="0.25">
      <c r="A5" s="1">
        <v>2</v>
      </c>
      <c r="B5">
        <v>200</v>
      </c>
      <c r="C5" s="38"/>
    </row>
    <row r="6" spans="1:6" x14ac:dyDescent="0.25">
      <c r="A6" s="1">
        <v>3</v>
      </c>
      <c r="B6">
        <v>300</v>
      </c>
      <c r="C6" s="38"/>
    </row>
    <row r="7" spans="1:6" x14ac:dyDescent="0.25">
      <c r="A7" s="1">
        <v>4</v>
      </c>
      <c r="B7">
        <v>400</v>
      </c>
      <c r="C7" s="38"/>
    </row>
    <row r="8" spans="1:6" x14ac:dyDescent="0.25">
      <c r="A8" s="1">
        <v>5</v>
      </c>
      <c r="B8">
        <v>500</v>
      </c>
      <c r="C8" s="38"/>
    </row>
    <row r="10" spans="1:6" x14ac:dyDescent="0.25">
      <c r="A10" s="101" t="s">
        <v>122</v>
      </c>
      <c r="B10" s="77">
        <f>IRR(B3:B8)</f>
        <v>0.19538198175630428</v>
      </c>
      <c r="C10" s="17" t="str">
        <f ca="1">getformula(B10)</f>
        <v>&lt;--  =IRR(B3:B8)</v>
      </c>
    </row>
    <row r="12" spans="1:6" ht="16.2" thickBot="1" x14ac:dyDescent="0.35">
      <c r="A12" s="116" t="s">
        <v>98</v>
      </c>
      <c r="B12" s="116"/>
      <c r="C12" s="116"/>
      <c r="D12" s="116"/>
      <c r="E12" s="116"/>
      <c r="F12" s="116"/>
    </row>
    <row r="13" spans="1:6" ht="13.8" thickBot="1" x14ac:dyDescent="0.3">
      <c r="C13" s="83" t="str">
        <f ca="1">_xlfn.FORMULATEXT(C17)</f>
        <v>=B17*$B$10</v>
      </c>
    </row>
    <row r="14" spans="1:6" ht="13.8" thickBot="1" x14ac:dyDescent="0.3">
      <c r="A14" s="83" t="str">
        <f ca="1">_xlfn.FORMULATEXT(B17)</f>
        <v>=-B3</v>
      </c>
      <c r="C14" s="84"/>
      <c r="E14" s="83" t="str">
        <f ca="1">_xlfn.FORMULATEXT(D17)</f>
        <v>=B4</v>
      </c>
    </row>
    <row r="15" spans="1:6" ht="15.6" x14ac:dyDescent="0.3">
      <c r="A15" s="25"/>
    </row>
    <row r="16" spans="1:6" s="18" customFormat="1" ht="39.6" x14ac:dyDescent="0.25">
      <c r="A16" s="18" t="s">
        <v>2</v>
      </c>
      <c r="B16" s="27" t="s">
        <v>42</v>
      </c>
      <c r="C16" s="27" t="s">
        <v>40</v>
      </c>
      <c r="D16" s="27" t="s">
        <v>39</v>
      </c>
      <c r="E16" s="27" t="s">
        <v>96</v>
      </c>
    </row>
    <row r="17" spans="1:6" x14ac:dyDescent="0.25">
      <c r="A17" s="1">
        <v>1</v>
      </c>
      <c r="B17" s="30">
        <f>-B3</f>
        <v>800</v>
      </c>
      <c r="C17" s="30">
        <f>B17*$B$10</f>
        <v>156.30558540504342</v>
      </c>
      <c r="D17" s="30">
        <f>B4</f>
        <v>100</v>
      </c>
      <c r="E17" s="30">
        <f>B17+C17-D17</f>
        <v>856.30558540504342</v>
      </c>
      <c r="F17" t="str">
        <f ca="1">getformula(E17)</f>
        <v>&lt;--  =B17+C17-D17</v>
      </c>
    </row>
    <row r="18" spans="1:6" x14ac:dyDescent="0.25">
      <c r="A18" s="1">
        <v>2</v>
      </c>
      <c r="B18" s="30">
        <f>E17</f>
        <v>856.30558540504342</v>
      </c>
      <c r="C18" s="30">
        <f>B18*$B$10</f>
        <v>167.30668226542966</v>
      </c>
      <c r="D18" s="30">
        <f>B5</f>
        <v>200</v>
      </c>
      <c r="E18" s="30">
        <f>B18+C18-D18</f>
        <v>823.6122676704731</v>
      </c>
    </row>
    <row r="19" spans="1:6" x14ac:dyDescent="0.25">
      <c r="A19" s="1">
        <v>3</v>
      </c>
      <c r="B19" s="30">
        <f t="shared" ref="B19:B21" si="0">E18</f>
        <v>823.6122676704731</v>
      </c>
      <c r="C19" s="30">
        <f t="shared" ref="C19:C21" si="1">B19*$B$10</f>
        <v>160.91899705626076</v>
      </c>
      <c r="D19" s="30">
        <f t="shared" ref="D19:D21" si="2">B6</f>
        <v>300</v>
      </c>
      <c r="E19" s="30">
        <f t="shared" ref="E19:E21" si="3">B19+C19-D19</f>
        <v>684.53126472673387</v>
      </c>
    </row>
    <row r="20" spans="1:6" x14ac:dyDescent="0.25">
      <c r="A20" s="1">
        <v>4</v>
      </c>
      <c r="B20" s="30">
        <f t="shared" si="0"/>
        <v>684.53126472673387</v>
      </c>
      <c r="C20" s="30">
        <f t="shared" si="1"/>
        <v>133.74507507645862</v>
      </c>
      <c r="D20" s="30">
        <f t="shared" si="2"/>
        <v>400</v>
      </c>
      <c r="E20" s="30">
        <f t="shared" si="3"/>
        <v>418.27633980319251</v>
      </c>
    </row>
    <row r="21" spans="1:6" x14ac:dyDescent="0.25">
      <c r="A21" s="1">
        <v>5</v>
      </c>
      <c r="B21" s="30">
        <f t="shared" si="0"/>
        <v>418.27633980319251</v>
      </c>
      <c r="C21" s="30">
        <f t="shared" si="1"/>
        <v>81.723660192521095</v>
      </c>
      <c r="D21" s="30">
        <f t="shared" si="2"/>
        <v>500</v>
      </c>
      <c r="E21" s="85">
        <f t="shared" si="3"/>
        <v>-4.28639168603695E-9</v>
      </c>
    </row>
    <row r="22" spans="1:6" ht="13.8" thickBot="1" x14ac:dyDescent="0.3"/>
    <row r="23" spans="1:6" ht="13.2" customHeight="1" thickBot="1" x14ac:dyDescent="0.3">
      <c r="A23" s="83" t="str">
        <f ca="1">_xlfn.FORMULATEXT(B18)</f>
        <v>=E17</v>
      </c>
      <c r="C23" s="107" t="s">
        <v>97</v>
      </c>
      <c r="D23" s="108"/>
      <c r="E23" s="109"/>
    </row>
    <row r="24" spans="1:6" x14ac:dyDescent="0.25">
      <c r="C24" s="110"/>
      <c r="D24" s="111"/>
      <c r="E24" s="112"/>
    </row>
    <row r="25" spans="1:6" ht="13.8" thickBot="1" x14ac:dyDescent="0.3">
      <c r="C25" s="113"/>
      <c r="D25" s="114"/>
      <c r="E25" s="115"/>
    </row>
  </sheetData>
  <mergeCells count="3">
    <mergeCell ref="A1:C1"/>
    <mergeCell ref="C23:E25"/>
    <mergeCell ref="A12:F12"/>
  </mergeCells>
  <phoneticPr fontId="3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9EB0-057E-43B2-9EF9-03D3DD9B42EB}">
  <sheetPr codeName="Sheet16"/>
  <dimension ref="A1:F12"/>
  <sheetViews>
    <sheetView workbookViewId="0">
      <selection activeCell="F22" sqref="F22"/>
    </sheetView>
  </sheetViews>
  <sheetFormatPr defaultRowHeight="13.2" x14ac:dyDescent="0.25"/>
  <cols>
    <col min="1" max="1" width="18.33203125" bestFit="1" customWidth="1"/>
    <col min="2" max="2" width="16.44140625" customWidth="1"/>
    <col min="3" max="3" width="8.88671875" bestFit="1" customWidth="1"/>
    <col min="4" max="4" width="13.33203125" customWidth="1"/>
    <col min="5" max="5" width="12.5546875" bestFit="1" customWidth="1"/>
    <col min="6" max="6" width="16.44140625" bestFit="1" customWidth="1"/>
  </cols>
  <sheetData>
    <row r="1" spans="1:6" ht="19.2" customHeight="1" x14ac:dyDescent="0.3">
      <c r="A1" s="116" t="s">
        <v>99</v>
      </c>
      <c r="B1" s="116"/>
      <c r="C1" s="116"/>
      <c r="D1" s="116"/>
      <c r="E1" s="116"/>
      <c r="F1" s="116"/>
    </row>
    <row r="2" spans="1:6" ht="13.8" thickBot="1" x14ac:dyDescent="0.3">
      <c r="A2" t="s">
        <v>31</v>
      </c>
      <c r="B2" s="2">
        <v>0.1</v>
      </c>
    </row>
    <row r="3" spans="1:6" ht="13.8" thickBot="1" x14ac:dyDescent="0.3">
      <c r="C3" s="83" t="str">
        <f ca="1">_xlfn.FORMULATEXT(C6)</f>
        <v>=B6*$B$2</v>
      </c>
    </row>
    <row r="4" spans="1:6" ht="15.6" x14ac:dyDescent="0.3">
      <c r="A4" s="25"/>
    </row>
    <row r="5" spans="1:6" s="18" customFormat="1" ht="39.6" x14ac:dyDescent="0.25">
      <c r="A5" s="18" t="s">
        <v>2</v>
      </c>
      <c r="B5" s="27" t="s">
        <v>42</v>
      </c>
      <c r="C5" s="27" t="s">
        <v>40</v>
      </c>
      <c r="D5" s="27" t="s">
        <v>39</v>
      </c>
      <c r="E5" s="27" t="s">
        <v>96</v>
      </c>
    </row>
    <row r="6" spans="1:6" x14ac:dyDescent="0.25">
      <c r="A6" s="1">
        <v>1</v>
      </c>
      <c r="B6" s="30">
        <v>800</v>
      </c>
      <c r="C6" s="30">
        <f>B6*$B$2</f>
        <v>80</v>
      </c>
      <c r="D6" s="30">
        <v>100</v>
      </c>
      <c r="E6" s="30">
        <f>B6+C6-D6</f>
        <v>780</v>
      </c>
      <c r="F6" t="str">
        <f ca="1">getformula(E6)</f>
        <v>&lt;--  =B6+C6-D6</v>
      </c>
    </row>
    <row r="7" spans="1:6" x14ac:dyDescent="0.25">
      <c r="A7" s="1">
        <v>2</v>
      </c>
      <c r="B7" s="30">
        <f>E6</f>
        <v>780</v>
      </c>
      <c r="C7" s="30">
        <f>B7*$B$2</f>
        <v>78</v>
      </c>
      <c r="D7" s="30">
        <v>200</v>
      </c>
      <c r="E7" s="30">
        <f>B7+C7-D7</f>
        <v>658</v>
      </c>
    </row>
    <row r="8" spans="1:6" x14ac:dyDescent="0.25">
      <c r="A8" s="1">
        <v>3</v>
      </c>
      <c r="B8" s="30">
        <f t="shared" ref="B8:B10" si="0">E7</f>
        <v>658</v>
      </c>
      <c r="C8" s="30">
        <f t="shared" ref="C8:C10" si="1">B8*$B$2</f>
        <v>65.8</v>
      </c>
      <c r="D8" s="30">
        <v>300</v>
      </c>
      <c r="E8" s="30">
        <f t="shared" ref="E8:E10" si="2">B8+C8-D8</f>
        <v>423.79999999999995</v>
      </c>
    </row>
    <row r="9" spans="1:6" x14ac:dyDescent="0.25">
      <c r="A9" s="1">
        <v>4</v>
      </c>
      <c r="B9" s="30">
        <f t="shared" si="0"/>
        <v>423.79999999999995</v>
      </c>
      <c r="C9" s="30">
        <f t="shared" si="1"/>
        <v>42.379999999999995</v>
      </c>
      <c r="D9" s="30">
        <v>400</v>
      </c>
      <c r="E9" s="30">
        <f t="shared" si="2"/>
        <v>66.17999999999995</v>
      </c>
    </row>
    <row r="10" spans="1:6" x14ac:dyDescent="0.25">
      <c r="A10" s="1">
        <v>5</v>
      </c>
      <c r="B10" s="30">
        <f t="shared" si="0"/>
        <v>66.17999999999995</v>
      </c>
      <c r="C10" s="30">
        <f t="shared" si="1"/>
        <v>6.617999999999995</v>
      </c>
      <c r="D10" s="30">
        <v>500</v>
      </c>
      <c r="E10" s="85">
        <f t="shared" si="2"/>
        <v>-427.20200000000006</v>
      </c>
    </row>
    <row r="11" spans="1:6" ht="13.8" thickBot="1" x14ac:dyDescent="0.3"/>
    <row r="12" spans="1:6" ht="13.2" customHeight="1" thickBot="1" x14ac:dyDescent="0.3">
      <c r="A12" s="83" t="str">
        <f ca="1">_xlfn.FORMULATEXT(B7)</f>
        <v>=E6</v>
      </c>
      <c r="C12" s="117" t="s">
        <v>100</v>
      </c>
      <c r="D12" s="118"/>
      <c r="E12" s="119"/>
    </row>
  </sheetData>
  <mergeCells count="2">
    <mergeCell ref="A1:F1"/>
    <mergeCell ref="C12:E12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89B15-E69F-40ED-BDB5-040773781F25}">
  <sheetPr codeName="Sheet22"/>
  <dimension ref="A1:F12"/>
  <sheetViews>
    <sheetView topLeftCell="A4" workbookViewId="0">
      <selection activeCell="L5" sqref="L5"/>
    </sheetView>
  </sheetViews>
  <sheetFormatPr defaultColWidth="8.77734375" defaultRowHeight="13.2" outlineLevelCol="7" x14ac:dyDescent="0.25"/>
  <cols>
    <col min="1" max="1" width="18.33203125" bestFit="1" customWidth="1"/>
    <col min="2" max="2" width="16.44140625" customWidth="1"/>
    <col min="3" max="3" width="8.88671875" bestFit="1" customWidth="1"/>
    <col min="4" max="4" width="13.33203125" customWidth="1"/>
    <col min="5" max="5" width="12.5546875" bestFit="1" customWidth="1"/>
    <col min="6" max="6" width="16.44140625" bestFit="1" customWidth="1"/>
    <col min="7" max="16384" width="8.77734375" outlineLevel="7"/>
  </cols>
  <sheetData>
    <row r="1" spans="1:6" ht="19.2" customHeight="1" x14ac:dyDescent="0.3">
      <c r="A1" s="116" t="s">
        <v>99</v>
      </c>
      <c r="B1" s="116"/>
      <c r="C1" s="116"/>
      <c r="D1" s="116"/>
      <c r="E1" s="116"/>
      <c r="F1" s="116"/>
    </row>
    <row r="2" spans="1:6" ht="13.8" thickBot="1" x14ac:dyDescent="0.3">
      <c r="A2" t="s">
        <v>31</v>
      </c>
      <c r="B2" s="17">
        <v>0.19538198175630428</v>
      </c>
    </row>
    <row r="3" spans="1:6" ht="13.8" thickBot="1" x14ac:dyDescent="0.3">
      <c r="C3" s="83" t="str">
        <f ca="1">_xlfn.FORMULATEXT(C6)</f>
        <v>=B6*$B$2</v>
      </c>
    </row>
    <row r="4" spans="1:6" ht="15.6" x14ac:dyDescent="0.3">
      <c r="A4" s="25"/>
    </row>
    <row r="5" spans="1:6" s="18" customFormat="1" ht="39.6" x14ac:dyDescent="0.25">
      <c r="A5" s="18" t="s">
        <v>2</v>
      </c>
      <c r="B5" s="27" t="s">
        <v>42</v>
      </c>
      <c r="C5" s="27" t="s">
        <v>40</v>
      </c>
      <c r="D5" s="27" t="s">
        <v>39</v>
      </c>
      <c r="E5" s="27" t="s">
        <v>96</v>
      </c>
    </row>
    <row r="6" spans="1:6" x14ac:dyDescent="0.25">
      <c r="A6" s="1">
        <v>1</v>
      </c>
      <c r="B6" s="30">
        <v>800</v>
      </c>
      <c r="C6" s="30">
        <f>B6*$B$2</f>
        <v>156.30558540504342</v>
      </c>
      <c r="D6" s="30">
        <v>100</v>
      </c>
      <c r="E6" s="30">
        <f>B6+C6-D6</f>
        <v>856.30558540504342</v>
      </c>
      <c r="F6" t="str">
        <f ca="1">getformula(E6)</f>
        <v>&lt;--  =B6+C6-D6</v>
      </c>
    </row>
    <row r="7" spans="1:6" x14ac:dyDescent="0.25">
      <c r="A7" s="1">
        <v>2</v>
      </c>
      <c r="B7" s="30">
        <f>E6</f>
        <v>856.30558540504342</v>
      </c>
      <c r="C7" s="30">
        <f>B7*$B$2</f>
        <v>167.30668226542966</v>
      </c>
      <c r="D7" s="30">
        <v>200</v>
      </c>
      <c r="E7" s="30">
        <f>B7+C7-D7</f>
        <v>823.6122676704731</v>
      </c>
    </row>
    <row r="8" spans="1:6" x14ac:dyDescent="0.25">
      <c r="A8" s="1">
        <v>3</v>
      </c>
      <c r="B8" s="30">
        <f t="shared" ref="B8:B10" si="0">E7</f>
        <v>823.6122676704731</v>
      </c>
      <c r="C8" s="30">
        <f t="shared" ref="C8:C10" si="1">B8*$B$2</f>
        <v>160.91899705626076</v>
      </c>
      <c r="D8" s="30">
        <v>300</v>
      </c>
      <c r="E8" s="30">
        <f t="shared" ref="E8:E10" si="2">B8+C8-D8</f>
        <v>684.53126472673387</v>
      </c>
    </row>
    <row r="9" spans="1:6" x14ac:dyDescent="0.25">
      <c r="A9" s="1">
        <v>4</v>
      </c>
      <c r="B9" s="30">
        <f t="shared" si="0"/>
        <v>684.53126472673387</v>
      </c>
      <c r="C9" s="30">
        <f t="shared" si="1"/>
        <v>133.74507507645862</v>
      </c>
      <c r="D9" s="30">
        <v>400</v>
      </c>
      <c r="E9" s="30">
        <f t="shared" si="2"/>
        <v>418.27633980319251</v>
      </c>
    </row>
    <row r="10" spans="1:6" x14ac:dyDescent="0.25">
      <c r="A10" s="1">
        <v>5</v>
      </c>
      <c r="B10" s="30">
        <f t="shared" si="0"/>
        <v>418.27633980319251</v>
      </c>
      <c r="C10" s="30">
        <f t="shared" si="1"/>
        <v>81.723660192521095</v>
      </c>
      <c r="D10" s="30">
        <v>500</v>
      </c>
      <c r="E10" s="85">
        <f t="shared" si="2"/>
        <v>-4.28639168603695E-9</v>
      </c>
    </row>
    <row r="11" spans="1:6" ht="13.8" thickBot="1" x14ac:dyDescent="0.3"/>
    <row r="12" spans="1:6" ht="13.2" customHeight="1" thickBot="1" x14ac:dyDescent="0.3">
      <c r="A12" s="83" t="str">
        <f ca="1">_xlfn.FORMULATEXT(B7)</f>
        <v>=E6</v>
      </c>
      <c r="C12" s="117" t="s">
        <v>101</v>
      </c>
      <c r="D12" s="118"/>
      <c r="E12" s="119"/>
    </row>
  </sheetData>
  <mergeCells count="2">
    <mergeCell ref="A1:F1"/>
    <mergeCell ref="C12:E12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/>
  <dimension ref="A1:C5"/>
  <sheetViews>
    <sheetView workbookViewId="0">
      <selection activeCell="C5" sqref="A1:C5"/>
    </sheetView>
  </sheetViews>
  <sheetFormatPr defaultRowHeight="13.2" x14ac:dyDescent="0.25"/>
  <cols>
    <col min="1" max="1" width="18.6640625" customWidth="1"/>
    <col min="3" max="3" width="19.88671875" bestFit="1" customWidth="1"/>
  </cols>
  <sheetData>
    <row r="1" spans="1:3" ht="38.25" customHeight="1" x14ac:dyDescent="0.25">
      <c r="A1" s="103" t="s">
        <v>65</v>
      </c>
      <c r="B1" s="103"/>
      <c r="C1" s="103"/>
    </row>
    <row r="2" spans="1:3" x14ac:dyDescent="0.25">
      <c r="A2" t="s">
        <v>66</v>
      </c>
      <c r="B2" s="19">
        <v>1000</v>
      </c>
    </row>
    <row r="3" spans="1:3" x14ac:dyDescent="0.25">
      <c r="A3" t="s">
        <v>67</v>
      </c>
      <c r="B3">
        <v>100</v>
      </c>
    </row>
    <row r="4" spans="1:3" x14ac:dyDescent="0.25">
      <c r="A4" t="s">
        <v>68</v>
      </c>
      <c r="B4">
        <v>30</v>
      </c>
    </row>
    <row r="5" spans="1:3" x14ac:dyDescent="0.25">
      <c r="A5" s="72" t="s">
        <v>3</v>
      </c>
      <c r="B5" s="86">
        <f>RATE(B4,B3,-B2)</f>
        <v>9.3073397717987436E-2</v>
      </c>
      <c r="C5" t="str">
        <f ca="1">getformula(B5)</f>
        <v>&lt;--  =RATE(B4,B3,-B2)</v>
      </c>
    </row>
  </sheetData>
  <mergeCells count="1">
    <mergeCell ref="A1:C1"/>
  </mergeCells>
  <phoneticPr fontId="3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I47"/>
  <sheetViews>
    <sheetView workbookViewId="0">
      <selection activeCell="I28" sqref="I28"/>
    </sheetView>
  </sheetViews>
  <sheetFormatPr defaultRowHeight="13.2" x14ac:dyDescent="0.25"/>
  <cols>
    <col min="1" max="1" width="13.6640625" customWidth="1"/>
    <col min="9" max="9" width="19.33203125" bestFit="1" customWidth="1"/>
  </cols>
  <sheetData>
    <row r="1" spans="1:9" ht="17.399999999999999" x14ac:dyDescent="0.3">
      <c r="A1" s="102" t="s">
        <v>32</v>
      </c>
      <c r="B1" s="102"/>
      <c r="C1" s="102"/>
      <c r="D1" s="102"/>
      <c r="E1" s="102"/>
      <c r="F1" s="102"/>
      <c r="G1" s="102"/>
      <c r="H1" s="102"/>
      <c r="I1" s="102"/>
    </row>
    <row r="2" spans="1:9" x14ac:dyDescent="0.25">
      <c r="A2" t="s">
        <v>0</v>
      </c>
      <c r="B2" s="2">
        <v>0.06</v>
      </c>
    </row>
    <row r="3" spans="1:9" x14ac:dyDescent="0.25">
      <c r="A3" t="s">
        <v>4</v>
      </c>
      <c r="B3" s="7">
        <f>NPV(B2,B7:B11)+B6</f>
        <v>-3.9854362682000044</v>
      </c>
      <c r="C3" t="str">
        <f ca="1">getformula(B3)</f>
        <v>&lt;--  =NPV(B2,B7:B11)+B6</v>
      </c>
      <c r="G3" s="8" t="s">
        <v>6</v>
      </c>
      <c r="H3" s="8"/>
    </row>
    <row r="4" spans="1:9" ht="27" thickBot="1" x14ac:dyDescent="0.3">
      <c r="A4" s="1"/>
      <c r="B4" s="1"/>
      <c r="G4" s="32" t="s">
        <v>43</v>
      </c>
      <c r="H4" s="6" t="s">
        <v>4</v>
      </c>
    </row>
    <row r="5" spans="1:9" x14ac:dyDescent="0.25">
      <c r="A5" s="18" t="s">
        <v>2</v>
      </c>
      <c r="B5" s="18" t="s">
        <v>20</v>
      </c>
      <c r="G5" s="9"/>
      <c r="H5" s="10">
        <f>B3</f>
        <v>-3.9854362682000044</v>
      </c>
      <c r="I5" t="str">
        <f ca="1">"Table header, "&amp;getformula(H5)</f>
        <v>Table header, &lt;--  =B3</v>
      </c>
    </row>
    <row r="6" spans="1:9" x14ac:dyDescent="0.25">
      <c r="A6" s="1">
        <v>0</v>
      </c>
      <c r="B6" s="4">
        <v>-145</v>
      </c>
      <c r="G6" s="11">
        <v>0</v>
      </c>
      <c r="H6" s="12">
        <f t="dataTable" ref="H6:H19" dt2D="0" dtr="0" r1="B2"/>
        <v>-20</v>
      </c>
    </row>
    <row r="7" spans="1:9" x14ac:dyDescent="0.25">
      <c r="A7" s="1">
        <v>1</v>
      </c>
      <c r="B7">
        <v>100</v>
      </c>
      <c r="G7" s="11">
        <v>0.03</v>
      </c>
      <c r="H7" s="12">
        <v>-10.507575424608092</v>
      </c>
    </row>
    <row r="8" spans="1:9" x14ac:dyDescent="0.25">
      <c r="A8" s="1">
        <v>2</v>
      </c>
      <c r="B8">
        <v>100</v>
      </c>
      <c r="G8" s="11">
        <v>0.06</v>
      </c>
      <c r="H8" s="12">
        <v>-3.9854362682000044</v>
      </c>
    </row>
    <row r="9" spans="1:9" x14ac:dyDescent="0.25">
      <c r="A9" s="1">
        <v>3</v>
      </c>
      <c r="B9">
        <v>100</v>
      </c>
      <c r="G9" s="11">
        <v>0.09</v>
      </c>
      <c r="H9" s="12">
        <v>0.24085647329212634</v>
      </c>
    </row>
    <row r="10" spans="1:9" x14ac:dyDescent="0.25">
      <c r="A10" s="1">
        <v>4</v>
      </c>
      <c r="B10">
        <v>100</v>
      </c>
      <c r="G10" s="11">
        <v>0.12</v>
      </c>
      <c r="H10" s="12">
        <v>2.6925493400257778</v>
      </c>
    </row>
    <row r="11" spans="1:9" x14ac:dyDescent="0.25">
      <c r="A11" s="1">
        <v>5</v>
      </c>
      <c r="B11">
        <v>-275</v>
      </c>
      <c r="G11" s="11">
        <v>0.15</v>
      </c>
      <c r="H11" s="12">
        <v>3.7742340642815009</v>
      </c>
    </row>
    <row r="12" spans="1:9" x14ac:dyDescent="0.25">
      <c r="G12" s="11">
        <v>0.18</v>
      </c>
      <c r="H12" s="12">
        <v>3.8011460077677839</v>
      </c>
    </row>
    <row r="13" spans="1:9" x14ac:dyDescent="0.25">
      <c r="G13" s="11">
        <v>0.21</v>
      </c>
      <c r="H13" s="12">
        <v>3.0197000689104811</v>
      </c>
    </row>
    <row r="14" spans="1:9" x14ac:dyDescent="0.25">
      <c r="G14" s="11">
        <v>0.24</v>
      </c>
      <c r="H14" s="12">
        <v>1.6230390485557962</v>
      </c>
    </row>
    <row r="15" spans="1:9" x14ac:dyDescent="0.25">
      <c r="G15" s="11">
        <v>0.27</v>
      </c>
      <c r="H15" s="12">
        <v>-0.237122901511583</v>
      </c>
    </row>
    <row r="16" spans="1:9" x14ac:dyDescent="0.25">
      <c r="G16" s="11">
        <v>0.3</v>
      </c>
      <c r="H16" s="12">
        <v>-2.4414276595572915</v>
      </c>
    </row>
    <row r="17" spans="1:9" x14ac:dyDescent="0.25">
      <c r="G17" s="11">
        <v>0.33</v>
      </c>
      <c r="H17" s="12">
        <v>-4.895886047904952</v>
      </c>
    </row>
    <row r="18" spans="1:9" x14ac:dyDescent="0.25">
      <c r="G18" s="11">
        <v>0.36</v>
      </c>
      <c r="H18" s="12">
        <v>-7.5264699851816204</v>
      </c>
    </row>
    <row r="19" spans="1:9" ht="13.8" thickBot="1" x14ac:dyDescent="0.3">
      <c r="G19" s="13">
        <v>0.39</v>
      </c>
      <c r="H19" s="14">
        <v>-10.274907341794687</v>
      </c>
    </row>
    <row r="21" spans="1:9" x14ac:dyDescent="0.25">
      <c r="G21" s="120"/>
      <c r="H21" s="121"/>
      <c r="I21" s="121"/>
    </row>
    <row r="22" spans="1:9" x14ac:dyDescent="0.25">
      <c r="G22" s="121"/>
      <c r="H22" s="121"/>
      <c r="I22" s="121"/>
    </row>
    <row r="23" spans="1:9" x14ac:dyDescent="0.25">
      <c r="G23" s="121"/>
      <c r="H23" s="121"/>
      <c r="I23" s="121"/>
    </row>
    <row r="29" spans="1:9" x14ac:dyDescent="0.25">
      <c r="A29" s="5" t="s">
        <v>7</v>
      </c>
    </row>
    <row r="30" spans="1:9" x14ac:dyDescent="0.25">
      <c r="A30" s="72" t="s">
        <v>8</v>
      </c>
      <c r="B30" s="87">
        <f>IRR(B6:B11,0)</f>
        <v>8.7828273849489102E-2</v>
      </c>
      <c r="C30" s="2" t="str">
        <f ca="1">getformula(B30)</f>
        <v>&lt;--  =IRR(B6:B11,0)</v>
      </c>
    </row>
    <row r="31" spans="1:9" x14ac:dyDescent="0.25">
      <c r="A31" s="72" t="s">
        <v>9</v>
      </c>
      <c r="B31" s="87">
        <f>IRR(B6:B11,0.3)</f>
        <v>0.266495007167735</v>
      </c>
      <c r="C31" s="2" t="str">
        <f ca="1">getformula(B31)</f>
        <v>&lt;--  =IRR(B6:B11,0.3)</v>
      </c>
    </row>
    <row r="32" spans="1:9" x14ac:dyDescent="0.25">
      <c r="B32" s="15"/>
    </row>
    <row r="33" spans="2:7" x14ac:dyDescent="0.25">
      <c r="B33" s="15"/>
    </row>
    <row r="34" spans="2:7" x14ac:dyDescent="0.25">
      <c r="F34" s="23"/>
    </row>
    <row r="36" spans="2:7" x14ac:dyDescent="0.25">
      <c r="C36" s="22"/>
      <c r="D36" s="23"/>
      <c r="G36" s="16"/>
    </row>
    <row r="37" spans="2:7" x14ac:dyDescent="0.25">
      <c r="F37" s="2"/>
      <c r="G37" s="16"/>
    </row>
    <row r="38" spans="2:7" x14ac:dyDescent="0.25">
      <c r="F38" s="2"/>
      <c r="G38" s="16"/>
    </row>
    <row r="39" spans="2:7" x14ac:dyDescent="0.25">
      <c r="F39" s="2"/>
      <c r="G39" s="16"/>
    </row>
    <row r="40" spans="2:7" x14ac:dyDescent="0.25">
      <c r="F40" s="2"/>
      <c r="G40" s="16"/>
    </row>
    <row r="41" spans="2:7" x14ac:dyDescent="0.25">
      <c r="F41" s="2"/>
      <c r="G41" s="16"/>
    </row>
    <row r="42" spans="2:7" x14ac:dyDescent="0.25">
      <c r="F42" s="2"/>
      <c r="G42" s="16"/>
    </row>
    <row r="43" spans="2:7" x14ac:dyDescent="0.25">
      <c r="F43" s="2"/>
      <c r="G43" s="16"/>
    </row>
    <row r="44" spans="2:7" x14ac:dyDescent="0.25">
      <c r="F44" s="2"/>
      <c r="G44" s="16"/>
    </row>
    <row r="45" spans="2:7" x14ac:dyDescent="0.25">
      <c r="F45" s="2"/>
      <c r="G45" s="16"/>
    </row>
    <row r="46" spans="2:7" x14ac:dyDescent="0.25">
      <c r="F46" s="2"/>
      <c r="G46" s="16"/>
    </row>
    <row r="47" spans="2:7" x14ac:dyDescent="0.25">
      <c r="D47" s="17"/>
      <c r="F47" s="2"/>
      <c r="G47" s="16"/>
    </row>
  </sheetData>
  <mergeCells count="2">
    <mergeCell ref="A1:I1"/>
    <mergeCell ref="G21:I23"/>
  </mergeCells>
  <phoneticPr fontId="3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K24"/>
  <sheetViews>
    <sheetView topLeftCell="A4" workbookViewId="0">
      <selection sqref="A1:K15"/>
    </sheetView>
  </sheetViews>
  <sheetFormatPr defaultRowHeight="13.2" x14ac:dyDescent="0.25"/>
  <cols>
    <col min="1" max="1" width="5" bestFit="1" customWidth="1"/>
    <col min="2" max="2" width="10.109375" bestFit="1" customWidth="1"/>
    <col min="3" max="3" width="13.44140625" customWidth="1"/>
    <col min="4" max="4" width="3.6640625" customWidth="1"/>
  </cols>
  <sheetData>
    <row r="1" spans="1:11" ht="15.6" x14ac:dyDescent="0.3">
      <c r="A1" s="116" t="s">
        <v>91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</row>
    <row r="2" spans="1:11" s="58" customFormat="1" ht="13.8" x14ac:dyDescent="0.25">
      <c r="A2" s="61" t="s">
        <v>2</v>
      </c>
      <c r="B2" s="66" t="s">
        <v>20</v>
      </c>
      <c r="E2" s="66" t="s">
        <v>102</v>
      </c>
    </row>
    <row r="3" spans="1:11" s="58" customFormat="1" ht="13.8" x14ac:dyDescent="0.25">
      <c r="A3" s="63">
        <v>0</v>
      </c>
      <c r="B3" s="59">
        <v>-800</v>
      </c>
    </row>
    <row r="4" spans="1:11" s="58" customFormat="1" ht="13.8" x14ac:dyDescent="0.25">
      <c r="A4" s="63">
        <v>1</v>
      </c>
      <c r="B4" s="59">
        <v>100</v>
      </c>
      <c r="F4" s="64">
        <f>NPV(E4,B4:B11)+B3</f>
        <v>1000</v>
      </c>
      <c r="G4" s="58" t="str">
        <f ca="1">getformula(F4)&amp;", table header"</f>
        <v>&lt;--  =NPV(E4,B4:B11)+B3, table header</v>
      </c>
    </row>
    <row r="5" spans="1:11" s="58" customFormat="1" ht="13.8" x14ac:dyDescent="0.25">
      <c r="A5" s="63">
        <v>2</v>
      </c>
      <c r="B5" s="59">
        <v>100</v>
      </c>
      <c r="E5" s="60">
        <v>0</v>
      </c>
      <c r="F5" s="64">
        <v>1000</v>
      </c>
    </row>
    <row r="6" spans="1:11" s="58" customFormat="1" ht="13.8" x14ac:dyDescent="0.25">
      <c r="A6" s="63">
        <v>3</v>
      </c>
      <c r="B6" s="59">
        <v>100</v>
      </c>
      <c r="E6" s="60">
        <v>0.02</v>
      </c>
      <c r="F6" s="64">
        <v>786.03851523955382</v>
      </c>
    </row>
    <row r="7" spans="1:11" s="58" customFormat="1" ht="13.8" x14ac:dyDescent="0.25">
      <c r="A7" s="63">
        <v>4</v>
      </c>
      <c r="B7" s="59">
        <v>100</v>
      </c>
      <c r="E7" s="60">
        <v>0.04</v>
      </c>
      <c r="F7" s="64">
        <v>603.96469249702341</v>
      </c>
    </row>
    <row r="8" spans="1:11" s="58" customFormat="1" ht="13.8" x14ac:dyDescent="0.25">
      <c r="A8" s="63">
        <v>5</v>
      </c>
      <c r="B8" s="59">
        <v>100</v>
      </c>
      <c r="E8" s="60">
        <v>0.06</v>
      </c>
      <c r="F8" s="64">
        <v>448.39175243878162</v>
      </c>
    </row>
    <row r="9" spans="1:11" s="58" customFormat="1" ht="13.8" x14ac:dyDescent="0.25">
      <c r="A9" s="63">
        <v>6</v>
      </c>
      <c r="B9" s="59">
        <v>100</v>
      </c>
      <c r="E9" s="60">
        <v>0.08</v>
      </c>
      <c r="F9" s="64">
        <v>314.93277887450563</v>
      </c>
    </row>
    <row r="10" spans="1:11" s="58" customFormat="1" ht="13.8" x14ac:dyDescent="0.25">
      <c r="A10" s="63">
        <v>7</v>
      </c>
      <c r="B10" s="59">
        <v>100</v>
      </c>
      <c r="E10" s="60">
        <v>0.1</v>
      </c>
      <c r="F10" s="64">
        <v>200</v>
      </c>
    </row>
    <row r="11" spans="1:11" s="58" customFormat="1" ht="13.8" x14ac:dyDescent="0.25">
      <c r="A11" s="63">
        <v>8</v>
      </c>
      <c r="B11" s="59">
        <v>1100</v>
      </c>
      <c r="E11" s="60">
        <v>0.12</v>
      </c>
      <c r="F11" s="64">
        <v>100.64720466322774</v>
      </c>
    </row>
    <row r="12" spans="1:11" s="58" customFormat="1" ht="13.8" x14ac:dyDescent="0.25">
      <c r="E12" s="60">
        <v>0.14000000000000001</v>
      </c>
      <c r="F12" s="64">
        <v>14.445444243074121</v>
      </c>
    </row>
    <row r="13" spans="1:11" s="58" customFormat="1" ht="13.8" x14ac:dyDescent="0.25">
      <c r="A13" s="75" t="s">
        <v>3</v>
      </c>
      <c r="B13" s="88">
        <f>IRR(B3:B11)</f>
        <v>0.14364208444928206</v>
      </c>
      <c r="C13" s="58" t="str">
        <f ca="1">getformula(B13)</f>
        <v>&lt;--  =IRR(B3:B11)</v>
      </c>
      <c r="E13" s="60">
        <v>0.16</v>
      </c>
      <c r="F13" s="64">
        <v>-60.615453700742364</v>
      </c>
    </row>
    <row r="14" spans="1:11" s="58" customFormat="1" ht="13.8" x14ac:dyDescent="0.25">
      <c r="E14" s="60">
        <v>0.18</v>
      </c>
      <c r="F14" s="64">
        <v>-126.20526056422</v>
      </c>
    </row>
    <row r="15" spans="1:11" s="58" customFormat="1" ht="13.8" x14ac:dyDescent="0.25">
      <c r="E15" s="60">
        <v>0.2</v>
      </c>
      <c r="F15" s="64">
        <v>-183.71598031931103</v>
      </c>
    </row>
    <row r="16" spans="1:11" s="58" customFormat="1" ht="13.8" x14ac:dyDescent="0.25"/>
    <row r="17" s="58" customFormat="1" ht="13.8" x14ac:dyDescent="0.25"/>
    <row r="18" s="58" customFormat="1" ht="13.8" x14ac:dyDescent="0.25"/>
    <row r="19" s="58" customFormat="1" ht="13.8" x14ac:dyDescent="0.25"/>
    <row r="20" s="58" customFormat="1" ht="13.8" x14ac:dyDescent="0.25"/>
    <row r="21" s="58" customFormat="1" ht="13.8" x14ac:dyDescent="0.25"/>
    <row r="22" s="58" customFormat="1" ht="13.8" x14ac:dyDescent="0.25"/>
    <row r="23" s="58" customFormat="1" ht="13.8" x14ac:dyDescent="0.25"/>
    <row r="24" s="58" customFormat="1" ht="13.8" x14ac:dyDescent="0.25"/>
  </sheetData>
  <mergeCells count="1">
    <mergeCell ref="A1:K1"/>
  </mergeCells>
  <phoneticPr fontId="3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4"/>
  <dimension ref="A1:G18"/>
  <sheetViews>
    <sheetView topLeftCell="D1" workbookViewId="0">
      <selection activeCell="N26" sqref="N26:P27"/>
    </sheetView>
  </sheetViews>
  <sheetFormatPr defaultRowHeight="13.2" x14ac:dyDescent="0.25"/>
  <cols>
    <col min="1" max="1" width="16.33203125" customWidth="1"/>
    <col min="2" max="2" width="16.88671875" customWidth="1"/>
    <col min="3" max="3" width="16.33203125" customWidth="1"/>
    <col min="4" max="4" width="12.109375" customWidth="1"/>
    <col min="5" max="5" width="10" customWidth="1"/>
    <col min="6" max="6" width="12.21875" bestFit="1" customWidth="1"/>
  </cols>
  <sheetData>
    <row r="1" spans="1:7" ht="17.399999999999999" x14ac:dyDescent="0.3">
      <c r="A1" s="102" t="s">
        <v>33</v>
      </c>
      <c r="B1" s="102"/>
      <c r="C1" s="102"/>
      <c r="D1" s="102"/>
      <c r="E1" s="102"/>
      <c r="F1" s="102"/>
      <c r="G1" s="34"/>
    </row>
    <row r="2" spans="1:7" x14ac:dyDescent="0.25">
      <c r="A2" t="s">
        <v>25</v>
      </c>
      <c r="B2" s="19">
        <v>10000</v>
      </c>
      <c r="D2" s="3"/>
    </row>
    <row r="3" spans="1:7" x14ac:dyDescent="0.25">
      <c r="A3" t="s">
        <v>14</v>
      </c>
      <c r="B3" s="2">
        <v>7.0000000000000007E-2</v>
      </c>
    </row>
    <row r="4" spans="1:7" x14ac:dyDescent="0.25">
      <c r="A4" t="s">
        <v>26</v>
      </c>
      <c r="B4">
        <v>6</v>
      </c>
      <c r="C4" t="s">
        <v>27</v>
      </c>
    </row>
    <row r="5" spans="1:7" x14ac:dyDescent="0.25">
      <c r="A5" t="s">
        <v>28</v>
      </c>
      <c r="B5" s="21">
        <f>PMT(B3,B4,-B2)</f>
        <v>2097.9579975832812</v>
      </c>
      <c r="C5" t="str">
        <f ca="1">getformula(B5)</f>
        <v>&lt;--  =PMT(B3,B4,-B2)</v>
      </c>
    </row>
    <row r="6" spans="1:7" ht="13.8" thickBot="1" x14ac:dyDescent="0.3"/>
    <row r="7" spans="1:7" ht="13.8" thickBot="1" x14ac:dyDescent="0.3">
      <c r="A7" s="83" t="str">
        <f ca="1">_xlfn.FORMULATEXT(B10)</f>
        <v>=B2</v>
      </c>
      <c r="C7" s="83" t="str">
        <f ca="1">_xlfn.FORMULATEXT(D10)</f>
        <v>=$B$3*B10</v>
      </c>
    </row>
    <row r="8" spans="1:7" x14ac:dyDescent="0.25">
      <c r="A8" s="18"/>
      <c r="B8" s="18"/>
      <c r="C8" s="18"/>
      <c r="D8" s="122" t="s">
        <v>29</v>
      </c>
      <c r="E8" s="122"/>
    </row>
    <row r="9" spans="1:7" s="1" customFormat="1" ht="26.4" x14ac:dyDescent="0.25">
      <c r="A9" s="18" t="s">
        <v>2</v>
      </c>
      <c r="B9" s="27" t="s">
        <v>103</v>
      </c>
      <c r="C9" s="27" t="s">
        <v>44</v>
      </c>
      <c r="D9" s="18" t="s">
        <v>5</v>
      </c>
      <c r="E9" s="27" t="s">
        <v>41</v>
      </c>
    </row>
    <row r="10" spans="1:7" x14ac:dyDescent="0.25">
      <c r="A10" s="1">
        <v>1</v>
      </c>
      <c r="B10" s="21">
        <f>B2</f>
        <v>10000</v>
      </c>
      <c r="C10" s="21">
        <f t="shared" ref="C10:C15" si="0">$B$5</f>
        <v>2097.9579975832812</v>
      </c>
      <c r="D10" s="21">
        <f t="shared" ref="D10:D15" si="1">$B$3*B10</f>
        <v>700.00000000000011</v>
      </c>
      <c r="E10" s="21">
        <f t="shared" ref="E10:E15" si="2">C10-D10</f>
        <v>1397.9579975832812</v>
      </c>
      <c r="F10" s="21" t="str">
        <f ca="1">getformula(E10)</f>
        <v>&lt;--  =C10-D10</v>
      </c>
    </row>
    <row r="11" spans="1:7" x14ac:dyDescent="0.25">
      <c r="A11" s="1">
        <v>2</v>
      </c>
      <c r="B11" s="21">
        <f t="shared" ref="B11:B16" si="3">B10-E10</f>
        <v>8602.0420024167179</v>
      </c>
      <c r="C11" s="21">
        <f t="shared" si="0"/>
        <v>2097.9579975832812</v>
      </c>
      <c r="D11" s="21">
        <f t="shared" si="1"/>
        <v>602.14294016917029</v>
      </c>
      <c r="E11" s="21">
        <f t="shared" si="2"/>
        <v>1495.8150574141109</v>
      </c>
      <c r="F11" s="21"/>
    </row>
    <row r="12" spans="1:7" x14ac:dyDescent="0.25">
      <c r="A12" s="1">
        <v>3</v>
      </c>
      <c r="B12" s="21">
        <f t="shared" si="3"/>
        <v>7106.226945002607</v>
      </c>
      <c r="C12" s="21">
        <f t="shared" si="0"/>
        <v>2097.9579975832812</v>
      </c>
      <c r="D12" s="21">
        <f t="shared" si="1"/>
        <v>497.43588615018251</v>
      </c>
      <c r="E12" s="21">
        <f t="shared" si="2"/>
        <v>1600.5221114330986</v>
      </c>
      <c r="F12" s="21"/>
    </row>
    <row r="13" spans="1:7" x14ac:dyDescent="0.25">
      <c r="A13" s="1">
        <v>4</v>
      </c>
      <c r="B13" s="21">
        <f t="shared" si="3"/>
        <v>5505.7048335695081</v>
      </c>
      <c r="C13" s="21">
        <f t="shared" si="0"/>
        <v>2097.9579975832812</v>
      </c>
      <c r="D13" s="21">
        <f t="shared" si="1"/>
        <v>385.39933834986562</v>
      </c>
      <c r="E13" s="21">
        <f t="shared" si="2"/>
        <v>1712.5586592334157</v>
      </c>
      <c r="F13" s="21"/>
    </row>
    <row r="14" spans="1:7" x14ac:dyDescent="0.25">
      <c r="A14" s="1">
        <v>5</v>
      </c>
      <c r="B14" s="21">
        <f t="shared" si="3"/>
        <v>3793.1461743360924</v>
      </c>
      <c r="C14" s="21">
        <f t="shared" si="0"/>
        <v>2097.9579975832812</v>
      </c>
      <c r="D14" s="21">
        <f t="shared" si="1"/>
        <v>265.52023220352652</v>
      </c>
      <c r="E14" s="21">
        <f t="shared" si="2"/>
        <v>1832.4377653797546</v>
      </c>
      <c r="F14" s="21"/>
    </row>
    <row r="15" spans="1:7" x14ac:dyDescent="0.25">
      <c r="A15" s="1">
        <v>6</v>
      </c>
      <c r="B15" s="21">
        <f t="shared" si="3"/>
        <v>1960.7084089563377</v>
      </c>
      <c r="C15" s="21">
        <f t="shared" si="0"/>
        <v>2097.9579975832812</v>
      </c>
      <c r="D15" s="21">
        <f t="shared" si="1"/>
        <v>137.24958862694365</v>
      </c>
      <c r="E15" s="21">
        <f t="shared" si="2"/>
        <v>1960.7084089563375</v>
      </c>
      <c r="F15" s="21"/>
    </row>
    <row r="16" spans="1:7" x14ac:dyDescent="0.25">
      <c r="A16" s="1">
        <v>7</v>
      </c>
      <c r="B16" s="21">
        <f t="shared" si="3"/>
        <v>0</v>
      </c>
    </row>
    <row r="17" spans="1:1" ht="13.8" thickBot="1" x14ac:dyDescent="0.3"/>
    <row r="18" spans="1:1" ht="13.8" thickBot="1" x14ac:dyDescent="0.3">
      <c r="A18" s="83" t="str">
        <f ca="1">_xlfn.FORMULATEXT(B11)</f>
        <v>=B10-E10</v>
      </c>
    </row>
  </sheetData>
  <mergeCells count="2">
    <mergeCell ref="A1:F1"/>
    <mergeCell ref="D8:E8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E16"/>
  <sheetViews>
    <sheetView workbookViewId="0">
      <selection activeCell="G8" sqref="G8"/>
    </sheetView>
  </sheetViews>
  <sheetFormatPr defaultRowHeight="13.2" x14ac:dyDescent="0.25"/>
  <cols>
    <col min="2" max="2" width="16.6640625" customWidth="1"/>
    <col min="3" max="3" width="14" bestFit="1" customWidth="1"/>
    <col min="4" max="4" width="16.21875" bestFit="1" customWidth="1"/>
    <col min="5" max="5" width="11.88671875" customWidth="1"/>
  </cols>
  <sheetData>
    <row r="1" spans="1:5" ht="17.399999999999999" x14ac:dyDescent="0.3">
      <c r="A1" s="102" t="s">
        <v>34</v>
      </c>
      <c r="B1" s="102"/>
      <c r="C1" s="102"/>
      <c r="D1" s="102"/>
      <c r="E1" s="102"/>
    </row>
    <row r="2" spans="1:5" x14ac:dyDescent="0.25">
      <c r="A2" t="s">
        <v>5</v>
      </c>
      <c r="B2" s="2">
        <v>0.1</v>
      </c>
    </row>
    <row r="4" spans="1:5" ht="39.6" x14ac:dyDescent="0.25">
      <c r="A4" s="48" t="s">
        <v>2</v>
      </c>
      <c r="B4" s="48" t="s">
        <v>104</v>
      </c>
      <c r="C4" s="48" t="s">
        <v>105</v>
      </c>
      <c r="D4" s="48" t="s">
        <v>106</v>
      </c>
    </row>
    <row r="5" spans="1:5" x14ac:dyDescent="0.25">
      <c r="A5" s="1">
        <v>1</v>
      </c>
      <c r="B5" s="7">
        <v>1000</v>
      </c>
      <c r="C5" s="7">
        <f>$B$2*B5</f>
        <v>100</v>
      </c>
      <c r="D5" s="7">
        <f>C5+B5</f>
        <v>1100</v>
      </c>
      <c r="E5" t="str">
        <f ca="1">getformula(D5)</f>
        <v>&lt;--  =C5+B5</v>
      </c>
    </row>
    <row r="6" spans="1:5" x14ac:dyDescent="0.25">
      <c r="A6" s="1">
        <v>2</v>
      </c>
      <c r="B6" s="7">
        <f>D5</f>
        <v>1100</v>
      </c>
      <c r="C6" s="7">
        <f t="shared" ref="C6:C14" si="0">$B$2*B6</f>
        <v>110</v>
      </c>
      <c r="D6" s="7">
        <f t="shared" ref="D6:D14" si="1">C6+B6</f>
        <v>1210</v>
      </c>
      <c r="E6" t="str">
        <f ca="1">getformula(D6)</f>
        <v>&lt;--  =C6+B6</v>
      </c>
    </row>
    <row r="7" spans="1:5" x14ac:dyDescent="0.25">
      <c r="A7" s="1">
        <v>3</v>
      </c>
      <c r="B7" s="7">
        <f t="shared" ref="B7:B14" si="2">D6</f>
        <v>1210</v>
      </c>
      <c r="C7" s="7">
        <f t="shared" si="0"/>
        <v>121</v>
      </c>
      <c r="D7" s="7">
        <f t="shared" si="1"/>
        <v>1331</v>
      </c>
    </row>
    <row r="8" spans="1:5" ht="13.8" thickBot="1" x14ac:dyDescent="0.3">
      <c r="A8" s="1">
        <v>4</v>
      </c>
      <c r="B8" s="7">
        <f t="shared" si="2"/>
        <v>1331</v>
      </c>
      <c r="C8" s="7">
        <f t="shared" si="0"/>
        <v>133.1</v>
      </c>
      <c r="D8" s="7">
        <f t="shared" si="1"/>
        <v>1464.1</v>
      </c>
    </row>
    <row r="9" spans="1:5" ht="13.8" thickBot="1" x14ac:dyDescent="0.3">
      <c r="A9" s="1">
        <v>5</v>
      </c>
      <c r="B9" s="7">
        <f t="shared" si="2"/>
        <v>1464.1</v>
      </c>
      <c r="C9" s="7">
        <f t="shared" si="0"/>
        <v>146.41</v>
      </c>
      <c r="D9" s="7">
        <f t="shared" si="1"/>
        <v>1610.51</v>
      </c>
      <c r="E9" s="83" t="str">
        <f ca="1">_xlfn.FORMULATEXT(C5)</f>
        <v>=$B$2*B5</v>
      </c>
    </row>
    <row r="10" spans="1:5" x14ac:dyDescent="0.25">
      <c r="A10" s="1">
        <v>6</v>
      </c>
      <c r="B10" s="7">
        <f t="shared" si="2"/>
        <v>1610.51</v>
      </c>
      <c r="C10" s="7">
        <f t="shared" si="0"/>
        <v>161.05100000000002</v>
      </c>
      <c r="D10" s="7">
        <f t="shared" si="1"/>
        <v>1771.5609999999999</v>
      </c>
    </row>
    <row r="11" spans="1:5" x14ac:dyDescent="0.25">
      <c r="A11" s="1">
        <v>7</v>
      </c>
      <c r="B11" s="7">
        <f t="shared" si="2"/>
        <v>1771.5609999999999</v>
      </c>
      <c r="C11" s="7">
        <f t="shared" si="0"/>
        <v>177.15610000000001</v>
      </c>
      <c r="D11" s="7">
        <f t="shared" si="1"/>
        <v>1948.7170999999998</v>
      </c>
    </row>
    <row r="12" spans="1:5" ht="13.8" thickBot="1" x14ac:dyDescent="0.3">
      <c r="A12" s="1">
        <v>8</v>
      </c>
      <c r="B12" s="7">
        <f t="shared" si="2"/>
        <v>1948.7170999999998</v>
      </c>
      <c r="C12" s="7">
        <f t="shared" si="0"/>
        <v>194.87171000000001</v>
      </c>
      <c r="D12" s="7">
        <f t="shared" si="1"/>
        <v>2143.5888099999997</v>
      </c>
    </row>
    <row r="13" spans="1:5" ht="13.8" thickBot="1" x14ac:dyDescent="0.3">
      <c r="A13" s="1">
        <v>9</v>
      </c>
      <c r="B13" s="7">
        <f t="shared" si="2"/>
        <v>2143.5888099999997</v>
      </c>
      <c r="C13" s="7">
        <f t="shared" si="0"/>
        <v>214.358881</v>
      </c>
      <c r="D13" s="7">
        <f t="shared" si="1"/>
        <v>2357.9476909999998</v>
      </c>
      <c r="E13" s="83" t="str">
        <f ca="1">_xlfn.FORMULATEXT(B6)</f>
        <v>=D5</v>
      </c>
    </row>
    <row r="14" spans="1:5" x14ac:dyDescent="0.25">
      <c r="A14" s="1">
        <v>10</v>
      </c>
      <c r="B14" s="7">
        <f t="shared" si="2"/>
        <v>2357.9476909999998</v>
      </c>
      <c r="C14" s="7">
        <f t="shared" si="0"/>
        <v>235.7947691</v>
      </c>
      <c r="D14" s="74">
        <f t="shared" si="1"/>
        <v>2593.7424600999998</v>
      </c>
    </row>
    <row r="16" spans="1:5" x14ac:dyDescent="0.25">
      <c r="A16" s="72" t="s">
        <v>10</v>
      </c>
      <c r="B16" s="72"/>
      <c r="C16" s="74">
        <f>B5*(1+B2)^10</f>
        <v>2593.7424601000021</v>
      </c>
      <c r="D16" t="str">
        <f ca="1">getformula(C16)</f>
        <v>&lt;--  =B5*(1+B2)^10</v>
      </c>
    </row>
  </sheetData>
  <mergeCells count="1">
    <mergeCell ref="A1:E1"/>
  </mergeCells>
  <phoneticPr fontId="3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/>
  <dimension ref="A1:I20"/>
  <sheetViews>
    <sheetView topLeftCell="B1" workbookViewId="0">
      <selection activeCell="C14" sqref="C14"/>
    </sheetView>
  </sheetViews>
  <sheetFormatPr defaultRowHeight="13.2" x14ac:dyDescent="0.25"/>
  <cols>
    <col min="1" max="1" width="17.33203125" bestFit="1" customWidth="1"/>
    <col min="2" max="2" width="16.21875" bestFit="1" customWidth="1"/>
    <col min="3" max="3" width="16.88671875" customWidth="1"/>
    <col min="4" max="4" width="14.33203125" bestFit="1" customWidth="1"/>
    <col min="5" max="5" width="15.6640625" bestFit="1" customWidth="1"/>
    <col min="6" max="6" width="14.88671875" bestFit="1" customWidth="1"/>
    <col min="9" max="9" width="11.44140625" bestFit="1" customWidth="1"/>
  </cols>
  <sheetData>
    <row r="1" spans="1:9" ht="17.399999999999999" x14ac:dyDescent="0.3">
      <c r="A1" s="102" t="s">
        <v>35</v>
      </c>
      <c r="B1" s="102"/>
      <c r="C1" s="102"/>
      <c r="D1" s="102"/>
      <c r="E1" s="102"/>
      <c r="F1" s="102"/>
      <c r="G1" s="35"/>
    </row>
    <row r="2" spans="1:9" x14ac:dyDescent="0.25">
      <c r="A2" t="s">
        <v>5</v>
      </c>
      <c r="B2" s="2">
        <v>0.1</v>
      </c>
      <c r="C2" s="2"/>
    </row>
    <row r="3" spans="1:9" x14ac:dyDescent="0.25">
      <c r="A3" t="s">
        <v>13</v>
      </c>
      <c r="B3" s="19">
        <v>1000</v>
      </c>
      <c r="C3" s="89" t="s">
        <v>109</v>
      </c>
    </row>
    <row r="4" spans="1:9" x14ac:dyDescent="0.25">
      <c r="A4" t="s">
        <v>75</v>
      </c>
      <c r="B4" s="19">
        <v>10</v>
      </c>
      <c r="C4" s="2"/>
    </row>
    <row r="6" spans="1:9" ht="26.4" x14ac:dyDescent="0.25">
      <c r="A6" s="48" t="s">
        <v>2</v>
      </c>
      <c r="B6" s="48" t="s">
        <v>104</v>
      </c>
      <c r="C6" s="48" t="s">
        <v>107</v>
      </c>
      <c r="D6" s="48" t="s">
        <v>105</v>
      </c>
      <c r="E6" s="48" t="s">
        <v>108</v>
      </c>
    </row>
    <row r="7" spans="1:9" x14ac:dyDescent="0.25">
      <c r="A7" s="1">
        <v>1</v>
      </c>
      <c r="B7" s="7">
        <v>0</v>
      </c>
      <c r="C7" s="19">
        <v>1000</v>
      </c>
      <c r="D7" s="7">
        <f>$B$2*(C7+B7)</f>
        <v>100</v>
      </c>
      <c r="E7" s="7">
        <f>D7+C7+B7</f>
        <v>1100</v>
      </c>
      <c r="F7" t="str">
        <f ca="1">getformula(E7)</f>
        <v>&lt;--  =D7+C7+B7</v>
      </c>
    </row>
    <row r="8" spans="1:9" x14ac:dyDescent="0.25">
      <c r="A8" s="1">
        <v>2</v>
      </c>
      <c r="B8" s="7">
        <f>E7</f>
        <v>1100</v>
      </c>
      <c r="C8" s="19">
        <v>1000</v>
      </c>
      <c r="D8" s="7">
        <f>$B$2*(C8+B8)</f>
        <v>210</v>
      </c>
      <c r="E8" s="7">
        <f>D8+C8+B8</f>
        <v>2310</v>
      </c>
      <c r="F8" t="str">
        <f ca="1">getformula(E8)</f>
        <v>&lt;--  =D8+C8+B8</v>
      </c>
    </row>
    <row r="9" spans="1:9" x14ac:dyDescent="0.25">
      <c r="A9" s="1">
        <v>3</v>
      </c>
      <c r="B9" s="7">
        <f t="shared" ref="B9:B16" si="0">E8</f>
        <v>2310</v>
      </c>
      <c r="C9" s="19">
        <f>C8</f>
        <v>1000</v>
      </c>
      <c r="D9" s="7">
        <f t="shared" ref="D9:D16" si="1">$B$2*(C9+B9)</f>
        <v>331</v>
      </c>
      <c r="E9" s="7">
        <f t="shared" ref="E9:E16" si="2">D9+C9+B9</f>
        <v>3641</v>
      </c>
    </row>
    <row r="10" spans="1:9" ht="13.8" thickBot="1" x14ac:dyDescent="0.3">
      <c r="A10" s="1">
        <v>4</v>
      </c>
      <c r="B10" s="7">
        <f t="shared" si="0"/>
        <v>3641</v>
      </c>
      <c r="C10" s="19">
        <f t="shared" ref="C10:C16" si="3">C9</f>
        <v>1000</v>
      </c>
      <c r="D10" s="7">
        <f t="shared" si="1"/>
        <v>464.1</v>
      </c>
      <c r="E10" s="7">
        <f t="shared" si="2"/>
        <v>5105.1000000000004</v>
      </c>
    </row>
    <row r="11" spans="1:9" ht="13.8" thickBot="1" x14ac:dyDescent="0.3">
      <c r="A11" s="1">
        <v>5</v>
      </c>
      <c r="B11" s="7">
        <f t="shared" si="0"/>
        <v>5105.1000000000004</v>
      </c>
      <c r="C11" s="19">
        <f t="shared" si="3"/>
        <v>1000</v>
      </c>
      <c r="D11" s="7">
        <f t="shared" si="1"/>
        <v>610.5100000000001</v>
      </c>
      <c r="E11" s="7">
        <f t="shared" si="2"/>
        <v>6715.6100000000006</v>
      </c>
      <c r="F11" s="83" t="str">
        <f ca="1">_xlfn.FORMULATEXT(D7)</f>
        <v>=$B$2*(C7+B7)</v>
      </c>
    </row>
    <row r="12" spans="1:9" x14ac:dyDescent="0.25">
      <c r="A12" s="1">
        <v>6</v>
      </c>
      <c r="B12" s="7">
        <f t="shared" si="0"/>
        <v>6715.6100000000006</v>
      </c>
      <c r="C12" s="19">
        <f t="shared" si="3"/>
        <v>1000</v>
      </c>
      <c r="D12" s="7">
        <f t="shared" si="1"/>
        <v>771.56100000000015</v>
      </c>
      <c r="E12" s="7">
        <f t="shared" si="2"/>
        <v>8487.1710000000003</v>
      </c>
      <c r="I12" s="3"/>
    </row>
    <row r="13" spans="1:9" x14ac:dyDescent="0.25">
      <c r="A13" s="1">
        <v>7</v>
      </c>
      <c r="B13" s="7">
        <f t="shared" si="0"/>
        <v>8487.1710000000003</v>
      </c>
      <c r="C13" s="19">
        <f t="shared" si="3"/>
        <v>1000</v>
      </c>
      <c r="D13" s="7">
        <f t="shared" si="1"/>
        <v>948.71710000000007</v>
      </c>
      <c r="E13" s="7">
        <f t="shared" si="2"/>
        <v>10435.8881</v>
      </c>
    </row>
    <row r="14" spans="1:9" x14ac:dyDescent="0.25">
      <c r="A14" s="1">
        <v>8</v>
      </c>
      <c r="B14" s="7">
        <f t="shared" si="0"/>
        <v>10435.8881</v>
      </c>
      <c r="C14" s="19">
        <f t="shared" si="3"/>
        <v>1000</v>
      </c>
      <c r="D14" s="7">
        <f t="shared" si="1"/>
        <v>1143.58881</v>
      </c>
      <c r="E14" s="7">
        <f t="shared" si="2"/>
        <v>12579.476910000001</v>
      </c>
    </row>
    <row r="15" spans="1:9" x14ac:dyDescent="0.25">
      <c r="A15" s="1">
        <v>9</v>
      </c>
      <c r="B15" s="7">
        <f t="shared" si="0"/>
        <v>12579.476910000001</v>
      </c>
      <c r="C15" s="19">
        <f t="shared" si="3"/>
        <v>1000</v>
      </c>
      <c r="D15" s="7">
        <f t="shared" si="1"/>
        <v>1357.9476910000003</v>
      </c>
      <c r="E15" s="7">
        <f t="shared" si="2"/>
        <v>14937.424601000002</v>
      </c>
    </row>
    <row r="16" spans="1:9" x14ac:dyDescent="0.25">
      <c r="A16" s="1">
        <v>10</v>
      </c>
      <c r="B16" s="7">
        <f t="shared" si="0"/>
        <v>14937.424601000002</v>
      </c>
      <c r="C16" s="19">
        <f t="shared" si="3"/>
        <v>1000</v>
      </c>
      <c r="D16" s="7">
        <f t="shared" si="1"/>
        <v>1593.7424601000002</v>
      </c>
      <c r="E16" s="74">
        <f t="shared" si="2"/>
        <v>17531.167061100001</v>
      </c>
    </row>
    <row r="17" spans="1:5" ht="13.8" thickBot="1" x14ac:dyDescent="0.3"/>
    <row r="18" spans="1:5" ht="13.8" thickBot="1" x14ac:dyDescent="0.3">
      <c r="A18" s="72" t="s">
        <v>11</v>
      </c>
      <c r="B18" s="91">
        <f>FV(B2,B4,-B3,,1)</f>
        <v>17531.167061100023</v>
      </c>
      <c r="C18" t="str">
        <f ca="1">getformula(B18)</f>
        <v>&lt;--  =FV(B2,B4,-B3,,1)</v>
      </c>
      <c r="E18" s="90" t="str">
        <f ca="1">_xlfn.FORMULATEXT(B8)</f>
        <v>=E7</v>
      </c>
    </row>
    <row r="20" spans="1:5" x14ac:dyDescent="0.25">
      <c r="B20" s="21"/>
    </row>
  </sheetData>
  <mergeCells count="1">
    <mergeCell ref="A1:F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"/>
  <dimension ref="A1:F29"/>
  <sheetViews>
    <sheetView zoomScale="85" zoomScaleNormal="85" workbookViewId="0">
      <selection activeCell="D4" sqref="D4"/>
    </sheetView>
  </sheetViews>
  <sheetFormatPr defaultRowHeight="13.2" x14ac:dyDescent="0.25"/>
  <cols>
    <col min="1" max="1" width="27" bestFit="1" customWidth="1"/>
    <col min="2" max="2" width="18.21875" style="7" bestFit="1" customWidth="1"/>
    <col min="3" max="3" width="18.21875" style="19" bestFit="1" customWidth="1"/>
    <col min="4" max="4" width="15.88671875" bestFit="1" customWidth="1"/>
    <col min="5" max="5" width="17" bestFit="1" customWidth="1"/>
    <col min="6" max="6" width="17.44140625" bestFit="1" customWidth="1"/>
  </cols>
  <sheetData>
    <row r="1" spans="1:6" ht="17.399999999999999" x14ac:dyDescent="0.3">
      <c r="A1" s="102" t="s">
        <v>113</v>
      </c>
      <c r="B1" s="102"/>
      <c r="C1" s="102"/>
      <c r="D1" s="102"/>
      <c r="E1" s="102"/>
      <c r="F1" s="102"/>
    </row>
    <row r="2" spans="1:6" s="58" customFormat="1" ht="13.8" x14ac:dyDescent="0.25">
      <c r="A2" s="58" t="s">
        <v>5</v>
      </c>
      <c r="B2" s="60">
        <v>7.0000000000000007E-2</v>
      </c>
      <c r="C2" s="59"/>
    </row>
    <row r="3" spans="1:6" s="58" customFormat="1" ht="13.8" x14ac:dyDescent="0.25">
      <c r="A3" s="58" t="s">
        <v>13</v>
      </c>
      <c r="B3" s="76">
        <f>240000/5</f>
        <v>48000</v>
      </c>
      <c r="C3" s="59" t="str">
        <f ca="1">getformula(B3)</f>
        <v>&lt;--  =240000/5</v>
      </c>
    </row>
    <row r="4" spans="1:6" s="58" customFormat="1" ht="14.4" thickBot="1" x14ac:dyDescent="0.3">
      <c r="A4" s="58" t="s">
        <v>37</v>
      </c>
      <c r="B4" s="64">
        <v>30000</v>
      </c>
      <c r="C4" s="59"/>
    </row>
    <row r="5" spans="1:6" s="58" customFormat="1" ht="14.4" thickBot="1" x14ac:dyDescent="0.3">
      <c r="B5" s="64"/>
      <c r="C5" s="59"/>
      <c r="F5" s="92" t="str">
        <f ca="1">ggetformula(D7)</f>
        <v>=$B$2*(C7+B7)</v>
      </c>
    </row>
    <row r="6" spans="1:6" s="58" customFormat="1" ht="41.4" x14ac:dyDescent="0.25">
      <c r="A6" s="67" t="s">
        <v>2</v>
      </c>
      <c r="B6" s="67" t="s">
        <v>104</v>
      </c>
      <c r="C6" s="67" t="s">
        <v>107</v>
      </c>
      <c r="D6" s="67" t="s">
        <v>105</v>
      </c>
      <c r="E6" s="67" t="s">
        <v>108</v>
      </c>
    </row>
    <row r="7" spans="1:6" s="58" customFormat="1" ht="13.8" x14ac:dyDescent="0.25">
      <c r="A7" s="63">
        <v>1</v>
      </c>
      <c r="B7" s="64">
        <v>0</v>
      </c>
      <c r="C7" s="64">
        <f>$B$3</f>
        <v>48000</v>
      </c>
      <c r="D7" s="64">
        <f t="shared" ref="D7:D19" si="0">$B$2*(C7+B7)</f>
        <v>3360.0000000000005</v>
      </c>
      <c r="E7" s="64">
        <f>SUM(B7:D7)</f>
        <v>51360</v>
      </c>
      <c r="F7" s="58" t="str">
        <f ca="1">getformula(E7)</f>
        <v>&lt;--  =SUM(B7:D7)</v>
      </c>
    </row>
    <row r="8" spans="1:6" s="58" customFormat="1" ht="13.8" x14ac:dyDescent="0.25">
      <c r="A8" s="63">
        <v>2</v>
      </c>
      <c r="B8" s="64">
        <f t="shared" ref="B8:B19" si="1">E7</f>
        <v>51360</v>
      </c>
      <c r="C8" s="64">
        <f>$B$3</f>
        <v>48000</v>
      </c>
      <c r="D8" s="64">
        <f t="shared" si="0"/>
        <v>6955.2000000000007</v>
      </c>
      <c r="E8" s="64">
        <f t="shared" ref="E8:E19" si="2">SUM(B8:D8)</f>
        <v>106315.2</v>
      </c>
    </row>
    <row r="9" spans="1:6" s="58" customFormat="1" ht="13.8" x14ac:dyDescent="0.25">
      <c r="A9" s="63">
        <v>3</v>
      </c>
      <c r="B9" s="64">
        <f t="shared" si="1"/>
        <v>106315.2</v>
      </c>
      <c r="C9" s="64">
        <f>$B$3</f>
        <v>48000</v>
      </c>
      <c r="D9" s="64">
        <f t="shared" si="0"/>
        <v>10802.064000000002</v>
      </c>
      <c r="E9" s="64">
        <f t="shared" si="2"/>
        <v>165117.26400000002</v>
      </c>
    </row>
    <row r="10" spans="1:6" s="58" customFormat="1" ht="13.8" x14ac:dyDescent="0.25">
      <c r="A10" s="63">
        <v>4</v>
      </c>
      <c r="B10" s="64">
        <f t="shared" si="1"/>
        <v>165117.26400000002</v>
      </c>
      <c r="C10" s="64">
        <f>$B$3</f>
        <v>48000</v>
      </c>
      <c r="D10" s="64">
        <f t="shared" si="0"/>
        <v>14918.208480000003</v>
      </c>
      <c r="E10" s="64">
        <f t="shared" si="2"/>
        <v>228035.47248000003</v>
      </c>
    </row>
    <row r="11" spans="1:6" s="58" customFormat="1" ht="13.8" x14ac:dyDescent="0.25">
      <c r="A11" s="63">
        <v>5</v>
      </c>
      <c r="B11" s="64">
        <f t="shared" si="1"/>
        <v>228035.47248000003</v>
      </c>
      <c r="C11" s="64">
        <f>$B$3</f>
        <v>48000</v>
      </c>
      <c r="D11" s="64">
        <f t="shared" si="0"/>
        <v>19322.4830736</v>
      </c>
      <c r="E11" s="64">
        <f t="shared" si="2"/>
        <v>295357.95555359998</v>
      </c>
    </row>
    <row r="12" spans="1:6" s="58" customFormat="1" ht="13.8" x14ac:dyDescent="0.25">
      <c r="A12" s="63">
        <v>6</v>
      </c>
      <c r="B12" s="64">
        <f t="shared" si="1"/>
        <v>295357.95555359998</v>
      </c>
      <c r="C12" s="64">
        <f t="shared" ref="C12:C19" si="3">-$B$4</f>
        <v>-30000</v>
      </c>
      <c r="D12" s="64">
        <f t="shared" si="0"/>
        <v>18575.056888752002</v>
      </c>
      <c r="E12" s="64">
        <f t="shared" si="2"/>
        <v>283933.01244235196</v>
      </c>
    </row>
    <row r="13" spans="1:6" s="58" customFormat="1" ht="13.8" x14ac:dyDescent="0.25">
      <c r="A13" s="63">
        <v>7</v>
      </c>
      <c r="B13" s="64">
        <f t="shared" si="1"/>
        <v>283933.01244235196</v>
      </c>
      <c r="C13" s="64">
        <f t="shared" si="3"/>
        <v>-30000</v>
      </c>
      <c r="D13" s="64">
        <f t="shared" si="0"/>
        <v>17775.31087096464</v>
      </c>
      <c r="E13" s="64">
        <f t="shared" si="2"/>
        <v>271708.32331331662</v>
      </c>
    </row>
    <row r="14" spans="1:6" s="58" customFormat="1" ht="13.8" x14ac:dyDescent="0.25">
      <c r="A14" s="63">
        <v>8</v>
      </c>
      <c r="B14" s="64">
        <f t="shared" si="1"/>
        <v>271708.32331331662</v>
      </c>
      <c r="C14" s="64">
        <f t="shared" si="3"/>
        <v>-30000</v>
      </c>
      <c r="D14" s="64">
        <f t="shared" si="0"/>
        <v>16919.582631932164</v>
      </c>
      <c r="E14" s="64">
        <f t="shared" si="2"/>
        <v>258627.90594524879</v>
      </c>
    </row>
    <row r="15" spans="1:6" s="58" customFormat="1" ht="13.8" x14ac:dyDescent="0.25">
      <c r="A15" s="63">
        <v>9</v>
      </c>
      <c r="B15" s="64">
        <f t="shared" si="1"/>
        <v>258627.90594524879</v>
      </c>
      <c r="C15" s="64">
        <f t="shared" si="3"/>
        <v>-30000</v>
      </c>
      <c r="D15" s="64">
        <f t="shared" si="0"/>
        <v>16003.953416167416</v>
      </c>
      <c r="E15" s="64">
        <f t="shared" si="2"/>
        <v>244631.85936141619</v>
      </c>
    </row>
    <row r="16" spans="1:6" s="58" customFormat="1" ht="13.8" x14ac:dyDescent="0.25">
      <c r="A16" s="63">
        <v>10</v>
      </c>
      <c r="B16" s="64">
        <f t="shared" si="1"/>
        <v>244631.85936141619</v>
      </c>
      <c r="C16" s="64">
        <f t="shared" si="3"/>
        <v>-30000</v>
      </c>
      <c r="D16" s="64">
        <f t="shared" si="0"/>
        <v>15024.230155299136</v>
      </c>
      <c r="E16" s="64">
        <f t="shared" si="2"/>
        <v>229656.08951671532</v>
      </c>
    </row>
    <row r="17" spans="1:6" s="58" customFormat="1" ht="13.8" x14ac:dyDescent="0.25">
      <c r="A17" s="63">
        <v>11</v>
      </c>
      <c r="B17" s="64">
        <f t="shared" si="1"/>
        <v>229656.08951671532</v>
      </c>
      <c r="C17" s="64">
        <f t="shared" si="3"/>
        <v>-30000</v>
      </c>
      <c r="D17" s="64">
        <f t="shared" si="0"/>
        <v>13975.926266170074</v>
      </c>
      <c r="E17" s="64">
        <f t="shared" si="2"/>
        <v>213632.0157828854</v>
      </c>
    </row>
    <row r="18" spans="1:6" s="58" customFormat="1" ht="13.8" x14ac:dyDescent="0.25">
      <c r="A18" s="63">
        <v>12</v>
      </c>
      <c r="B18" s="64">
        <f t="shared" si="1"/>
        <v>213632.0157828854</v>
      </c>
      <c r="C18" s="64">
        <f t="shared" si="3"/>
        <v>-30000</v>
      </c>
      <c r="D18" s="64">
        <f t="shared" si="0"/>
        <v>12854.241104801979</v>
      </c>
      <c r="E18" s="64">
        <f t="shared" si="2"/>
        <v>196486.25688768737</v>
      </c>
    </row>
    <row r="19" spans="1:6" s="58" customFormat="1" ht="13.8" x14ac:dyDescent="0.25">
      <c r="A19" s="63">
        <v>13</v>
      </c>
      <c r="B19" s="64">
        <f t="shared" si="1"/>
        <v>196486.25688768737</v>
      </c>
      <c r="C19" s="64">
        <f t="shared" si="3"/>
        <v>-30000</v>
      </c>
      <c r="D19" s="64">
        <f t="shared" si="0"/>
        <v>11654.037982138118</v>
      </c>
      <c r="E19" s="76">
        <f t="shared" si="2"/>
        <v>178140.29486982548</v>
      </c>
    </row>
    <row r="20" spans="1:6" s="58" customFormat="1" ht="13.8" x14ac:dyDescent="0.25">
      <c r="B20" s="64"/>
      <c r="C20" s="59"/>
      <c r="D20" s="64"/>
      <c r="E20" s="64"/>
    </row>
    <row r="21" spans="1:6" s="58" customFormat="1" ht="46.5" customHeight="1" x14ac:dyDescent="0.25">
      <c r="A21" s="123" t="s">
        <v>123</v>
      </c>
      <c r="B21" s="123"/>
      <c r="C21" s="123"/>
      <c r="D21" s="123"/>
      <c r="E21" s="123"/>
      <c r="F21" s="93"/>
    </row>
    <row r="22" spans="1:6" s="58" customFormat="1" ht="13.8" x14ac:dyDescent="0.25">
      <c r="B22" s="64"/>
      <c r="C22" s="59"/>
      <c r="D22" s="64"/>
      <c r="E22" s="64"/>
    </row>
    <row r="23" spans="1:6" s="58" customFormat="1" ht="13.8" x14ac:dyDescent="0.25">
      <c r="B23" s="64"/>
      <c r="C23" s="59"/>
      <c r="D23" s="64"/>
      <c r="E23" s="64"/>
    </row>
    <row r="24" spans="1:6" s="58" customFormat="1" ht="13.8" x14ac:dyDescent="0.25">
      <c r="B24" s="64"/>
      <c r="C24" s="59"/>
      <c r="D24" s="64"/>
      <c r="E24" s="64"/>
    </row>
    <row r="25" spans="1:6" s="58" customFormat="1" ht="13.8" x14ac:dyDescent="0.25">
      <c r="B25" s="64"/>
      <c r="C25" s="59"/>
      <c r="D25" s="64"/>
      <c r="E25" s="64"/>
    </row>
    <row r="26" spans="1:6" s="58" customFormat="1" ht="13.8" x14ac:dyDescent="0.25">
      <c r="B26" s="64"/>
      <c r="C26" s="59"/>
      <c r="D26" s="64"/>
      <c r="E26" s="64"/>
    </row>
    <row r="27" spans="1:6" s="58" customFormat="1" ht="13.8" x14ac:dyDescent="0.25">
      <c r="B27" s="64"/>
      <c r="C27" s="59"/>
      <c r="D27" s="64"/>
      <c r="E27" s="64"/>
    </row>
    <row r="28" spans="1:6" s="58" customFormat="1" ht="13.8" x14ac:dyDescent="0.25">
      <c r="B28" s="64"/>
      <c r="C28" s="59"/>
      <c r="D28" s="64"/>
      <c r="E28" s="64"/>
    </row>
    <row r="29" spans="1:6" x14ac:dyDescent="0.25">
      <c r="D29" s="7"/>
      <c r="E29" s="7"/>
    </row>
  </sheetData>
  <mergeCells count="2">
    <mergeCell ref="A1:F1"/>
    <mergeCell ref="A21:E21"/>
  </mergeCells>
  <phoneticPr fontId="3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C0728-E2E2-4BFF-8CCD-3D690EA0F62E}">
  <sheetPr codeName="Sheet9"/>
  <dimension ref="A1:F29"/>
  <sheetViews>
    <sheetView zoomScale="85" zoomScaleNormal="85" workbookViewId="0">
      <selection sqref="A1:F1"/>
    </sheetView>
  </sheetViews>
  <sheetFormatPr defaultRowHeight="13.2" x14ac:dyDescent="0.25"/>
  <cols>
    <col min="1" max="1" width="27" bestFit="1" customWidth="1"/>
    <col min="2" max="2" width="18.21875" style="7" bestFit="1" customWidth="1"/>
    <col min="3" max="3" width="18.21875" style="19" bestFit="1" customWidth="1"/>
    <col min="4" max="4" width="15.88671875" bestFit="1" customWidth="1"/>
    <col min="5" max="5" width="17" bestFit="1" customWidth="1"/>
    <col min="6" max="6" width="17.44140625" bestFit="1" customWidth="1"/>
  </cols>
  <sheetData>
    <row r="1" spans="1:6" ht="17.399999999999999" x14ac:dyDescent="0.3">
      <c r="A1" s="102" t="s">
        <v>12</v>
      </c>
      <c r="B1" s="102"/>
      <c r="C1" s="102"/>
      <c r="D1" s="102"/>
      <c r="E1" s="102"/>
      <c r="F1" s="102"/>
    </row>
    <row r="2" spans="1:6" s="58" customFormat="1" ht="13.8" x14ac:dyDescent="0.25">
      <c r="A2" s="58" t="s">
        <v>5</v>
      </c>
      <c r="B2" s="60">
        <v>7.0000000000000007E-2</v>
      </c>
      <c r="C2" s="59"/>
    </row>
    <row r="3" spans="1:6" s="58" customFormat="1" ht="13.8" x14ac:dyDescent="0.25">
      <c r="A3" s="58" t="s">
        <v>13</v>
      </c>
      <c r="B3" s="76">
        <v>31150.597318867389</v>
      </c>
      <c r="C3" s="59"/>
    </row>
    <row r="4" spans="1:6" s="58" customFormat="1" ht="14.4" thickBot="1" x14ac:dyDescent="0.3">
      <c r="A4" s="58" t="s">
        <v>37</v>
      </c>
      <c r="B4" s="64">
        <v>30000</v>
      </c>
      <c r="C4" s="59"/>
    </row>
    <row r="5" spans="1:6" s="58" customFormat="1" ht="14.4" thickBot="1" x14ac:dyDescent="0.3">
      <c r="B5" s="64"/>
      <c r="C5" s="59"/>
      <c r="F5" s="92" t="str">
        <f ca="1">ggetformula(D7)</f>
        <v>=$B$2*(C7+B7)</v>
      </c>
    </row>
    <row r="6" spans="1:6" s="58" customFormat="1" ht="41.4" x14ac:dyDescent="0.25">
      <c r="A6" s="78" t="s">
        <v>2</v>
      </c>
      <c r="B6" s="78" t="s">
        <v>104</v>
      </c>
      <c r="C6" s="78" t="s">
        <v>107</v>
      </c>
      <c r="D6" s="78" t="s">
        <v>105</v>
      </c>
      <c r="E6" s="78" t="s">
        <v>108</v>
      </c>
    </row>
    <row r="7" spans="1:6" s="58" customFormat="1" ht="13.8" x14ac:dyDescent="0.25">
      <c r="A7" s="63">
        <v>1</v>
      </c>
      <c r="B7" s="64">
        <v>0</v>
      </c>
      <c r="C7" s="64">
        <f>$B$3</f>
        <v>31150.597318867389</v>
      </c>
      <c r="D7" s="64">
        <f t="shared" ref="D7:D19" si="0">$B$2*(C7+B7)</f>
        <v>2180.5418123207173</v>
      </c>
      <c r="E7" s="64">
        <f>SUM(B7:D7)</f>
        <v>33331.139131188109</v>
      </c>
      <c r="F7" s="58" t="str">
        <f ca="1">getformula(E7)</f>
        <v>&lt;--  =SUM(B7:D7)</v>
      </c>
    </row>
    <row r="8" spans="1:6" s="58" customFormat="1" ht="13.8" x14ac:dyDescent="0.25">
      <c r="A8" s="63">
        <v>2</v>
      </c>
      <c r="B8" s="64">
        <f t="shared" ref="B8:B19" si="1">E7</f>
        <v>33331.139131188109</v>
      </c>
      <c r="C8" s="64">
        <f>$B$3</f>
        <v>31150.597318867389</v>
      </c>
      <c r="D8" s="64">
        <f t="shared" si="0"/>
        <v>4513.7215515038852</v>
      </c>
      <c r="E8" s="64">
        <f t="shared" ref="E8:E19" si="2">SUM(B8:D8)</f>
        <v>68995.458001559382</v>
      </c>
    </row>
    <row r="9" spans="1:6" s="58" customFormat="1" ht="13.8" x14ac:dyDescent="0.25">
      <c r="A9" s="63">
        <v>3</v>
      </c>
      <c r="B9" s="64">
        <f t="shared" si="1"/>
        <v>68995.458001559382</v>
      </c>
      <c r="C9" s="64">
        <f>$B$3</f>
        <v>31150.597318867389</v>
      </c>
      <c r="D9" s="64">
        <f t="shared" si="0"/>
        <v>7010.2238724298741</v>
      </c>
      <c r="E9" s="64">
        <f t="shared" si="2"/>
        <v>107156.27919285664</v>
      </c>
    </row>
    <row r="10" spans="1:6" s="58" customFormat="1" ht="13.8" x14ac:dyDescent="0.25">
      <c r="A10" s="63">
        <v>4</v>
      </c>
      <c r="B10" s="64">
        <f t="shared" si="1"/>
        <v>107156.27919285664</v>
      </c>
      <c r="C10" s="64">
        <f>$B$3</f>
        <v>31150.597318867389</v>
      </c>
      <c r="D10" s="64">
        <f t="shared" si="0"/>
        <v>9681.4813558206824</v>
      </c>
      <c r="E10" s="64">
        <f t="shared" si="2"/>
        <v>147988.35786754472</v>
      </c>
    </row>
    <row r="11" spans="1:6" s="58" customFormat="1" ht="13.8" x14ac:dyDescent="0.25">
      <c r="A11" s="63">
        <v>5</v>
      </c>
      <c r="B11" s="64">
        <f t="shared" si="1"/>
        <v>147988.35786754472</v>
      </c>
      <c r="C11" s="64">
        <f>$B$3</f>
        <v>31150.597318867389</v>
      </c>
      <c r="D11" s="64">
        <f t="shared" si="0"/>
        <v>12539.726863048849</v>
      </c>
      <c r="E11" s="64">
        <f t="shared" si="2"/>
        <v>191678.68204946097</v>
      </c>
    </row>
    <row r="12" spans="1:6" s="58" customFormat="1" ht="13.8" x14ac:dyDescent="0.25">
      <c r="A12" s="63">
        <v>6</v>
      </c>
      <c r="B12" s="64">
        <f t="shared" si="1"/>
        <v>191678.68204946097</v>
      </c>
      <c r="C12" s="64">
        <f t="shared" ref="C12:C19" si="3">-$B$4</f>
        <v>-30000</v>
      </c>
      <c r="D12" s="64">
        <f t="shared" si="0"/>
        <v>11317.507743462269</v>
      </c>
      <c r="E12" s="64">
        <f t="shared" si="2"/>
        <v>172996.18979292325</v>
      </c>
    </row>
    <row r="13" spans="1:6" s="58" customFormat="1" ht="13.8" x14ac:dyDescent="0.25">
      <c r="A13" s="63">
        <v>7</v>
      </c>
      <c r="B13" s="64">
        <f t="shared" si="1"/>
        <v>172996.18979292325</v>
      </c>
      <c r="C13" s="64">
        <f t="shared" si="3"/>
        <v>-30000</v>
      </c>
      <c r="D13" s="64">
        <f t="shared" si="0"/>
        <v>10009.733285504628</v>
      </c>
      <c r="E13" s="64">
        <f t="shared" si="2"/>
        <v>153005.92307842788</v>
      </c>
    </row>
    <row r="14" spans="1:6" s="58" customFormat="1" ht="13.8" x14ac:dyDescent="0.25">
      <c r="A14" s="63">
        <v>8</v>
      </c>
      <c r="B14" s="64">
        <f t="shared" si="1"/>
        <v>153005.92307842788</v>
      </c>
      <c r="C14" s="64">
        <f t="shared" si="3"/>
        <v>-30000</v>
      </c>
      <c r="D14" s="64">
        <f t="shared" si="0"/>
        <v>8610.4146154899518</v>
      </c>
      <c r="E14" s="64">
        <f t="shared" si="2"/>
        <v>131616.33769391783</v>
      </c>
    </row>
    <row r="15" spans="1:6" s="58" customFormat="1" ht="13.8" x14ac:dyDescent="0.25">
      <c r="A15" s="63">
        <v>9</v>
      </c>
      <c r="B15" s="64">
        <f t="shared" si="1"/>
        <v>131616.33769391783</v>
      </c>
      <c r="C15" s="64">
        <f t="shared" si="3"/>
        <v>-30000</v>
      </c>
      <c r="D15" s="64">
        <f t="shared" si="0"/>
        <v>7113.1436385742481</v>
      </c>
      <c r="E15" s="64">
        <f t="shared" si="2"/>
        <v>108729.48133249207</v>
      </c>
    </row>
    <row r="16" spans="1:6" s="58" customFormat="1" ht="13.8" x14ac:dyDescent="0.25">
      <c r="A16" s="63">
        <v>10</v>
      </c>
      <c r="B16" s="64">
        <f t="shared" si="1"/>
        <v>108729.48133249207</v>
      </c>
      <c r="C16" s="64">
        <f t="shared" si="3"/>
        <v>-30000</v>
      </c>
      <c r="D16" s="64">
        <f t="shared" si="0"/>
        <v>5511.0636932744455</v>
      </c>
      <c r="E16" s="64">
        <f t="shared" si="2"/>
        <v>84240.545025766507</v>
      </c>
    </row>
    <row r="17" spans="1:6" s="58" customFormat="1" ht="13.8" x14ac:dyDescent="0.25">
      <c r="A17" s="63">
        <v>11</v>
      </c>
      <c r="B17" s="64">
        <f t="shared" si="1"/>
        <v>84240.545025766507</v>
      </c>
      <c r="C17" s="64">
        <f t="shared" si="3"/>
        <v>-30000</v>
      </c>
      <c r="D17" s="64">
        <f t="shared" si="0"/>
        <v>3796.8381518036558</v>
      </c>
      <c r="E17" s="64">
        <f t="shared" si="2"/>
        <v>58037.383177570162</v>
      </c>
    </row>
    <row r="18" spans="1:6" s="58" customFormat="1" ht="13.8" x14ac:dyDescent="0.25">
      <c r="A18" s="63">
        <v>12</v>
      </c>
      <c r="B18" s="64">
        <f t="shared" si="1"/>
        <v>58037.383177570162</v>
      </c>
      <c r="C18" s="64">
        <f t="shared" si="3"/>
        <v>-30000</v>
      </c>
      <c r="D18" s="64">
        <f t="shared" si="0"/>
        <v>1962.6168224299115</v>
      </c>
      <c r="E18" s="64">
        <f t="shared" si="2"/>
        <v>30000.000000000073</v>
      </c>
    </row>
    <row r="19" spans="1:6" s="58" customFormat="1" ht="13.8" x14ac:dyDescent="0.25">
      <c r="A19" s="63">
        <v>13</v>
      </c>
      <c r="B19" s="64">
        <f t="shared" si="1"/>
        <v>30000.000000000073</v>
      </c>
      <c r="C19" s="64">
        <f t="shared" si="3"/>
        <v>-30000</v>
      </c>
      <c r="D19" s="64">
        <f t="shared" si="0"/>
        <v>5.0931703299283986E-12</v>
      </c>
      <c r="E19" s="76">
        <f t="shared" si="2"/>
        <v>7.7852746471762652E-11</v>
      </c>
    </row>
    <row r="20" spans="1:6" s="58" customFormat="1" ht="13.8" x14ac:dyDescent="0.25">
      <c r="B20" s="64"/>
      <c r="C20" s="59"/>
      <c r="D20" s="64"/>
      <c r="E20" s="64"/>
    </row>
    <row r="21" spans="1:6" s="58" customFormat="1" ht="46.5" customHeight="1" x14ac:dyDescent="0.25">
      <c r="A21" s="123" t="s">
        <v>110</v>
      </c>
      <c r="B21" s="123"/>
      <c r="C21" s="123"/>
      <c r="D21" s="123"/>
      <c r="E21" s="123"/>
      <c r="F21" s="93"/>
    </row>
    <row r="22" spans="1:6" s="58" customFormat="1" ht="13.8" x14ac:dyDescent="0.25">
      <c r="B22" s="64"/>
      <c r="C22" s="59"/>
      <c r="D22" s="64"/>
      <c r="E22" s="64"/>
    </row>
    <row r="23" spans="1:6" s="58" customFormat="1" ht="13.8" x14ac:dyDescent="0.25">
      <c r="B23" s="64"/>
      <c r="C23" s="59"/>
      <c r="D23" s="64"/>
      <c r="E23" s="64"/>
    </row>
    <row r="24" spans="1:6" s="58" customFormat="1" ht="13.8" x14ac:dyDescent="0.25">
      <c r="B24" s="64"/>
      <c r="C24" s="59"/>
      <c r="D24" s="64"/>
      <c r="E24" s="64"/>
    </row>
    <row r="25" spans="1:6" s="58" customFormat="1" ht="13.8" x14ac:dyDescent="0.25">
      <c r="B25" s="64"/>
      <c r="C25" s="59"/>
      <c r="D25" s="64"/>
      <c r="E25" s="64"/>
    </row>
    <row r="26" spans="1:6" s="58" customFormat="1" ht="13.8" x14ac:dyDescent="0.25">
      <c r="B26" s="64"/>
      <c r="C26" s="59"/>
      <c r="D26" s="64"/>
      <c r="E26" s="64"/>
    </row>
    <row r="27" spans="1:6" s="58" customFormat="1" ht="13.8" x14ac:dyDescent="0.25">
      <c r="B27" s="64"/>
      <c r="C27" s="59"/>
      <c r="D27" s="64"/>
      <c r="E27" s="64"/>
    </row>
    <row r="28" spans="1:6" s="58" customFormat="1" ht="13.8" x14ac:dyDescent="0.25">
      <c r="B28" s="64"/>
      <c r="C28" s="59"/>
      <c r="D28" s="64"/>
      <c r="E28" s="64"/>
    </row>
    <row r="29" spans="1:6" x14ac:dyDescent="0.25">
      <c r="D29" s="7"/>
      <c r="E29" s="7"/>
    </row>
  </sheetData>
  <mergeCells count="2">
    <mergeCell ref="A1:F1"/>
    <mergeCell ref="A21:E2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"/>
  <dimension ref="A2:O11"/>
  <sheetViews>
    <sheetView workbookViewId="0"/>
  </sheetViews>
  <sheetFormatPr defaultRowHeight="13.2" x14ac:dyDescent="0.25"/>
  <cols>
    <col min="1" max="1" width="20.88671875" bestFit="1" customWidth="1"/>
    <col min="6" max="6" width="12.33203125" bestFit="1" customWidth="1"/>
  </cols>
  <sheetData>
    <row r="2" spans="1:15" x14ac:dyDescent="0.25">
      <c r="A2" t="s">
        <v>13</v>
      </c>
      <c r="B2" s="7">
        <f>'Retirement solver'!B3</f>
        <v>31150.597318867389</v>
      </c>
    </row>
    <row r="3" spans="1:15" x14ac:dyDescent="0.25">
      <c r="A3" t="s">
        <v>78</v>
      </c>
      <c r="B3" s="7">
        <v>30000</v>
      </c>
    </row>
    <row r="4" spans="1:15" x14ac:dyDescent="0.25">
      <c r="A4" t="s">
        <v>14</v>
      </c>
      <c r="B4" s="2">
        <f>'Retirement solver'!B2</f>
        <v>7.0000000000000007E-2</v>
      </c>
    </row>
    <row r="6" spans="1:15" s="1" customFormat="1" x14ac:dyDescent="0.25">
      <c r="B6" s="1">
        <v>0</v>
      </c>
      <c r="C6" s="1">
        <v>1</v>
      </c>
      <c r="D6" s="1">
        <v>2</v>
      </c>
      <c r="E6" s="1">
        <v>3</v>
      </c>
      <c r="F6" s="1">
        <v>4</v>
      </c>
      <c r="G6" s="1">
        <v>5</v>
      </c>
      <c r="H6" s="1">
        <v>6</v>
      </c>
      <c r="I6" s="1">
        <v>7</v>
      </c>
      <c r="J6" s="1">
        <v>8</v>
      </c>
      <c r="K6" s="1">
        <v>9</v>
      </c>
      <c r="L6" s="1">
        <v>10</v>
      </c>
      <c r="M6" s="1">
        <v>11</v>
      </c>
      <c r="N6" s="1">
        <v>12</v>
      </c>
      <c r="O6" s="1">
        <v>13</v>
      </c>
    </row>
    <row r="8" spans="1:15" x14ac:dyDescent="0.25">
      <c r="B8" s="127" t="s">
        <v>76</v>
      </c>
      <c r="C8" s="127"/>
      <c r="D8" s="127"/>
      <c r="E8" s="127"/>
      <c r="F8" s="128"/>
      <c r="G8" s="124" t="s">
        <v>77</v>
      </c>
      <c r="H8" s="125"/>
      <c r="I8" s="125"/>
      <c r="J8" s="125"/>
      <c r="K8" s="125"/>
      <c r="L8" s="125"/>
      <c r="M8" s="125"/>
      <c r="N8" s="125"/>
      <c r="O8" s="126"/>
    </row>
    <row r="10" spans="1:15" x14ac:dyDescent="0.25">
      <c r="A10" t="s">
        <v>79</v>
      </c>
      <c r="F10" s="3">
        <f>FV(B4,5,-B2,,1)</f>
        <v>191678.68204946103</v>
      </c>
      <c r="G10" t="str">
        <f ca="1">"&lt;--"&amp;_xlfn.FORMULATEXT(F10)</f>
        <v>&lt;--=FV(B4,5,-B2,,1)</v>
      </c>
    </row>
    <row r="11" spans="1:15" ht="38.25" customHeight="1" x14ac:dyDescent="0.25">
      <c r="A11" s="46" t="s">
        <v>80</v>
      </c>
      <c r="B11" s="46"/>
      <c r="F11" s="3">
        <f>PV(B4,8,-B3,,1)</f>
        <v>191678.68204946094</v>
      </c>
      <c r="G11" t="str">
        <f ca="1">"&lt;--"&amp;_xlfn.FORMULATEXT(F11)</f>
        <v>&lt;--=PV(B4,8,-B3,,1)</v>
      </c>
    </row>
  </sheetData>
  <mergeCells count="2">
    <mergeCell ref="G8:O8"/>
    <mergeCell ref="B8:F8"/>
  </mergeCells>
  <phoneticPr fontId="3" type="noConversion"/>
  <pageMargins left="0.75" right="0.75" top="1" bottom="1" header="0.5" footer="0.5"/>
  <headerFooter alignWithMargin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1"/>
  <dimension ref="A1:F10"/>
  <sheetViews>
    <sheetView workbookViewId="0">
      <selection sqref="A1:C1"/>
    </sheetView>
  </sheetViews>
  <sheetFormatPr defaultRowHeight="13.2" x14ac:dyDescent="0.25"/>
  <cols>
    <col min="1" max="1" width="27" bestFit="1" customWidth="1"/>
    <col min="2" max="2" width="11" style="7" customWidth="1"/>
    <col min="3" max="3" width="38.88671875" style="19" customWidth="1"/>
    <col min="4" max="4" width="12.5546875" customWidth="1"/>
    <col min="5" max="5" width="11.44140625" customWidth="1"/>
    <col min="6" max="6" width="18.5546875" customWidth="1"/>
    <col min="8" max="8" width="11.77734375" bestFit="1" customWidth="1"/>
  </cols>
  <sheetData>
    <row r="1" spans="1:6" ht="17.399999999999999" customHeight="1" x14ac:dyDescent="0.3">
      <c r="A1" s="105" t="s">
        <v>112</v>
      </c>
      <c r="B1" s="105"/>
      <c r="C1" s="105"/>
      <c r="D1" s="57"/>
      <c r="E1" s="57"/>
      <c r="F1" s="57"/>
    </row>
    <row r="2" spans="1:6" s="58" customFormat="1" ht="13.8" x14ac:dyDescent="0.25">
      <c r="A2" s="58" t="s">
        <v>5</v>
      </c>
      <c r="B2" s="60">
        <v>7.0000000000000007E-2</v>
      </c>
      <c r="C2" s="59"/>
    </row>
    <row r="3" spans="1:6" s="58" customFormat="1" ht="13.8" x14ac:dyDescent="0.25">
      <c r="A3" s="58" t="s">
        <v>37</v>
      </c>
      <c r="B3" s="64">
        <v>30000</v>
      </c>
      <c r="C3" s="59"/>
    </row>
    <row r="4" spans="1:6" s="58" customFormat="1" ht="13.8" x14ac:dyDescent="0.25">
      <c r="A4" s="58" t="s">
        <v>86</v>
      </c>
      <c r="B4" s="69">
        <v>8</v>
      </c>
      <c r="C4" s="59"/>
    </row>
    <row r="5" spans="1:6" s="58" customFormat="1" ht="13.8" x14ac:dyDescent="0.25">
      <c r="A5" s="58" t="s">
        <v>85</v>
      </c>
      <c r="B5" s="68">
        <v>5</v>
      </c>
      <c r="C5" s="59"/>
    </row>
    <row r="6" spans="1:6" s="58" customFormat="1" ht="13.8" x14ac:dyDescent="0.25">
      <c r="A6" s="75" t="s">
        <v>87</v>
      </c>
      <c r="B6" s="76">
        <f>-PV(B2,B4,B3,,1)/(1+B2)^B5</f>
        <v>136664.25120290995</v>
      </c>
      <c r="C6" s="59" t="str">
        <f ca="1">"&lt;--"&amp;_xlfn.FORMULATEXT(B6)</f>
        <v>&lt;--=-PV(B2,B4,B3,,1)/(1+B2)^B5</v>
      </c>
    </row>
    <row r="7" spans="1:6" s="58" customFormat="1" ht="13.8" x14ac:dyDescent="0.25">
      <c r="A7" s="75" t="s">
        <v>13</v>
      </c>
      <c r="B7" s="76">
        <f>PMT(B2,B5,-B6,,1)</f>
        <v>31150.597318867385</v>
      </c>
      <c r="C7" s="59" t="str">
        <f ca="1">"&lt;--"&amp;_xlfn.FORMULATEXT(B7)</f>
        <v>&lt;--=PMT(B2,B5,-B6,,1)</v>
      </c>
    </row>
    <row r="8" spans="1:6" s="58" customFormat="1" ht="13.8" x14ac:dyDescent="0.25">
      <c r="C8" s="59"/>
    </row>
    <row r="9" spans="1:6" s="58" customFormat="1" ht="13.8" x14ac:dyDescent="0.25">
      <c r="A9" s="58" t="s">
        <v>111</v>
      </c>
      <c r="B9" s="64">
        <f>PMT(B2,B5,PV(B2,B4,B3)/(1+B2)^B5)</f>
        <v>31150.597318867378</v>
      </c>
      <c r="C9" s="59" t="str">
        <f ca="1">"&lt;--"&amp;_xlfn.FORMULATEXT(B9)</f>
        <v>&lt;--=PMT(B2,B5,PV(B2,B4,B3)/(1+B2)^B5)</v>
      </c>
    </row>
    <row r="10" spans="1:6" s="58" customFormat="1" ht="13.8" x14ac:dyDescent="0.25">
      <c r="B10" s="64"/>
      <c r="C10" s="59"/>
    </row>
  </sheetData>
  <mergeCells count="1">
    <mergeCell ref="A1:C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3"/>
  <dimension ref="A1:J35"/>
  <sheetViews>
    <sheetView topLeftCell="A6" workbookViewId="0">
      <selection activeCell="I17" sqref="I17"/>
    </sheetView>
  </sheetViews>
  <sheetFormatPr defaultRowHeight="13.2" x14ac:dyDescent="0.25"/>
  <cols>
    <col min="1" max="1" width="34.5546875" customWidth="1"/>
    <col min="2" max="2" width="16.44140625" customWidth="1"/>
    <col min="3" max="3" width="26" bestFit="1" customWidth="1"/>
    <col min="5" max="5" width="13.109375" customWidth="1"/>
  </cols>
  <sheetData>
    <row r="1" spans="1:5" ht="17.399999999999999" x14ac:dyDescent="0.3">
      <c r="A1" s="102" t="s">
        <v>36</v>
      </c>
      <c r="B1" s="102"/>
      <c r="C1" s="102"/>
      <c r="D1" s="34"/>
      <c r="E1" s="34"/>
    </row>
    <row r="2" spans="1:5" x14ac:dyDescent="0.25">
      <c r="A2" t="s">
        <v>19</v>
      </c>
      <c r="B2" s="19">
        <v>1000</v>
      </c>
    </row>
    <row r="3" spans="1:5" x14ac:dyDescent="0.25">
      <c r="A3" t="s">
        <v>14</v>
      </c>
      <c r="B3" s="2">
        <v>0.05</v>
      </c>
    </row>
    <row r="4" spans="1:5" x14ac:dyDescent="0.25">
      <c r="A4" t="s">
        <v>15</v>
      </c>
      <c r="B4">
        <v>2</v>
      </c>
    </row>
    <row r="5" spans="1:5" x14ac:dyDescent="0.25">
      <c r="A5" t="s">
        <v>16</v>
      </c>
      <c r="B5" s="20">
        <f>B3/B4</f>
        <v>2.5000000000000001E-2</v>
      </c>
      <c r="C5" t="str">
        <f ca="1">"&lt;--"&amp;_xlfn.FORMULATEXT(B5)</f>
        <v>&lt;--=B3/B4</v>
      </c>
    </row>
    <row r="6" spans="1:5" x14ac:dyDescent="0.25">
      <c r="A6" t="s">
        <v>17</v>
      </c>
      <c r="B6" s="41">
        <f>B2*(1+B5)^B4</f>
        <v>1050.625</v>
      </c>
      <c r="C6" t="str">
        <f ca="1">"&lt;--"&amp;_xlfn.FORMULATEXT(B6)</f>
        <v>&lt;--=B2*(1+B5)^B4</v>
      </c>
    </row>
    <row r="7" spans="1:5" x14ac:dyDescent="0.25">
      <c r="A7" t="s">
        <v>18</v>
      </c>
      <c r="B7" s="41">
        <f>B2*EXP(B3)</f>
        <v>1051.2710963760242</v>
      </c>
      <c r="C7" t="str">
        <f ca="1">"&lt;--"&amp;_xlfn.FORMULATEXT(B7)</f>
        <v>&lt;--=B2*EXP(B3)</v>
      </c>
    </row>
    <row r="23" spans="1:10" x14ac:dyDescent="0.25">
      <c r="C23" s="2"/>
    </row>
    <row r="24" spans="1:10" ht="26.4" x14ac:dyDescent="0.25">
      <c r="A24" s="36" t="s">
        <v>45</v>
      </c>
      <c r="B24" s="37" t="s">
        <v>46</v>
      </c>
      <c r="E24" s="26"/>
    </row>
    <row r="25" spans="1:10" x14ac:dyDescent="0.25">
      <c r="A25" s="1">
        <v>1</v>
      </c>
      <c r="B25" s="42">
        <f>$B$2*(1+$B$3/A25)^A25</f>
        <v>1050</v>
      </c>
      <c r="C25" t="str">
        <f ca="1">"&lt;--"&amp;_xlfn.FORMULATEXT(B25)</f>
        <v>&lt;--=$B$2*(1+$B$3/A25)^A25</v>
      </c>
      <c r="E25" s="26"/>
    </row>
    <row r="26" spans="1:10" x14ac:dyDescent="0.25">
      <c r="A26" s="1">
        <v>2</v>
      </c>
      <c r="B26" s="42">
        <f t="shared" ref="B26:B35" si="0">$B$2*(1+$B$3/A26)^A26</f>
        <v>1050.625</v>
      </c>
      <c r="C26" t="str">
        <f ca="1">"&lt;--"&amp;_xlfn.FORMULATEXT(B26)</f>
        <v>&lt;--=$B$2*(1+$B$3/A26)^A26</v>
      </c>
      <c r="E26" s="26"/>
    </row>
    <row r="27" spans="1:10" x14ac:dyDescent="0.25">
      <c r="A27" s="1">
        <v>4</v>
      </c>
      <c r="B27" s="42">
        <f t="shared" si="0"/>
        <v>1050.9453369140624</v>
      </c>
      <c r="E27" s="26"/>
    </row>
    <row r="28" spans="1:10" x14ac:dyDescent="0.25">
      <c r="A28" s="1">
        <v>12</v>
      </c>
      <c r="B28" s="42">
        <f t="shared" si="0"/>
        <v>1051.1618978817335</v>
      </c>
      <c r="E28" s="26"/>
      <c r="J28" s="24"/>
    </row>
    <row r="29" spans="1:10" x14ac:dyDescent="0.25">
      <c r="A29" s="1">
        <v>52</v>
      </c>
      <c r="B29" s="42">
        <f t="shared" si="0"/>
        <v>1051.2458419271975</v>
      </c>
    </row>
    <row r="30" spans="1:10" x14ac:dyDescent="0.25">
      <c r="A30" s="1">
        <v>100</v>
      </c>
      <c r="B30" s="42">
        <f t="shared" si="0"/>
        <v>1051.2579599480462</v>
      </c>
      <c r="E30" s="26"/>
    </row>
    <row r="31" spans="1:10" x14ac:dyDescent="0.25">
      <c r="A31" s="1">
        <v>150</v>
      </c>
      <c r="B31" s="42">
        <f t="shared" si="0"/>
        <v>1051.2623377663551</v>
      </c>
    </row>
    <row r="32" spans="1:10" x14ac:dyDescent="0.25">
      <c r="A32" s="1">
        <v>300</v>
      </c>
      <c r="B32" s="42">
        <f t="shared" si="0"/>
        <v>1051.2667165755583</v>
      </c>
    </row>
    <row r="33" spans="1:2" x14ac:dyDescent="0.25">
      <c r="A33" s="1">
        <v>365</v>
      </c>
      <c r="B33" s="42">
        <f t="shared" si="0"/>
        <v>1051.2674964674229</v>
      </c>
    </row>
    <row r="34" spans="1:2" x14ac:dyDescent="0.25">
      <c r="A34" s="1">
        <f>A33*2</f>
        <v>730</v>
      </c>
      <c r="B34" s="42">
        <f t="shared" si="0"/>
        <v>1051.2692963380434</v>
      </c>
    </row>
    <row r="35" spans="1:2" x14ac:dyDescent="0.25">
      <c r="A35" s="1">
        <f>24*A33</f>
        <v>8760</v>
      </c>
      <c r="B35" s="42">
        <f t="shared" si="0"/>
        <v>1051.2709463660917</v>
      </c>
    </row>
  </sheetData>
  <mergeCells count="1">
    <mergeCell ref="A1:C1"/>
  </mergeCells>
  <phoneticPr fontId="3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D11"/>
  <sheetViews>
    <sheetView workbookViewId="0">
      <selection sqref="A1:D1"/>
    </sheetView>
  </sheetViews>
  <sheetFormatPr defaultRowHeight="13.2" x14ac:dyDescent="0.25"/>
  <cols>
    <col min="2" max="2" width="10.5546875" customWidth="1"/>
    <col min="3" max="3" width="15.6640625" customWidth="1"/>
    <col min="4" max="4" width="21.33203125" bestFit="1" customWidth="1"/>
  </cols>
  <sheetData>
    <row r="1" spans="1:4" ht="17.399999999999999" x14ac:dyDescent="0.3">
      <c r="A1" s="102" t="s">
        <v>69</v>
      </c>
      <c r="B1" s="102"/>
      <c r="C1" s="102"/>
      <c r="D1" s="102"/>
    </row>
    <row r="2" spans="1:4" x14ac:dyDescent="0.25">
      <c r="A2" t="s">
        <v>5</v>
      </c>
      <c r="B2" s="2">
        <v>0.08</v>
      </c>
    </row>
    <row r="4" spans="1:4" s="18" customFormat="1" ht="26.4" x14ac:dyDescent="0.25">
      <c r="A4" s="18" t="s">
        <v>2</v>
      </c>
      <c r="B4" s="18" t="s">
        <v>20</v>
      </c>
      <c r="C4" s="27" t="s">
        <v>47</v>
      </c>
    </row>
    <row r="5" spans="1:4" x14ac:dyDescent="0.25">
      <c r="A5" s="1">
        <v>1</v>
      </c>
      <c r="B5">
        <v>100</v>
      </c>
      <c r="C5" s="7">
        <f>B5*EXP(-$B$2*A5)</f>
        <v>92.311634638663577</v>
      </c>
      <c r="D5" t="str">
        <f ca="1">getformula(C5)</f>
        <v>&lt;--  =B5*EXP(-$B$2*A5)</v>
      </c>
    </row>
    <row r="6" spans="1:4" x14ac:dyDescent="0.25">
      <c r="A6" s="1">
        <v>2</v>
      </c>
      <c r="B6">
        <v>200</v>
      </c>
      <c r="C6" s="7">
        <f>B6*EXP(-$B$2*A6)</f>
        <v>170.42875779324226</v>
      </c>
      <c r="D6" t="str">
        <f ca="1">getformula(C6)</f>
        <v>&lt;--  =B6*EXP(-$B$2*A6)</v>
      </c>
    </row>
    <row r="7" spans="1:4" x14ac:dyDescent="0.25">
      <c r="A7" s="1">
        <v>3</v>
      </c>
      <c r="B7">
        <v>300</v>
      </c>
      <c r="C7" s="7">
        <f>B7*EXP(-$B$2*A7)</f>
        <v>235.98835831996604</v>
      </c>
    </row>
    <row r="8" spans="1:4" x14ac:dyDescent="0.25">
      <c r="A8" s="1">
        <v>4</v>
      </c>
      <c r="B8">
        <v>400</v>
      </c>
      <c r="C8" s="7">
        <f>B8*EXP(-$B$2*A8)</f>
        <v>290.45961482947638</v>
      </c>
    </row>
    <row r="9" spans="1:4" x14ac:dyDescent="0.25">
      <c r="A9" s="1">
        <v>5</v>
      </c>
      <c r="B9">
        <v>500</v>
      </c>
      <c r="C9" s="7">
        <f>B9*EXP(-$B$2*A9)</f>
        <v>335.16002301781964</v>
      </c>
    </row>
    <row r="10" spans="1:4" x14ac:dyDescent="0.25">
      <c r="C10" s="7"/>
    </row>
    <row r="11" spans="1:4" x14ac:dyDescent="0.25">
      <c r="A11" s="72" t="s">
        <v>1</v>
      </c>
      <c r="B11" s="72"/>
      <c r="C11" s="74">
        <f>SUM(C5:C9)</f>
        <v>1124.3483885991679</v>
      </c>
      <c r="D11" t="str">
        <f ca="1">getformula(C11)</f>
        <v>&lt;--  =SUM(C5:C9)</v>
      </c>
    </row>
  </sheetData>
  <mergeCells count="1">
    <mergeCell ref="A1:D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:C18"/>
  <sheetViews>
    <sheetView workbookViewId="0">
      <selection activeCell="H18" sqref="H18"/>
    </sheetView>
  </sheetViews>
  <sheetFormatPr defaultRowHeight="13.2" x14ac:dyDescent="0.25"/>
  <cols>
    <col min="1" max="1" width="30.21875" customWidth="1"/>
    <col min="3" max="3" width="24.109375" customWidth="1"/>
  </cols>
  <sheetData>
    <row r="1" spans="1:3" ht="17.399999999999999" x14ac:dyDescent="0.3">
      <c r="A1" s="102" t="s">
        <v>48</v>
      </c>
      <c r="B1" s="102"/>
      <c r="C1" s="102"/>
    </row>
    <row r="2" spans="1:3" x14ac:dyDescent="0.25">
      <c r="A2" t="s">
        <v>19</v>
      </c>
      <c r="B2" s="19">
        <v>1000</v>
      </c>
    </row>
    <row r="3" spans="1:3" x14ac:dyDescent="0.25">
      <c r="A3" t="s">
        <v>23</v>
      </c>
      <c r="B3" s="19">
        <v>1200</v>
      </c>
    </row>
    <row r="4" spans="1:3" x14ac:dyDescent="0.25">
      <c r="A4" t="s">
        <v>21</v>
      </c>
      <c r="B4">
        <v>2</v>
      </c>
    </row>
    <row r="5" spans="1:3" x14ac:dyDescent="0.25">
      <c r="A5" t="s">
        <v>22</v>
      </c>
      <c r="B5" s="15">
        <f>((B3/B2)^(1/B4)-1)*B4</f>
        <v>0.1908902300206643</v>
      </c>
      <c r="C5" t="str">
        <f ca="1">"&lt;--"&amp;_xlfn.FORMULATEXT(B5)</f>
        <v>&lt;--=((B3/B2)^(1/B4)-1)*B4</v>
      </c>
    </row>
    <row r="7" spans="1:3" x14ac:dyDescent="0.25">
      <c r="A7" t="s">
        <v>24</v>
      </c>
      <c r="B7" s="15">
        <f>LN(B3/B2)</f>
        <v>0.18232155679395459</v>
      </c>
      <c r="C7" t="str">
        <f ca="1">"&lt;--"&amp;_xlfn.FORMULATEXT(B7)</f>
        <v>&lt;--=LN(B3/B2)</v>
      </c>
    </row>
    <row r="9" spans="1:3" ht="15.6" x14ac:dyDescent="0.3">
      <c r="A9" s="129" t="s">
        <v>49</v>
      </c>
      <c r="B9" s="129"/>
      <c r="C9" s="129"/>
    </row>
    <row r="10" spans="1:3" x14ac:dyDescent="0.25">
      <c r="A10" s="6" t="s">
        <v>21</v>
      </c>
      <c r="B10" s="6" t="s">
        <v>50</v>
      </c>
    </row>
    <row r="11" spans="1:3" x14ac:dyDescent="0.25">
      <c r="B11" s="17">
        <f>B5</f>
        <v>0.1908902300206643</v>
      </c>
      <c r="C11" t="str">
        <f ca="1">"&lt;--"&amp;_xlfn.FORMULATEXT(B11)</f>
        <v>&lt;--=B5</v>
      </c>
    </row>
    <row r="12" spans="1:3" x14ac:dyDescent="0.25">
      <c r="A12" s="1">
        <v>1</v>
      </c>
      <c r="B12" s="15">
        <f t="dataTable" ref="B12:B18" dt2D="0" dtr="0" r1="B4"/>
        <v>0.19999999999999996</v>
      </c>
    </row>
    <row r="13" spans="1:3" x14ac:dyDescent="0.25">
      <c r="A13" s="1">
        <v>2</v>
      </c>
      <c r="B13" s="15">
        <v>0.1908902300206643</v>
      </c>
    </row>
    <row r="14" spans="1:3" x14ac:dyDescent="0.25">
      <c r="A14" s="1">
        <v>4</v>
      </c>
      <c r="B14" s="15">
        <v>0.18654055756842247</v>
      </c>
    </row>
    <row r="15" spans="1:3" x14ac:dyDescent="0.25">
      <c r="A15" s="1">
        <v>12</v>
      </c>
      <c r="B15" s="15">
        <v>0.18371364599677431</v>
      </c>
    </row>
    <row r="16" spans="1:3" x14ac:dyDescent="0.25">
      <c r="A16" s="1">
        <v>24</v>
      </c>
      <c r="B16" s="15">
        <v>0.18301583772886687</v>
      </c>
    </row>
    <row r="17" spans="1:2" x14ac:dyDescent="0.25">
      <c r="A17" s="1">
        <v>365</v>
      </c>
      <c r="B17" s="15">
        <v>0.18236710019882918</v>
      </c>
    </row>
    <row r="18" spans="1:2" x14ac:dyDescent="0.25">
      <c r="A18" s="1">
        <v>1000</v>
      </c>
      <c r="B18" s="15">
        <v>0.18233817837920441</v>
      </c>
    </row>
  </sheetData>
  <mergeCells count="2">
    <mergeCell ref="A1:C1"/>
    <mergeCell ref="A9:C9"/>
  </mergeCells>
  <phoneticPr fontId="3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:C9"/>
  <sheetViews>
    <sheetView workbookViewId="0">
      <selection activeCell="B9" sqref="B9"/>
    </sheetView>
  </sheetViews>
  <sheetFormatPr defaultRowHeight="13.2" x14ac:dyDescent="0.25"/>
  <cols>
    <col min="1" max="1" width="11.33203125" customWidth="1"/>
    <col min="2" max="2" width="10.88671875" customWidth="1"/>
    <col min="3" max="3" width="36" customWidth="1"/>
  </cols>
  <sheetData>
    <row r="1" spans="1:3" ht="39" customHeight="1" x14ac:dyDescent="0.25">
      <c r="A1" s="103" t="s">
        <v>70</v>
      </c>
      <c r="B1" s="106"/>
      <c r="C1" s="106"/>
    </row>
    <row r="2" spans="1:3" x14ac:dyDescent="0.25">
      <c r="A2" s="18" t="s">
        <v>71</v>
      </c>
      <c r="B2" s="18" t="s">
        <v>20</v>
      </c>
    </row>
    <row r="3" spans="1:3" x14ac:dyDescent="0.25">
      <c r="A3" s="43">
        <v>43466</v>
      </c>
      <c r="B3" s="19">
        <v>-1000</v>
      </c>
    </row>
    <row r="4" spans="1:3" x14ac:dyDescent="0.25">
      <c r="A4" s="43">
        <v>43527</v>
      </c>
      <c r="B4">
        <v>150</v>
      </c>
    </row>
    <row r="5" spans="1:3" x14ac:dyDescent="0.25">
      <c r="A5" s="43">
        <v>44016</v>
      </c>
      <c r="B5">
        <v>100</v>
      </c>
    </row>
    <row r="6" spans="1:3" x14ac:dyDescent="0.25">
      <c r="A6" s="43">
        <v>44116</v>
      </c>
      <c r="B6">
        <v>50</v>
      </c>
    </row>
    <row r="7" spans="1:3" x14ac:dyDescent="0.25">
      <c r="A7" s="43">
        <v>44190</v>
      </c>
      <c r="B7" s="19">
        <v>1000</v>
      </c>
    </row>
    <row r="9" spans="1:3" x14ac:dyDescent="0.25">
      <c r="A9" s="72" t="s">
        <v>3</v>
      </c>
      <c r="B9" s="87">
        <f>XIRR(B3:B7,A3:A7)</f>
        <v>0.16667522788047792</v>
      </c>
      <c r="C9" t="str">
        <f ca="1">getformula(B9)</f>
        <v>&lt;--  =XIRR(B3:B7,A3:A7)</v>
      </c>
    </row>
  </sheetData>
  <mergeCells count="1">
    <mergeCell ref="A1:C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:C13"/>
  <sheetViews>
    <sheetView workbookViewId="0">
      <selection activeCell="A4" sqref="A4:B9"/>
    </sheetView>
  </sheetViews>
  <sheetFormatPr defaultRowHeight="13.2" x14ac:dyDescent="0.25"/>
  <cols>
    <col min="1" max="1" width="18.33203125" bestFit="1" customWidth="1"/>
    <col min="2" max="2" width="10.88671875" customWidth="1"/>
    <col min="3" max="3" width="28.88671875" customWidth="1"/>
  </cols>
  <sheetData>
    <row r="1" spans="1:3" ht="40.5" customHeight="1" x14ac:dyDescent="0.25">
      <c r="A1" s="103" t="s">
        <v>72</v>
      </c>
      <c r="B1" s="106"/>
      <c r="C1" s="106"/>
    </row>
    <row r="2" spans="1:3" s="29" customFormat="1" ht="12.75" customHeight="1" x14ac:dyDescent="0.25">
      <c r="A2" s="44" t="s">
        <v>73</v>
      </c>
      <c r="B2" s="45">
        <v>0.08</v>
      </c>
      <c r="C2" s="44"/>
    </row>
    <row r="3" spans="1:3" s="29" customFormat="1" ht="12.75" customHeight="1" x14ac:dyDescent="0.25">
      <c r="A3" s="44"/>
      <c r="B3" s="44"/>
      <c r="C3" s="44"/>
    </row>
    <row r="4" spans="1:3" x14ac:dyDescent="0.25">
      <c r="A4" s="18" t="s">
        <v>71</v>
      </c>
      <c r="B4" s="18" t="s">
        <v>20</v>
      </c>
    </row>
    <row r="5" spans="1:3" x14ac:dyDescent="0.25">
      <c r="A5" s="43">
        <v>43466</v>
      </c>
      <c r="B5" s="19">
        <v>-1000</v>
      </c>
    </row>
    <row r="6" spans="1:3" ht="12.75" customHeight="1" x14ac:dyDescent="0.25">
      <c r="A6" s="43">
        <v>43893</v>
      </c>
      <c r="B6">
        <v>100</v>
      </c>
    </row>
    <row r="7" spans="1:3" x14ac:dyDescent="0.25">
      <c r="A7" s="43">
        <v>44016</v>
      </c>
      <c r="B7">
        <v>195</v>
      </c>
    </row>
    <row r="8" spans="1:3" x14ac:dyDescent="0.25">
      <c r="A8" s="43">
        <v>44481</v>
      </c>
      <c r="B8">
        <v>350</v>
      </c>
    </row>
    <row r="9" spans="1:3" x14ac:dyDescent="0.25">
      <c r="A9" s="43">
        <v>44920</v>
      </c>
      <c r="B9" s="19">
        <v>800</v>
      </c>
    </row>
    <row r="11" spans="1:3" x14ac:dyDescent="0.25">
      <c r="A11" s="72" t="s">
        <v>30</v>
      </c>
      <c r="B11" s="94">
        <f>XNPV(B2,B5:B9,A5:A9)</f>
        <v>136.37410760377435</v>
      </c>
      <c r="C11" t="str">
        <f ca="1">getformula(B11)</f>
        <v>&lt;--  =XNPV(B2,B5:B9,A5:A9)</v>
      </c>
    </row>
    <row r="13" spans="1:3" ht="44.1" customHeight="1" x14ac:dyDescent="0.25">
      <c r="A13" s="130" t="s">
        <v>81</v>
      </c>
      <c r="B13" s="131"/>
      <c r="C13" s="131"/>
    </row>
  </sheetData>
  <mergeCells count="2">
    <mergeCell ref="A1:C1"/>
    <mergeCell ref="A13:C13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"/>
  <dimension ref="A1:D26"/>
  <sheetViews>
    <sheetView workbookViewId="0">
      <selection activeCell="C4" sqref="C4"/>
    </sheetView>
  </sheetViews>
  <sheetFormatPr defaultColWidth="8.88671875" defaultRowHeight="13.2" x14ac:dyDescent="0.25"/>
  <cols>
    <col min="1" max="1" width="15.44140625" style="50" bestFit="1" customWidth="1"/>
    <col min="2" max="2" width="9.21875" style="50" bestFit="1" customWidth="1"/>
    <col min="3" max="3" width="48.33203125" style="50" bestFit="1" customWidth="1"/>
    <col min="4" max="16384" width="8.88671875" style="50"/>
  </cols>
  <sheetData>
    <row r="1" spans="1:4" s="49" customFormat="1" ht="39.75" customHeight="1" x14ac:dyDescent="0.3">
      <c r="A1" s="132" t="s">
        <v>82</v>
      </c>
      <c r="B1" s="132"/>
      <c r="C1" s="132"/>
    </row>
    <row r="2" spans="1:4" x14ac:dyDescent="0.25">
      <c r="A2" s="50" t="s">
        <v>0</v>
      </c>
      <c r="B2" s="51">
        <v>-0.03</v>
      </c>
    </row>
    <row r="3" spans="1:4" x14ac:dyDescent="0.25">
      <c r="A3" s="50" t="s">
        <v>30</v>
      </c>
      <c r="B3" s="51"/>
    </row>
    <row r="4" spans="1:4" x14ac:dyDescent="0.25">
      <c r="A4" s="95" t="s">
        <v>114</v>
      </c>
      <c r="B4" s="96" t="e">
        <f>XNPV(B2,B8:B12,A8:A12)</f>
        <v>#NUM!</v>
      </c>
      <c r="C4" s="50" t="str">
        <f ca="1">getformula(B4)</f>
        <v>&lt;--  =XNPV(B2,B8:B12,A8:A12)</v>
      </c>
    </row>
    <row r="5" spans="1:4" x14ac:dyDescent="0.25">
      <c r="A5" s="95" t="s">
        <v>115</v>
      </c>
      <c r="B5" s="97">
        <f>nXNPV(B2,B8:B12,A8:A12)</f>
        <v>591.92689651598107</v>
      </c>
      <c r="C5" s="50" t="str">
        <f ca="1">getformula(B5)</f>
        <v>&lt;--  =nXNPV(B2,B8:B12,A8:A12)</v>
      </c>
    </row>
    <row r="7" spans="1:4" x14ac:dyDescent="0.25">
      <c r="A7" s="18" t="s">
        <v>71</v>
      </c>
      <c r="B7" s="18" t="s">
        <v>20</v>
      </c>
      <c r="D7" s="53"/>
    </row>
    <row r="8" spans="1:4" x14ac:dyDescent="0.25">
      <c r="A8" s="43">
        <v>43466</v>
      </c>
      <c r="B8" s="19">
        <v>-1000</v>
      </c>
    </row>
    <row r="9" spans="1:4" x14ac:dyDescent="0.25">
      <c r="A9" s="43">
        <v>43893</v>
      </c>
      <c r="B9">
        <v>100</v>
      </c>
    </row>
    <row r="10" spans="1:4" x14ac:dyDescent="0.25">
      <c r="A10" s="43">
        <v>44016</v>
      </c>
      <c r="B10">
        <v>195</v>
      </c>
      <c r="D10" s="55"/>
    </row>
    <row r="11" spans="1:4" x14ac:dyDescent="0.25">
      <c r="A11" s="43">
        <v>44481</v>
      </c>
      <c r="B11">
        <v>350</v>
      </c>
      <c r="D11" s="55"/>
    </row>
    <row r="12" spans="1:4" x14ac:dyDescent="0.25">
      <c r="A12" s="43">
        <v>44920</v>
      </c>
      <c r="B12" s="19">
        <v>800</v>
      </c>
      <c r="D12" s="55"/>
    </row>
    <row r="13" spans="1:4" x14ac:dyDescent="0.25">
      <c r="A13" s="54"/>
      <c r="D13" s="55"/>
    </row>
    <row r="14" spans="1:4" x14ac:dyDescent="0.25">
      <c r="A14" s="54"/>
      <c r="B14" s="56"/>
      <c r="D14" s="55"/>
    </row>
    <row r="15" spans="1:4" x14ac:dyDescent="0.25">
      <c r="D15" s="55"/>
    </row>
    <row r="16" spans="1:4" x14ac:dyDescent="0.25">
      <c r="D16" s="55"/>
    </row>
    <row r="17" spans="4:4" x14ac:dyDescent="0.25">
      <c r="D17" s="55"/>
    </row>
    <row r="18" spans="4:4" x14ac:dyDescent="0.25">
      <c r="D18" s="55"/>
    </row>
    <row r="19" spans="4:4" x14ac:dyDescent="0.25">
      <c r="D19" s="55"/>
    </row>
    <row r="20" spans="4:4" x14ac:dyDescent="0.25">
      <c r="D20" s="55"/>
    </row>
    <row r="21" spans="4:4" x14ac:dyDescent="0.25">
      <c r="D21" s="55"/>
    </row>
    <row r="22" spans="4:4" x14ac:dyDescent="0.25">
      <c r="D22" s="55"/>
    </row>
    <row r="23" spans="4:4" x14ac:dyDescent="0.25">
      <c r="D23" s="55"/>
    </row>
    <row r="24" spans="4:4" x14ac:dyDescent="0.25">
      <c r="D24" s="55"/>
    </row>
    <row r="25" spans="4:4" x14ac:dyDescent="0.25">
      <c r="D25" s="55"/>
    </row>
    <row r="26" spans="4:4" x14ac:dyDescent="0.25">
      <c r="D26" s="55"/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4"/>
  <dimension ref="A1:G24"/>
  <sheetViews>
    <sheetView topLeftCell="A4" workbookViewId="0">
      <selection sqref="A1:G32"/>
    </sheetView>
  </sheetViews>
  <sheetFormatPr defaultColWidth="8.88671875" defaultRowHeight="13.2" x14ac:dyDescent="0.25"/>
  <cols>
    <col min="1" max="1" width="15.44140625" style="50" bestFit="1" customWidth="1"/>
    <col min="2" max="2" width="8.88671875" style="50"/>
    <col min="3" max="3" width="29.21875" style="50" bestFit="1" customWidth="1"/>
    <col min="4" max="4" width="4" style="50" customWidth="1"/>
    <col min="5" max="5" width="8.88671875" style="50"/>
    <col min="6" max="6" width="6.77734375" style="50" bestFit="1" customWidth="1"/>
    <col min="7" max="7" width="24" style="50" customWidth="1"/>
    <col min="8" max="16384" width="8.88671875" style="50"/>
  </cols>
  <sheetData>
    <row r="1" spans="1:7" s="49" customFormat="1" ht="17.399999999999999" x14ac:dyDescent="0.3">
      <c r="A1" s="133" t="s">
        <v>119</v>
      </c>
      <c r="B1" s="133"/>
      <c r="C1" s="133"/>
      <c r="D1" s="133"/>
      <c r="E1" s="133"/>
      <c r="F1" s="133"/>
      <c r="G1" s="133"/>
    </row>
    <row r="2" spans="1:7" x14ac:dyDescent="0.25">
      <c r="A2" s="50" t="s">
        <v>0</v>
      </c>
      <c r="B2" s="51">
        <v>0.22</v>
      </c>
    </row>
    <row r="3" spans="1:7" x14ac:dyDescent="0.25">
      <c r="A3" s="50" t="s">
        <v>30</v>
      </c>
      <c r="B3" s="50">
        <f>XNPV(B2,B11:B17,A11:A17)</f>
        <v>54.229266234203578</v>
      </c>
      <c r="C3" s="50" t="str">
        <f ca="1">"&lt;--"&amp;_xlfn.FORMULATEXT(B3)</f>
        <v>&lt;--=XNPV(B2,B11:B17,A11:A17)</v>
      </c>
    </row>
    <row r="4" spans="1:7" x14ac:dyDescent="0.25">
      <c r="E4" s="53" t="s">
        <v>83</v>
      </c>
    </row>
    <row r="5" spans="1:7" x14ac:dyDescent="0.25">
      <c r="A5" s="98" t="s">
        <v>3</v>
      </c>
    </row>
    <row r="6" spans="1:7" x14ac:dyDescent="0.25">
      <c r="A6" s="50" t="s">
        <v>116</v>
      </c>
      <c r="B6" s="95" t="e">
        <f>XIRR(B11:B17,A11:A17)</f>
        <v>#NUM!</v>
      </c>
      <c r="C6" s="50" t="str">
        <f ca="1">"&lt;--"&amp;_xlfn.FORMULATEXT(B6)</f>
        <v>&lt;--=XIRR(B11:B17,A11:A17)</v>
      </c>
      <c r="E6" s="99" t="s">
        <v>50</v>
      </c>
      <c r="F6" s="71">
        <f>B3</f>
        <v>54.229266234203578</v>
      </c>
      <c r="G6" s="50" t="str">
        <f ca="1">"&lt;--"&amp;_xlfn.FORMULATEXT(F6)&amp;", data table header"</f>
        <v>&lt;--=B3, data table header</v>
      </c>
    </row>
    <row r="7" spans="1:7" x14ac:dyDescent="0.25">
      <c r="A7" s="50" t="s">
        <v>117</v>
      </c>
      <c r="B7" s="95" t="e">
        <f>XIRR(B11:B17,A11:A17,35%)</f>
        <v>#NUM!</v>
      </c>
      <c r="C7" s="50" t="str">
        <f ca="1">"&lt;--"&amp;_xlfn.FORMULATEXT(B7)</f>
        <v>&lt;--=XIRR(B11:B17,A11:A17,35%)</v>
      </c>
      <c r="E7" s="70">
        <v>1E-3</v>
      </c>
      <c r="F7" s="71">
        <f t="dataTable" ref="F7:F24" dt2D="0" dtr="0" r1="B2"/>
        <v>-47.941738242132487</v>
      </c>
    </row>
    <row r="8" spans="1:7" x14ac:dyDescent="0.25">
      <c r="A8" s="50" t="s">
        <v>118</v>
      </c>
      <c r="B8" s="95" t="e">
        <f>XIRR(B11:B17,A11:A17,5%)</f>
        <v>#NUM!</v>
      </c>
      <c r="C8" s="50" t="str">
        <f ca="1">"&lt;--"&amp;_xlfn.FORMULATEXT(B8)</f>
        <v>&lt;--=XIRR(B11:B17,A11:A17,5%)</v>
      </c>
      <c r="E8" s="70">
        <v>2.908364519770941E-2</v>
      </c>
      <c r="F8" s="71">
        <v>2.5794086013775086E-6</v>
      </c>
    </row>
    <row r="9" spans="1:7" x14ac:dyDescent="0.25">
      <c r="E9" s="70">
        <v>4.9000000000000002E-2</v>
      </c>
      <c r="F9" s="71">
        <v>24.133802428393437</v>
      </c>
    </row>
    <row r="10" spans="1:7" x14ac:dyDescent="0.25">
      <c r="A10" s="52" t="s">
        <v>71</v>
      </c>
      <c r="B10" s="52" t="s">
        <v>20</v>
      </c>
      <c r="E10" s="70">
        <v>7.2999999999999995E-2</v>
      </c>
      <c r="F10" s="71">
        <v>44.620320463511234</v>
      </c>
    </row>
    <row r="11" spans="1:7" x14ac:dyDescent="0.25">
      <c r="A11" s="54">
        <v>43646</v>
      </c>
      <c r="B11" s="50">
        <v>-500</v>
      </c>
      <c r="E11" s="70">
        <v>9.7000000000000003E-2</v>
      </c>
      <c r="F11" s="71">
        <v>57.577829314553355</v>
      </c>
    </row>
    <row r="12" spans="1:7" x14ac:dyDescent="0.25">
      <c r="A12" s="54">
        <v>43875</v>
      </c>
      <c r="B12" s="50">
        <v>100</v>
      </c>
      <c r="E12" s="70">
        <v>0.121</v>
      </c>
      <c r="F12" s="71">
        <v>64.597064052832138</v>
      </c>
    </row>
    <row r="13" spans="1:7" x14ac:dyDescent="0.25">
      <c r="A13" s="54">
        <v>44210</v>
      </c>
      <c r="B13" s="50">
        <v>300</v>
      </c>
      <c r="E13" s="70">
        <v>0.14499999999999999</v>
      </c>
      <c r="F13" s="71">
        <v>66.946847718861363</v>
      </c>
    </row>
    <row r="14" spans="1:7" x14ac:dyDescent="0.25">
      <c r="A14" s="54">
        <v>44665</v>
      </c>
      <c r="B14" s="50">
        <v>400</v>
      </c>
      <c r="E14" s="70">
        <v>0.16900000000000001</v>
      </c>
      <c r="F14" s="71">
        <v>65.641209886420938</v>
      </c>
    </row>
    <row r="15" spans="1:7" x14ac:dyDescent="0.25">
      <c r="A15" s="54">
        <v>45091</v>
      </c>
      <c r="B15" s="50">
        <v>600</v>
      </c>
      <c r="E15" s="70">
        <v>0.193</v>
      </c>
      <c r="F15" s="71">
        <v>61.4918204913929</v>
      </c>
    </row>
    <row r="16" spans="1:7" x14ac:dyDescent="0.25">
      <c r="A16" s="54">
        <v>45365</v>
      </c>
      <c r="B16" s="50">
        <v>800</v>
      </c>
      <c r="E16" s="70">
        <v>0.217</v>
      </c>
      <c r="F16" s="71">
        <v>55.149124357957248</v>
      </c>
    </row>
    <row r="17" spans="1:6" x14ac:dyDescent="0.25">
      <c r="A17" s="54">
        <v>45702</v>
      </c>
      <c r="B17" s="56">
        <v>-1750</v>
      </c>
      <c r="E17" s="70">
        <v>0.24099999999999999</v>
      </c>
      <c r="F17" s="71">
        <v>47.1347398757772</v>
      </c>
    </row>
    <row r="18" spans="1:6" x14ac:dyDescent="0.25">
      <c r="E18" s="70">
        <v>0.26500000000000001</v>
      </c>
      <c r="F18" s="71">
        <v>37.867073028446498</v>
      </c>
    </row>
    <row r="19" spans="1:6" x14ac:dyDescent="0.25">
      <c r="B19" s="33"/>
      <c r="E19" s="70">
        <v>0.28899999999999998</v>
      </c>
      <c r="F19" s="71">
        <v>27.681639367950652</v>
      </c>
    </row>
    <row r="20" spans="1:6" x14ac:dyDescent="0.25">
      <c r="E20" s="70">
        <v>0.313</v>
      </c>
      <c r="F20" s="71">
        <v>16.847241163392198</v>
      </c>
    </row>
    <row r="21" spans="1:6" x14ac:dyDescent="0.25">
      <c r="E21" s="70">
        <v>0.33700000000000002</v>
      </c>
      <c r="F21" s="71">
        <v>5.5788855223815403</v>
      </c>
    </row>
    <row r="22" spans="1:6" x14ac:dyDescent="0.25">
      <c r="E22" s="70">
        <v>0.34866095022106647</v>
      </c>
      <c r="F22" s="71">
        <v>5.1736861905737896E-7</v>
      </c>
    </row>
    <row r="23" spans="1:6" x14ac:dyDescent="0.25">
      <c r="E23" s="70">
        <v>0.38500000000000001</v>
      </c>
      <c r="F23" s="71">
        <v>-17.608606485765335</v>
      </c>
    </row>
    <row r="24" spans="1:6" x14ac:dyDescent="0.25">
      <c r="E24" s="70">
        <v>0.40899999999999997</v>
      </c>
      <c r="F24" s="71">
        <v>-29.283357872380805</v>
      </c>
    </row>
  </sheetData>
  <mergeCells count="1">
    <mergeCell ref="A1:G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C18"/>
  <sheetViews>
    <sheetView tabSelected="1" workbookViewId="0">
      <selection activeCell="C13" sqref="C13"/>
    </sheetView>
  </sheetViews>
  <sheetFormatPr defaultColWidth="8.88671875" defaultRowHeight="13.2" x14ac:dyDescent="0.25"/>
  <cols>
    <col min="1" max="1" width="11.44140625" style="50" bestFit="1" customWidth="1"/>
    <col min="2" max="2" width="9.109375" style="50" bestFit="1" customWidth="1"/>
    <col min="3" max="3" width="42.109375" style="50" bestFit="1" customWidth="1"/>
    <col min="4" max="16384" width="8.88671875" style="50"/>
  </cols>
  <sheetData>
    <row r="1" spans="1:3" s="49" customFormat="1" ht="23.4" customHeight="1" x14ac:dyDescent="0.3">
      <c r="A1" s="132" t="s">
        <v>84</v>
      </c>
      <c r="B1" s="134"/>
      <c r="C1" s="134"/>
    </row>
    <row r="2" spans="1:3" x14ac:dyDescent="0.25">
      <c r="A2" s="50" t="s">
        <v>0</v>
      </c>
      <c r="B2" s="51">
        <v>-0.03</v>
      </c>
    </row>
    <row r="3" spans="1:3" x14ac:dyDescent="0.25">
      <c r="B3" s="51"/>
    </row>
    <row r="4" spans="1:3" x14ac:dyDescent="0.25">
      <c r="A4" s="98" t="s">
        <v>3</v>
      </c>
      <c r="B4" s="51"/>
    </row>
    <row r="5" spans="1:3" x14ac:dyDescent="0.25">
      <c r="A5" s="50" t="s">
        <v>116</v>
      </c>
      <c r="B5" s="87">
        <f>nXIRR(B10:B16,A10:A16)</f>
        <v>2.9083709716796854E-2</v>
      </c>
      <c r="C5" s="50" t="str">
        <f ca="1">"&lt;--"&amp;_xlfn.FORMULATEXT(B5)</f>
        <v>&lt;--=nXIRR(B10:B16,A10:A16)</v>
      </c>
    </row>
    <row r="6" spans="1:3" x14ac:dyDescent="0.25">
      <c r="A6" s="50" t="s">
        <v>117</v>
      </c>
      <c r="B6" s="87">
        <f>nXIRR(B10:B16,A10:A16,35%)</f>
        <v>0.34866088867187511</v>
      </c>
      <c r="C6" s="50" t="str">
        <f ca="1">"&lt;--"&amp;_xlfn.FORMULATEXT(B6)</f>
        <v>&lt;--=nXIRR(B10:B16,A10:A16,35%)</v>
      </c>
    </row>
    <row r="7" spans="1:3" x14ac:dyDescent="0.25">
      <c r="A7" s="50" t="s">
        <v>118</v>
      </c>
      <c r="B7" s="87">
        <f>nXIRR(B10:B16,A10:A16,5%)</f>
        <v>2.9083709716796895E-2</v>
      </c>
      <c r="C7" s="50" t="str">
        <f ca="1">"&lt;--"&amp;_xlfn.FORMULATEXT(B7)</f>
        <v>&lt;--=nXIRR(B10:B16,A10:A16,5%)</v>
      </c>
    </row>
    <row r="9" spans="1:3" x14ac:dyDescent="0.25">
      <c r="A9" s="52" t="s">
        <v>71</v>
      </c>
      <c r="B9" s="52" t="s">
        <v>20</v>
      </c>
    </row>
    <row r="10" spans="1:3" x14ac:dyDescent="0.25">
      <c r="A10" s="54">
        <v>43646</v>
      </c>
      <c r="B10" s="50">
        <v>-500</v>
      </c>
    </row>
    <row r="11" spans="1:3" x14ac:dyDescent="0.25">
      <c r="A11" s="54">
        <v>43875</v>
      </c>
      <c r="B11" s="50">
        <v>100</v>
      </c>
    </row>
    <row r="12" spans="1:3" x14ac:dyDescent="0.25">
      <c r="A12" s="54">
        <v>44210</v>
      </c>
      <c r="B12" s="50">
        <v>300</v>
      </c>
    </row>
    <row r="13" spans="1:3" x14ac:dyDescent="0.25">
      <c r="A13" s="54">
        <v>44665</v>
      </c>
      <c r="B13" s="50">
        <v>400</v>
      </c>
    </row>
    <row r="14" spans="1:3" x14ac:dyDescent="0.25">
      <c r="A14" s="54">
        <v>45091</v>
      </c>
      <c r="B14" s="50">
        <v>600</v>
      </c>
    </row>
    <row r="15" spans="1:3" x14ac:dyDescent="0.25">
      <c r="A15" s="54">
        <v>45365</v>
      </c>
      <c r="B15" s="50">
        <v>800</v>
      </c>
    </row>
    <row r="16" spans="1:3" x14ac:dyDescent="0.25">
      <c r="A16" s="54">
        <v>45702</v>
      </c>
      <c r="B16" s="56">
        <v>-1750</v>
      </c>
    </row>
    <row r="18" spans="2:2" x14ac:dyDescent="0.25">
      <c r="B18" s="33"/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PV</vt:lpstr>
      <vt:lpstr>PV vs. NPV</vt:lpstr>
      <vt:lpstr>NPV</vt:lpstr>
      <vt:lpstr>Annuities</vt:lpstr>
      <vt:lpstr>Perpetuity</vt:lpstr>
      <vt:lpstr>Growing annuity</vt:lpstr>
      <vt:lpstr>Growing perpetuity</vt:lpstr>
      <vt:lpstr>IRR</vt:lpstr>
      <vt:lpstr>IRR (before)</vt:lpstr>
      <vt:lpstr>IRR (after)</vt:lpstr>
      <vt:lpstr>IRR and investment table</vt:lpstr>
      <vt:lpstr>IRR and investment table (2)</vt:lpstr>
      <vt:lpstr>IRR and investment table (3)</vt:lpstr>
      <vt:lpstr>Rate</vt:lpstr>
      <vt:lpstr>Two IRRs</vt:lpstr>
      <vt:lpstr>Bond IRR</vt:lpstr>
      <vt:lpstr>Flat payment schedule</vt:lpstr>
      <vt:lpstr>Simple FV</vt:lpstr>
      <vt:lpstr>Annuity FV</vt:lpstr>
      <vt:lpstr>Retirement</vt:lpstr>
      <vt:lpstr>Retirement solver</vt:lpstr>
      <vt:lpstr>Retirement picture</vt:lpstr>
      <vt:lpstr>Retirement fin formulas</vt:lpstr>
      <vt:lpstr>Multiple compounding periods</vt:lpstr>
      <vt:lpstr>Cont. discounting</vt:lpstr>
      <vt:lpstr>Return from prices</vt:lpstr>
      <vt:lpstr>XIRR</vt:lpstr>
      <vt:lpstr>XNPV</vt:lpstr>
      <vt:lpstr>NXNPV</vt:lpstr>
      <vt:lpstr>2-XIRR</vt:lpstr>
      <vt:lpstr>NXIRR</vt:lpstr>
    </vt:vector>
  </TitlesOfParts>
  <Company>Wharton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Benninga;Tal Mofkadi</dc:creator>
  <cp:lastModifiedBy>Mehran K.</cp:lastModifiedBy>
  <dcterms:created xsi:type="dcterms:W3CDTF">1998-10-31T11:56:59Z</dcterms:created>
  <dcterms:modified xsi:type="dcterms:W3CDTF">2023-05-13T08:05:06Z</dcterms:modified>
</cp:coreProperties>
</file>