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ianvand.m\Desktop\Section 3 - Portfolio theory-20230702T075445Z-001\Section 3 - Portfolio theory\Chapter 12 - Var-Covar matrix\"/>
    </mc:Choice>
  </mc:AlternateContent>
  <bookViews>
    <workbookView xWindow="0" yWindow="0" windowWidth="28770" windowHeight="12270" firstSheet="2" activeTab="7"/>
  </bookViews>
  <sheets>
    <sheet name="5y 10 stocks data" sheetId="2" r:id="rId1"/>
    <sheet name="5y 10 stocks Returns" sheetId="3" r:id="rId2"/>
    <sheet name="VBA Var-Cov" sheetId="4" r:id="rId3"/>
    <sheet name="VBA Correlation Mat" sheetId="18" r:id="rId4"/>
    <sheet name="SIM Var-Cov" sheetId="14" r:id="rId5"/>
    <sheet name="Const. correl Var-Cov" sheetId="1" r:id="rId6"/>
    <sheet name="Shrinkage var-cov" sheetId="19" r:id="rId7"/>
    <sheet name="Implied vol+Const cor. var-cov" sheetId="15" r:id="rId8"/>
  </sheets>
  <functionGroups builtInGroupCount="18"/>
  <externalReferences>
    <externalReference r:id="rId9"/>
  </externalReferences>
  <definedNames>
    <definedName name="means">'[1]Questions 1-3'!$M$4:$M$13</definedName>
    <definedName name="port1" localSheetId="3">#REF!</definedName>
    <definedName name="port1">#REF!</definedName>
    <definedName name="port2" localSheetId="3">#REF!</definedName>
    <definedName name="port2">#REF!</definedName>
    <definedName name="varcov">'[1]Questions 1-3'!$B$4:$K$13</definedName>
  </definedNames>
  <calcPr calcId="162913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7" i="15" l="1" a="1"/>
  <c r="L7" i="15"/>
  <c r="B7" i="15" l="1"/>
  <c r="J7" i="15"/>
  <c r="H8" i="15"/>
  <c r="F9" i="15"/>
  <c r="D10" i="15"/>
  <c r="B11" i="15"/>
  <c r="J11" i="15"/>
  <c r="H12" i="15"/>
  <c r="F13" i="15"/>
  <c r="D14" i="15"/>
  <c r="B15" i="15"/>
  <c r="J15" i="15"/>
  <c r="H16" i="15"/>
  <c r="J8" i="15"/>
  <c r="D11" i="15"/>
  <c r="B12" i="15"/>
  <c r="F14" i="15"/>
  <c r="J16" i="15"/>
  <c r="E7" i="15"/>
  <c r="K8" i="15"/>
  <c r="E11" i="15"/>
  <c r="C12" i="15"/>
  <c r="K12" i="15"/>
  <c r="E15" i="15"/>
  <c r="F8" i="15"/>
  <c r="H11" i="15"/>
  <c r="B14" i="15"/>
  <c r="F16" i="15"/>
  <c r="I7" i="15"/>
  <c r="G12" i="15"/>
  <c r="K14" i="15"/>
  <c r="C7" i="15"/>
  <c r="K7" i="15"/>
  <c r="I8" i="15"/>
  <c r="G9" i="15"/>
  <c r="E10" i="15"/>
  <c r="C11" i="15"/>
  <c r="K11" i="15"/>
  <c r="I12" i="15"/>
  <c r="G13" i="15"/>
  <c r="E14" i="15"/>
  <c r="C15" i="15"/>
  <c r="K15" i="15"/>
  <c r="I16" i="15"/>
  <c r="B8" i="15"/>
  <c r="F10" i="15"/>
  <c r="J12" i="15"/>
  <c r="D15" i="15"/>
  <c r="C8" i="15"/>
  <c r="G10" i="15"/>
  <c r="I13" i="15"/>
  <c r="C16" i="15"/>
  <c r="B10" i="15"/>
  <c r="J14" i="15"/>
  <c r="D7" i="15"/>
  <c r="H9" i="15"/>
  <c r="H13" i="15"/>
  <c r="B16" i="15"/>
  <c r="I9" i="15"/>
  <c r="G14" i="15"/>
  <c r="K16" i="15"/>
  <c r="D9" i="15"/>
  <c r="F12" i="15"/>
  <c r="H15" i="15"/>
  <c r="C10" i="15"/>
  <c r="E13" i="15"/>
  <c r="I15" i="15"/>
  <c r="F7" i="15"/>
  <c r="D8" i="15"/>
  <c r="B9" i="15"/>
  <c r="J9" i="15"/>
  <c r="H10" i="15"/>
  <c r="F11" i="15"/>
  <c r="D12" i="15"/>
  <c r="B13" i="15"/>
  <c r="J13" i="15"/>
  <c r="H14" i="15"/>
  <c r="F15" i="15"/>
  <c r="D16" i="15"/>
  <c r="G7" i="15"/>
  <c r="E8" i="15"/>
  <c r="C9" i="15"/>
  <c r="K9" i="15"/>
  <c r="I10" i="15"/>
  <c r="G11" i="15"/>
  <c r="E12" i="15"/>
  <c r="C13" i="15"/>
  <c r="K13" i="15"/>
  <c r="I14" i="15"/>
  <c r="G15" i="15"/>
  <c r="E16" i="15"/>
  <c r="H7" i="15"/>
  <c r="J10" i="15"/>
  <c r="D13" i="15"/>
  <c r="G8" i="15"/>
  <c r="I11" i="15"/>
  <c r="C14" i="15"/>
  <c r="G16" i="15"/>
  <c r="E9" i="15"/>
  <c r="K10" i="15"/>
  <c r="A1" i="19"/>
  <c r="A16" i="1"/>
  <c r="A15" i="14"/>
  <c r="L43" i="14"/>
  <c r="L49" i="14"/>
  <c r="L54" i="14"/>
  <c r="L55" i="14"/>
  <c r="L57" i="14"/>
  <c r="L59" i="14"/>
  <c r="L61" i="14"/>
  <c r="L62" i="14"/>
  <c r="L63" i="14"/>
  <c r="L70" i="14"/>
  <c r="L71" i="14"/>
  <c r="L73" i="14"/>
  <c r="L62" i="3"/>
  <c r="L75" i="14" s="1"/>
  <c r="L61" i="3"/>
  <c r="L74" i="14" s="1"/>
  <c r="L60" i="3"/>
  <c r="L59" i="3"/>
  <c r="L72" i="14" s="1"/>
  <c r="L58" i="3"/>
  <c r="L57" i="3"/>
  <c r="L56" i="3"/>
  <c r="L69" i="14" s="1"/>
  <c r="L55" i="3"/>
  <c r="L68" i="14" s="1"/>
  <c r="L54" i="3"/>
  <c r="L67" i="14" s="1"/>
  <c r="L53" i="3"/>
  <c r="L66" i="14" s="1"/>
  <c r="L52" i="3"/>
  <c r="L65" i="14" s="1"/>
  <c r="L51" i="3"/>
  <c r="L64" i="14" s="1"/>
  <c r="L50" i="3"/>
  <c r="L49" i="3"/>
  <c r="L48" i="3"/>
  <c r="L47" i="3"/>
  <c r="L60" i="14" s="1"/>
  <c r="L46" i="3"/>
  <c r="L45" i="3"/>
  <c r="L58" i="14" s="1"/>
  <c r="L44" i="3"/>
  <c r="L43" i="3"/>
  <c r="L56" i="14" s="1"/>
  <c r="L42" i="3"/>
  <c r="L41" i="3"/>
  <c r="L40" i="3"/>
  <c r="L53" i="14" s="1"/>
  <c r="L39" i="3"/>
  <c r="L52" i="14" s="1"/>
  <c r="L38" i="3"/>
  <c r="L51" i="14" s="1"/>
  <c r="L37" i="3"/>
  <c r="L50" i="14" s="1"/>
  <c r="L36" i="3"/>
  <c r="L35" i="3"/>
  <c r="L48" i="14" s="1"/>
  <c r="L34" i="3"/>
  <c r="L47" i="14" s="1"/>
  <c r="L33" i="3"/>
  <c r="L46" i="14" s="1"/>
  <c r="L32" i="3"/>
  <c r="L45" i="14" s="1"/>
  <c r="L31" i="3"/>
  <c r="L44" i="14" s="1"/>
  <c r="L30" i="3"/>
  <c r="L29" i="3"/>
  <c r="L42" i="14" s="1"/>
  <c r="L28" i="3"/>
  <c r="L41" i="14" s="1"/>
  <c r="L27" i="3"/>
  <c r="L40" i="14" s="1"/>
  <c r="L26" i="3"/>
  <c r="L39" i="14" s="1"/>
  <c r="L25" i="3"/>
  <c r="L38" i="14" s="1"/>
  <c r="L24" i="3"/>
  <c r="L37" i="14" s="1"/>
  <c r="L23" i="3"/>
  <c r="L36" i="14" s="1"/>
  <c r="L22" i="3"/>
  <c r="L35" i="14" s="1"/>
  <c r="L21" i="3"/>
  <c r="L34" i="14" s="1"/>
  <c r="L20" i="3"/>
  <c r="L33" i="14" s="1"/>
  <c r="L19" i="3"/>
  <c r="L32" i="14" s="1"/>
  <c r="L18" i="3"/>
  <c r="L31" i="14" s="1"/>
  <c r="L17" i="3"/>
  <c r="L30" i="14" s="1"/>
  <c r="L16" i="3"/>
  <c r="L29" i="14" s="1"/>
  <c r="L15" i="3"/>
  <c r="L28" i="14" s="1"/>
  <c r="L14" i="3"/>
  <c r="L27" i="14" s="1"/>
  <c r="L13" i="3"/>
  <c r="L26" i="14" s="1"/>
  <c r="L12" i="3"/>
  <c r="L25" i="14" s="1"/>
  <c r="L11" i="3"/>
  <c r="L24" i="14" s="1"/>
  <c r="L10" i="3"/>
  <c r="L23" i="14" s="1"/>
  <c r="L9" i="3"/>
  <c r="L22" i="14" s="1"/>
  <c r="L8" i="3"/>
  <c r="L21" i="14" s="1"/>
  <c r="L7" i="3"/>
  <c r="L20" i="14" s="1"/>
  <c r="L6" i="3"/>
  <c r="L19" i="14" s="1"/>
  <c r="L5" i="3"/>
  <c r="L18" i="14" s="1"/>
  <c r="L4" i="3"/>
  <c r="L17" i="14" s="1"/>
  <c r="L3" i="3"/>
  <c r="L16" i="14" s="1"/>
  <c r="L2" i="3"/>
  <c r="L15" i="14" s="1"/>
  <c r="B5" i="1" a="1"/>
  <c r="B4" i="14" a="1"/>
  <c r="B4" i="19" a="1"/>
  <c r="L5" i="1"/>
  <c r="L17" i="19"/>
  <c r="L4" i="14"/>
  <c r="L4" i="19"/>
  <c r="L30" i="19"/>
  <c r="E13" i="19" l="1"/>
  <c r="G12" i="19"/>
  <c r="I11" i="19"/>
  <c r="K10" i="19"/>
  <c r="C10" i="19"/>
  <c r="E9" i="19"/>
  <c r="G8" i="19"/>
  <c r="I7" i="19"/>
  <c r="K6" i="19"/>
  <c r="C6" i="19"/>
  <c r="E5" i="19"/>
  <c r="G4" i="19"/>
  <c r="D13" i="19"/>
  <c r="F12" i="19"/>
  <c r="H11" i="19"/>
  <c r="J10" i="19"/>
  <c r="B10" i="19"/>
  <c r="D9" i="19"/>
  <c r="F8" i="19"/>
  <c r="H7" i="19"/>
  <c r="J6" i="19"/>
  <c r="B6" i="19"/>
  <c r="D5" i="19"/>
  <c r="F4" i="19"/>
  <c r="K13" i="19"/>
  <c r="C13" i="19"/>
  <c r="E12" i="19"/>
  <c r="G11" i="19"/>
  <c r="I10" i="19"/>
  <c r="K9" i="19"/>
  <c r="C9" i="19"/>
  <c r="E8" i="19"/>
  <c r="G7" i="19"/>
  <c r="I6" i="19"/>
  <c r="K5" i="19"/>
  <c r="C5" i="19"/>
  <c r="E4" i="19"/>
  <c r="J13" i="19"/>
  <c r="B13" i="19"/>
  <c r="D12" i="19"/>
  <c r="F11" i="19"/>
  <c r="H10" i="19"/>
  <c r="J9" i="19"/>
  <c r="B9" i="19"/>
  <c r="D8" i="19"/>
  <c r="F7" i="19"/>
  <c r="H6" i="19"/>
  <c r="J5" i="19"/>
  <c r="B5" i="19"/>
  <c r="D4" i="19"/>
  <c r="I13" i="19"/>
  <c r="K12" i="19"/>
  <c r="C12" i="19"/>
  <c r="E11" i="19"/>
  <c r="G10" i="19"/>
  <c r="I9" i="19"/>
  <c r="K8" i="19"/>
  <c r="C8" i="19"/>
  <c r="E7" i="19"/>
  <c r="G6" i="19"/>
  <c r="I5" i="19"/>
  <c r="K4" i="19"/>
  <c r="C4" i="19"/>
  <c r="H13" i="19"/>
  <c r="J12" i="19"/>
  <c r="B12" i="19"/>
  <c r="D11" i="19"/>
  <c r="F10" i="19"/>
  <c r="H9" i="19"/>
  <c r="J8" i="19"/>
  <c r="B8" i="19"/>
  <c r="D7" i="19"/>
  <c r="F6" i="19"/>
  <c r="H5" i="19"/>
  <c r="J4" i="19"/>
  <c r="B4" i="19"/>
  <c r="G13" i="19"/>
  <c r="I12" i="19"/>
  <c r="K11" i="19"/>
  <c r="C11" i="19"/>
  <c r="E10" i="19"/>
  <c r="G9" i="19"/>
  <c r="I8" i="19"/>
  <c r="K7" i="19"/>
  <c r="C7" i="19"/>
  <c r="E6" i="19"/>
  <c r="G5" i="19"/>
  <c r="I4" i="19"/>
  <c r="F13" i="19"/>
  <c r="H12" i="19"/>
  <c r="J11" i="19"/>
  <c r="B11" i="19"/>
  <c r="D10" i="19"/>
  <c r="F9" i="19"/>
  <c r="H8" i="19"/>
  <c r="J7" i="19"/>
  <c r="B7" i="19"/>
  <c r="D6" i="19"/>
  <c r="F5" i="19"/>
  <c r="H4" i="19"/>
  <c r="I5" i="1"/>
  <c r="G6" i="1"/>
  <c r="E7" i="1"/>
  <c r="C8" i="1"/>
  <c r="K8" i="1"/>
  <c r="I9" i="1"/>
  <c r="G10" i="1"/>
  <c r="E11" i="1"/>
  <c r="C12" i="1"/>
  <c r="K12" i="1"/>
  <c r="I13" i="1"/>
  <c r="G14" i="1"/>
  <c r="F10" i="1"/>
  <c r="D11" i="1"/>
  <c r="J12" i="1"/>
  <c r="B5" i="1"/>
  <c r="J5" i="1"/>
  <c r="H6" i="1"/>
  <c r="F7" i="1"/>
  <c r="D8" i="1"/>
  <c r="B9" i="1"/>
  <c r="J9" i="1"/>
  <c r="H10" i="1"/>
  <c r="F11" i="1"/>
  <c r="D12" i="1"/>
  <c r="B13" i="1"/>
  <c r="J13" i="1"/>
  <c r="H14" i="1"/>
  <c r="B8" i="1"/>
  <c r="H13" i="1"/>
  <c r="C5" i="1"/>
  <c r="K5" i="1"/>
  <c r="I6" i="1"/>
  <c r="G7" i="1"/>
  <c r="E8" i="1"/>
  <c r="C9" i="1"/>
  <c r="K9" i="1"/>
  <c r="I10" i="1"/>
  <c r="G11" i="1"/>
  <c r="E12" i="1"/>
  <c r="C13" i="1"/>
  <c r="K13" i="1"/>
  <c r="I14" i="1"/>
  <c r="J8" i="1"/>
  <c r="F14" i="1"/>
  <c r="D5" i="1"/>
  <c r="B6" i="1"/>
  <c r="J6" i="1"/>
  <c r="H7" i="1"/>
  <c r="F8" i="1"/>
  <c r="D9" i="1"/>
  <c r="B10" i="1"/>
  <c r="J10" i="1"/>
  <c r="H11" i="1"/>
  <c r="F12" i="1"/>
  <c r="D13" i="1"/>
  <c r="B14" i="1"/>
  <c r="J14" i="1"/>
  <c r="H9" i="1"/>
  <c r="E5" i="1"/>
  <c r="C6" i="1"/>
  <c r="K6" i="1"/>
  <c r="I7" i="1"/>
  <c r="G8" i="1"/>
  <c r="E9" i="1"/>
  <c r="C10" i="1"/>
  <c r="K10" i="1"/>
  <c r="I11" i="1"/>
  <c r="G12" i="1"/>
  <c r="E13" i="1"/>
  <c r="C14" i="1"/>
  <c r="K14" i="1"/>
  <c r="D7" i="1"/>
  <c r="B12" i="1"/>
  <c r="F5" i="1"/>
  <c r="D6" i="1"/>
  <c r="B7" i="1"/>
  <c r="J7" i="1"/>
  <c r="H8" i="1"/>
  <c r="F9" i="1"/>
  <c r="D10" i="1"/>
  <c r="B11" i="1"/>
  <c r="J11" i="1"/>
  <c r="H12" i="1"/>
  <c r="F13" i="1"/>
  <c r="D14" i="1"/>
  <c r="F6" i="1"/>
  <c r="G5" i="1"/>
  <c r="E6" i="1"/>
  <c r="C7" i="1"/>
  <c r="K7" i="1"/>
  <c r="I8" i="1"/>
  <c r="G9" i="1"/>
  <c r="E10" i="1"/>
  <c r="C11" i="1"/>
  <c r="K11" i="1"/>
  <c r="I12" i="1"/>
  <c r="G13" i="1"/>
  <c r="E14" i="1"/>
  <c r="H5" i="1"/>
  <c r="I4" i="14"/>
  <c r="I12" i="14"/>
  <c r="B4" i="14"/>
  <c r="J4" i="14"/>
  <c r="H5" i="14"/>
  <c r="F6" i="14"/>
  <c r="D7" i="14"/>
  <c r="B8" i="14"/>
  <c r="J8" i="14"/>
  <c r="H9" i="14"/>
  <c r="F10" i="14"/>
  <c r="D11" i="14"/>
  <c r="B12" i="14"/>
  <c r="J12" i="14"/>
  <c r="H13" i="14"/>
  <c r="C4" i="14"/>
  <c r="K4" i="14"/>
  <c r="I5" i="14"/>
  <c r="G6" i="14"/>
  <c r="E7" i="14"/>
  <c r="C8" i="14"/>
  <c r="K8" i="14"/>
  <c r="I9" i="14"/>
  <c r="G10" i="14"/>
  <c r="E11" i="14"/>
  <c r="C12" i="14"/>
  <c r="K12" i="14"/>
  <c r="I13" i="14"/>
  <c r="C6" i="14"/>
  <c r="D4" i="14"/>
  <c r="B5" i="14"/>
  <c r="J5" i="14"/>
  <c r="H6" i="14"/>
  <c r="F7" i="14"/>
  <c r="D8" i="14"/>
  <c r="B9" i="14"/>
  <c r="J9" i="14"/>
  <c r="H10" i="14"/>
  <c r="F11" i="14"/>
  <c r="D12" i="14"/>
  <c r="B13" i="14"/>
  <c r="J13" i="14"/>
  <c r="D5" i="14"/>
  <c r="B6" i="14"/>
  <c r="J6" i="14"/>
  <c r="H7" i="14"/>
  <c r="F8" i="14"/>
  <c r="D9" i="14"/>
  <c r="B10" i="14"/>
  <c r="J10" i="14"/>
  <c r="H11" i="14"/>
  <c r="F12" i="14"/>
  <c r="D13" i="14"/>
  <c r="G4" i="14"/>
  <c r="K6" i="14"/>
  <c r="I7" i="14"/>
  <c r="G8" i="14"/>
  <c r="E9" i="14"/>
  <c r="C10" i="14"/>
  <c r="K10" i="14"/>
  <c r="I11" i="14"/>
  <c r="E13" i="14"/>
  <c r="E4" i="14"/>
  <c r="C5" i="14"/>
  <c r="K5" i="14"/>
  <c r="I6" i="14"/>
  <c r="G7" i="14"/>
  <c r="E8" i="14"/>
  <c r="C9" i="14"/>
  <c r="K9" i="14"/>
  <c r="I10" i="14"/>
  <c r="G11" i="14"/>
  <c r="E12" i="14"/>
  <c r="C13" i="14"/>
  <c r="K13" i="14"/>
  <c r="F4" i="14"/>
  <c r="E5" i="14"/>
  <c r="G12" i="14"/>
  <c r="H4" i="14"/>
  <c r="F5" i="14"/>
  <c r="D6" i="14"/>
  <c r="B7" i="14"/>
  <c r="J7" i="14"/>
  <c r="H8" i="14"/>
  <c r="F9" i="14"/>
  <c r="D10" i="14"/>
  <c r="B11" i="14"/>
  <c r="J11" i="14"/>
  <c r="H12" i="14"/>
  <c r="F13" i="14"/>
  <c r="G5" i="14"/>
  <c r="E6" i="14"/>
  <c r="C7" i="14"/>
  <c r="K7" i="14"/>
  <c r="I8" i="14"/>
  <c r="G9" i="14"/>
  <c r="E10" i="14"/>
  <c r="C11" i="14"/>
  <c r="K11" i="14"/>
  <c r="G13" i="14"/>
  <c r="B4" i="18" a="1"/>
  <c r="B17" i="18" a="1"/>
  <c r="B4" i="4" a="1"/>
  <c r="I32" i="18"/>
  <c r="C34" i="18"/>
  <c r="I33" i="18"/>
  <c r="I36" i="18"/>
  <c r="C29" i="18"/>
  <c r="C36" i="18"/>
  <c r="L4" i="4"/>
  <c r="C33" i="18"/>
  <c r="C32" i="18"/>
  <c r="I34" i="18"/>
  <c r="L4" i="18"/>
  <c r="L17" i="18"/>
  <c r="C30" i="18"/>
  <c r="I35" i="18"/>
  <c r="C35" i="18"/>
  <c r="E17" i="18" l="1"/>
  <c r="C18" i="18"/>
  <c r="K18" i="18"/>
  <c r="I19" i="18"/>
  <c r="G20" i="18"/>
  <c r="E21" i="18"/>
  <c r="C22" i="18"/>
  <c r="K22" i="18"/>
  <c r="I23" i="18"/>
  <c r="G24" i="18"/>
  <c r="E25" i="18"/>
  <c r="C26" i="18"/>
  <c r="K26" i="18"/>
  <c r="F17" i="18"/>
  <c r="D18" i="18"/>
  <c r="B19" i="18"/>
  <c r="J19" i="18"/>
  <c r="H20" i="18"/>
  <c r="F21" i="18"/>
  <c r="D22" i="18"/>
  <c r="B23" i="18"/>
  <c r="J23" i="18"/>
  <c r="H24" i="18"/>
  <c r="F25" i="18"/>
  <c r="D26" i="18"/>
  <c r="G17" i="18"/>
  <c r="E18" i="18"/>
  <c r="C19" i="18"/>
  <c r="K19" i="18"/>
  <c r="I20" i="18"/>
  <c r="G21" i="18"/>
  <c r="E22" i="18"/>
  <c r="C23" i="18"/>
  <c r="K23" i="18"/>
  <c r="I24" i="18"/>
  <c r="G25" i="18"/>
  <c r="E26" i="18"/>
  <c r="I17" i="18"/>
  <c r="G18" i="18"/>
  <c r="E19" i="18"/>
  <c r="C20" i="18"/>
  <c r="K20" i="18"/>
  <c r="I21" i="18"/>
  <c r="G22" i="18"/>
  <c r="E23" i="18"/>
  <c r="C24" i="18"/>
  <c r="K24" i="18"/>
  <c r="I25" i="18"/>
  <c r="G26" i="18"/>
  <c r="B17" i="18"/>
  <c r="J17" i="18"/>
  <c r="H18" i="18"/>
  <c r="F19" i="18"/>
  <c r="D20" i="18"/>
  <c r="B21" i="18"/>
  <c r="J21" i="18"/>
  <c r="H22" i="18"/>
  <c r="F23" i="18"/>
  <c r="D24" i="18"/>
  <c r="B25" i="18"/>
  <c r="J25" i="18"/>
  <c r="H26" i="18"/>
  <c r="C17" i="18"/>
  <c r="K17" i="18"/>
  <c r="I18" i="18"/>
  <c r="G19" i="18"/>
  <c r="E20" i="18"/>
  <c r="C21" i="18"/>
  <c r="K21" i="18"/>
  <c r="I22" i="18"/>
  <c r="G23" i="18"/>
  <c r="E24" i="18"/>
  <c r="C25" i="18"/>
  <c r="K25" i="18"/>
  <c r="I26" i="18"/>
  <c r="D17" i="18"/>
  <c r="B18" i="18"/>
  <c r="J18" i="18"/>
  <c r="H19" i="18"/>
  <c r="F20" i="18"/>
  <c r="D21" i="18"/>
  <c r="B22" i="18"/>
  <c r="J22" i="18"/>
  <c r="H23" i="18"/>
  <c r="F24" i="18"/>
  <c r="H17" i="18"/>
  <c r="F18" i="18"/>
  <c r="D19" i="18"/>
  <c r="B20" i="18"/>
  <c r="J20" i="18"/>
  <c r="H21" i="18"/>
  <c r="F22" i="18"/>
  <c r="D23" i="18"/>
  <c r="B24" i="18"/>
  <c r="J24" i="18"/>
  <c r="H25" i="18"/>
  <c r="F26" i="18"/>
  <c r="J26" i="18"/>
  <c r="B26" i="18"/>
  <c r="D25" i="18"/>
  <c r="I13" i="18"/>
  <c r="K12" i="18"/>
  <c r="C12" i="18"/>
  <c r="E11" i="18"/>
  <c r="G10" i="18"/>
  <c r="I9" i="18"/>
  <c r="K8" i="18"/>
  <c r="C8" i="18"/>
  <c r="E7" i="18"/>
  <c r="G6" i="18"/>
  <c r="I5" i="18"/>
  <c r="K4" i="18"/>
  <c r="C4" i="18"/>
  <c r="J11" i="18"/>
  <c r="D10" i="18"/>
  <c r="J7" i="18"/>
  <c r="D6" i="18"/>
  <c r="H4" i="18"/>
  <c r="E13" i="18"/>
  <c r="I11" i="18"/>
  <c r="C10" i="18"/>
  <c r="G8" i="18"/>
  <c r="K6" i="18"/>
  <c r="E5" i="18"/>
  <c r="D13" i="18"/>
  <c r="D9" i="18"/>
  <c r="F8" i="18"/>
  <c r="J6" i="18"/>
  <c r="D5" i="18"/>
  <c r="H13" i="18"/>
  <c r="J12" i="18"/>
  <c r="B12" i="18"/>
  <c r="D11" i="18"/>
  <c r="F10" i="18"/>
  <c r="H9" i="18"/>
  <c r="J8" i="18"/>
  <c r="B8" i="18"/>
  <c r="D7" i="18"/>
  <c r="F6" i="18"/>
  <c r="H5" i="18"/>
  <c r="J4" i="18"/>
  <c r="B4" i="18"/>
  <c r="F13" i="18"/>
  <c r="H12" i="18"/>
  <c r="B11" i="18"/>
  <c r="F9" i="18"/>
  <c r="H8" i="18"/>
  <c r="B7" i="18"/>
  <c r="F5" i="18"/>
  <c r="G12" i="18"/>
  <c r="K10" i="18"/>
  <c r="E9" i="18"/>
  <c r="I7" i="18"/>
  <c r="C6" i="18"/>
  <c r="G4" i="18"/>
  <c r="F12" i="18"/>
  <c r="H11" i="18"/>
  <c r="J10" i="18"/>
  <c r="B10" i="18"/>
  <c r="H7" i="18"/>
  <c r="B6" i="18"/>
  <c r="F4" i="18"/>
  <c r="G13" i="18"/>
  <c r="I12" i="18"/>
  <c r="K11" i="18"/>
  <c r="C11" i="18"/>
  <c r="E10" i="18"/>
  <c r="G9" i="18"/>
  <c r="I8" i="18"/>
  <c r="K7" i="18"/>
  <c r="C7" i="18"/>
  <c r="E6" i="18"/>
  <c r="G5" i="18"/>
  <c r="I4" i="18"/>
  <c r="G11" i="18"/>
  <c r="E8" i="18"/>
  <c r="C5" i="18"/>
  <c r="F11" i="18"/>
  <c r="D8" i="18"/>
  <c r="B5" i="18"/>
  <c r="K13" i="18"/>
  <c r="I10" i="18"/>
  <c r="G7" i="18"/>
  <c r="E4" i="18"/>
  <c r="B13" i="18"/>
  <c r="B9" i="18"/>
  <c r="J13" i="18"/>
  <c r="H10" i="18"/>
  <c r="F7" i="18"/>
  <c r="D4" i="18"/>
  <c r="H6" i="18"/>
  <c r="E12" i="18"/>
  <c r="K5" i="18"/>
  <c r="C13" i="18"/>
  <c r="K9" i="18"/>
  <c r="I6" i="18"/>
  <c r="J9" i="18"/>
  <c r="C9" i="18"/>
  <c r="D12" i="18"/>
  <c r="J5" i="18"/>
  <c r="C4" i="4"/>
  <c r="K4" i="4"/>
  <c r="I5" i="4"/>
  <c r="G6" i="4"/>
  <c r="E7" i="4"/>
  <c r="C8" i="4"/>
  <c r="K8" i="4"/>
  <c r="I9" i="4"/>
  <c r="G10" i="4"/>
  <c r="E11" i="4"/>
  <c r="C12" i="4"/>
  <c r="K12" i="4"/>
  <c r="I13" i="4"/>
  <c r="B6" i="4"/>
  <c r="J10" i="4"/>
  <c r="D13" i="4"/>
  <c r="E5" i="4"/>
  <c r="K6" i="4"/>
  <c r="E9" i="4"/>
  <c r="I11" i="4"/>
  <c r="G5" i="4"/>
  <c r="I8" i="4"/>
  <c r="C11" i="4"/>
  <c r="G13" i="4"/>
  <c r="J4" i="4"/>
  <c r="D7" i="4"/>
  <c r="F10" i="4"/>
  <c r="B12" i="4"/>
  <c r="D4" i="4"/>
  <c r="B5" i="4"/>
  <c r="J5" i="4"/>
  <c r="H6" i="4"/>
  <c r="F7" i="4"/>
  <c r="D8" i="4"/>
  <c r="B9" i="4"/>
  <c r="J9" i="4"/>
  <c r="H10" i="4"/>
  <c r="F11" i="4"/>
  <c r="D12" i="4"/>
  <c r="B13" i="4"/>
  <c r="J13" i="4"/>
  <c r="D5" i="4"/>
  <c r="D9" i="4"/>
  <c r="F12" i="4"/>
  <c r="C6" i="4"/>
  <c r="I7" i="4"/>
  <c r="C10" i="4"/>
  <c r="G12" i="4"/>
  <c r="I4" i="4"/>
  <c r="C7" i="4"/>
  <c r="G9" i="4"/>
  <c r="K11" i="4"/>
  <c r="H5" i="4"/>
  <c r="B8" i="4"/>
  <c r="H9" i="4"/>
  <c r="J12" i="4"/>
  <c r="E4" i="4"/>
  <c r="C5" i="4"/>
  <c r="K5" i="4"/>
  <c r="I6" i="4"/>
  <c r="G7" i="4"/>
  <c r="E8" i="4"/>
  <c r="C9" i="4"/>
  <c r="K9" i="4"/>
  <c r="I10" i="4"/>
  <c r="G11" i="4"/>
  <c r="E12" i="4"/>
  <c r="C13" i="4"/>
  <c r="K13" i="4"/>
  <c r="F4" i="4"/>
  <c r="J6" i="4"/>
  <c r="H7" i="4"/>
  <c r="F8" i="4"/>
  <c r="B10" i="4"/>
  <c r="H11" i="4"/>
  <c r="G4" i="4"/>
  <c r="G8" i="4"/>
  <c r="K10" i="4"/>
  <c r="E13" i="4"/>
  <c r="E6" i="4"/>
  <c r="K7" i="4"/>
  <c r="E10" i="4"/>
  <c r="I12" i="4"/>
  <c r="B4" i="4"/>
  <c r="F6" i="4"/>
  <c r="J8" i="4"/>
  <c r="D11" i="4"/>
  <c r="H13" i="4"/>
  <c r="H4" i="4"/>
  <c r="F5" i="4"/>
  <c r="D6" i="4"/>
  <c r="B7" i="4"/>
  <c r="J7" i="4"/>
  <c r="H8" i="4"/>
  <c r="F9" i="4"/>
  <c r="D10" i="4"/>
  <c r="B11" i="4"/>
  <c r="J11" i="4"/>
  <c r="H12" i="4"/>
  <c r="F13" i="4"/>
  <c r="K67" i="3"/>
  <c r="K130" i="3" s="1"/>
  <c r="D67" i="3"/>
  <c r="D130" i="3" s="1"/>
  <c r="C67" i="3"/>
  <c r="C130" i="3" s="1"/>
  <c r="A67" i="3"/>
  <c r="B4" i="3"/>
  <c r="C4" i="3"/>
  <c r="D4" i="3"/>
  <c r="E4" i="3"/>
  <c r="F4" i="3"/>
  <c r="G4" i="3"/>
  <c r="H4" i="3"/>
  <c r="I4" i="3"/>
  <c r="J4" i="3"/>
  <c r="K4" i="3"/>
  <c r="B5" i="3"/>
  <c r="C5" i="3"/>
  <c r="D5" i="3"/>
  <c r="E5" i="3"/>
  <c r="F5" i="3"/>
  <c r="G5" i="3"/>
  <c r="H5" i="3"/>
  <c r="I5" i="3"/>
  <c r="J5" i="3"/>
  <c r="K5" i="3"/>
  <c r="B6" i="3"/>
  <c r="C6" i="3"/>
  <c r="D6" i="3"/>
  <c r="E6" i="3"/>
  <c r="F6" i="3"/>
  <c r="G6" i="3"/>
  <c r="H6" i="3"/>
  <c r="I6" i="3"/>
  <c r="J6" i="3"/>
  <c r="K6" i="3"/>
  <c r="B7" i="3"/>
  <c r="C7" i="3"/>
  <c r="D7" i="3"/>
  <c r="E7" i="3"/>
  <c r="F7" i="3"/>
  <c r="G7" i="3"/>
  <c r="H7" i="3"/>
  <c r="I7" i="3"/>
  <c r="J7" i="3"/>
  <c r="K7" i="3"/>
  <c r="B8" i="3"/>
  <c r="C8" i="3"/>
  <c r="D8" i="3"/>
  <c r="E8" i="3"/>
  <c r="F8" i="3"/>
  <c r="G8" i="3"/>
  <c r="H8" i="3"/>
  <c r="I8" i="3"/>
  <c r="J8" i="3"/>
  <c r="K8" i="3"/>
  <c r="B9" i="3"/>
  <c r="C9" i="3"/>
  <c r="D9" i="3"/>
  <c r="E9" i="3"/>
  <c r="F9" i="3"/>
  <c r="G9" i="3"/>
  <c r="H9" i="3"/>
  <c r="I9" i="3"/>
  <c r="J9" i="3"/>
  <c r="K9" i="3"/>
  <c r="B10" i="3"/>
  <c r="C10" i="3"/>
  <c r="D10" i="3"/>
  <c r="E10" i="3"/>
  <c r="F10" i="3"/>
  <c r="G10" i="3"/>
  <c r="H10" i="3"/>
  <c r="I10" i="3"/>
  <c r="J10" i="3"/>
  <c r="K10" i="3"/>
  <c r="B11" i="3"/>
  <c r="C11" i="3"/>
  <c r="D11" i="3"/>
  <c r="E11" i="3"/>
  <c r="F11" i="3"/>
  <c r="G11" i="3"/>
  <c r="H11" i="3"/>
  <c r="I11" i="3"/>
  <c r="J11" i="3"/>
  <c r="K11" i="3"/>
  <c r="B12" i="3"/>
  <c r="C12" i="3"/>
  <c r="D12" i="3"/>
  <c r="E12" i="3"/>
  <c r="F12" i="3"/>
  <c r="G12" i="3"/>
  <c r="H12" i="3"/>
  <c r="I12" i="3"/>
  <c r="J12" i="3"/>
  <c r="K12" i="3"/>
  <c r="B13" i="3"/>
  <c r="C13" i="3"/>
  <c r="D13" i="3"/>
  <c r="E13" i="3"/>
  <c r="F13" i="3"/>
  <c r="G13" i="3"/>
  <c r="H13" i="3"/>
  <c r="I13" i="3"/>
  <c r="J13" i="3"/>
  <c r="K13" i="3"/>
  <c r="B14" i="3"/>
  <c r="C14" i="3"/>
  <c r="D14" i="3"/>
  <c r="E14" i="3"/>
  <c r="F14" i="3"/>
  <c r="G14" i="3"/>
  <c r="H14" i="3"/>
  <c r="I14" i="3"/>
  <c r="J14" i="3"/>
  <c r="K14" i="3"/>
  <c r="B15" i="3"/>
  <c r="C15" i="3"/>
  <c r="D15" i="3"/>
  <c r="E15" i="3"/>
  <c r="F15" i="3"/>
  <c r="G15" i="3"/>
  <c r="H15" i="3"/>
  <c r="I15" i="3"/>
  <c r="J15" i="3"/>
  <c r="K15" i="3"/>
  <c r="B16" i="3"/>
  <c r="C16" i="3"/>
  <c r="D16" i="3"/>
  <c r="E16" i="3"/>
  <c r="F16" i="3"/>
  <c r="G16" i="3"/>
  <c r="H16" i="3"/>
  <c r="I16" i="3"/>
  <c r="J16" i="3"/>
  <c r="K16" i="3"/>
  <c r="B17" i="3"/>
  <c r="C17" i="3"/>
  <c r="D17" i="3"/>
  <c r="E17" i="3"/>
  <c r="F17" i="3"/>
  <c r="G17" i="3"/>
  <c r="H17" i="3"/>
  <c r="I17" i="3"/>
  <c r="J17" i="3"/>
  <c r="K17" i="3"/>
  <c r="B18" i="3"/>
  <c r="C18" i="3"/>
  <c r="D18" i="3"/>
  <c r="E18" i="3"/>
  <c r="F18" i="3"/>
  <c r="G18" i="3"/>
  <c r="H18" i="3"/>
  <c r="I18" i="3"/>
  <c r="J18" i="3"/>
  <c r="K18" i="3"/>
  <c r="B19" i="3"/>
  <c r="C19" i="3"/>
  <c r="D19" i="3"/>
  <c r="E19" i="3"/>
  <c r="F19" i="3"/>
  <c r="G19" i="3"/>
  <c r="H19" i="3"/>
  <c r="I19" i="3"/>
  <c r="J19" i="3"/>
  <c r="K19" i="3"/>
  <c r="B20" i="3"/>
  <c r="C20" i="3"/>
  <c r="D20" i="3"/>
  <c r="E20" i="3"/>
  <c r="F20" i="3"/>
  <c r="G20" i="3"/>
  <c r="H20" i="3"/>
  <c r="I20" i="3"/>
  <c r="J20" i="3"/>
  <c r="K20" i="3"/>
  <c r="B21" i="3"/>
  <c r="C21" i="3"/>
  <c r="D21" i="3"/>
  <c r="E21" i="3"/>
  <c r="F21" i="3"/>
  <c r="G21" i="3"/>
  <c r="H21" i="3"/>
  <c r="I21" i="3"/>
  <c r="J21" i="3"/>
  <c r="K21" i="3"/>
  <c r="B22" i="3"/>
  <c r="C22" i="3"/>
  <c r="D22" i="3"/>
  <c r="E22" i="3"/>
  <c r="F22" i="3"/>
  <c r="G22" i="3"/>
  <c r="H22" i="3"/>
  <c r="I22" i="3"/>
  <c r="J22" i="3"/>
  <c r="K22" i="3"/>
  <c r="B23" i="3"/>
  <c r="C23" i="3"/>
  <c r="D23" i="3"/>
  <c r="E23" i="3"/>
  <c r="F23" i="3"/>
  <c r="G23" i="3"/>
  <c r="H23" i="3"/>
  <c r="I23" i="3"/>
  <c r="J23" i="3"/>
  <c r="K23" i="3"/>
  <c r="B24" i="3"/>
  <c r="C24" i="3"/>
  <c r="D24" i="3"/>
  <c r="E24" i="3"/>
  <c r="F24" i="3"/>
  <c r="G24" i="3"/>
  <c r="H24" i="3"/>
  <c r="I24" i="3"/>
  <c r="J24" i="3"/>
  <c r="K24" i="3"/>
  <c r="B25" i="3"/>
  <c r="C25" i="3"/>
  <c r="D25" i="3"/>
  <c r="E25" i="3"/>
  <c r="F25" i="3"/>
  <c r="G25" i="3"/>
  <c r="H25" i="3"/>
  <c r="I25" i="3"/>
  <c r="J25" i="3"/>
  <c r="K25" i="3"/>
  <c r="B26" i="3"/>
  <c r="C26" i="3"/>
  <c r="D26" i="3"/>
  <c r="E26" i="3"/>
  <c r="F26" i="3"/>
  <c r="G26" i="3"/>
  <c r="H26" i="3"/>
  <c r="I26" i="3"/>
  <c r="J26" i="3"/>
  <c r="K26" i="3"/>
  <c r="B27" i="3"/>
  <c r="C27" i="3"/>
  <c r="D27" i="3"/>
  <c r="E27" i="3"/>
  <c r="F27" i="3"/>
  <c r="G27" i="3"/>
  <c r="H27" i="3"/>
  <c r="I27" i="3"/>
  <c r="J27" i="3"/>
  <c r="K27" i="3"/>
  <c r="B28" i="3"/>
  <c r="C28" i="3"/>
  <c r="D28" i="3"/>
  <c r="E28" i="3"/>
  <c r="F28" i="3"/>
  <c r="G28" i="3"/>
  <c r="H28" i="3"/>
  <c r="I28" i="3"/>
  <c r="J28" i="3"/>
  <c r="K28" i="3"/>
  <c r="B29" i="3"/>
  <c r="C29" i="3"/>
  <c r="D29" i="3"/>
  <c r="E29" i="3"/>
  <c r="F29" i="3"/>
  <c r="G29" i="3"/>
  <c r="H29" i="3"/>
  <c r="I29" i="3"/>
  <c r="J29" i="3"/>
  <c r="K29" i="3"/>
  <c r="B30" i="3"/>
  <c r="C30" i="3"/>
  <c r="D30" i="3"/>
  <c r="E30" i="3"/>
  <c r="F30" i="3"/>
  <c r="G30" i="3"/>
  <c r="H30" i="3"/>
  <c r="I30" i="3"/>
  <c r="J30" i="3"/>
  <c r="K30" i="3"/>
  <c r="B31" i="3"/>
  <c r="C31" i="3"/>
  <c r="D31" i="3"/>
  <c r="E31" i="3"/>
  <c r="F31" i="3"/>
  <c r="G31" i="3"/>
  <c r="H31" i="3"/>
  <c r="I31" i="3"/>
  <c r="J31" i="3"/>
  <c r="K31" i="3"/>
  <c r="B32" i="3"/>
  <c r="C32" i="3"/>
  <c r="D32" i="3"/>
  <c r="E32" i="3"/>
  <c r="F32" i="3"/>
  <c r="G32" i="3"/>
  <c r="H32" i="3"/>
  <c r="I32" i="3"/>
  <c r="J32" i="3"/>
  <c r="K32" i="3"/>
  <c r="B33" i="3"/>
  <c r="C33" i="3"/>
  <c r="D33" i="3"/>
  <c r="E33" i="3"/>
  <c r="F33" i="3"/>
  <c r="G33" i="3"/>
  <c r="H33" i="3"/>
  <c r="I33" i="3"/>
  <c r="J33" i="3"/>
  <c r="K33" i="3"/>
  <c r="B34" i="3"/>
  <c r="C34" i="3"/>
  <c r="D34" i="3"/>
  <c r="E34" i="3"/>
  <c r="F34" i="3"/>
  <c r="G34" i="3"/>
  <c r="H34" i="3"/>
  <c r="I34" i="3"/>
  <c r="J34" i="3"/>
  <c r="K34" i="3"/>
  <c r="B35" i="3"/>
  <c r="C35" i="3"/>
  <c r="D35" i="3"/>
  <c r="E35" i="3"/>
  <c r="F35" i="3"/>
  <c r="G35" i="3"/>
  <c r="H35" i="3"/>
  <c r="I35" i="3"/>
  <c r="J35" i="3"/>
  <c r="K35" i="3"/>
  <c r="B36" i="3"/>
  <c r="C36" i="3"/>
  <c r="D36" i="3"/>
  <c r="E36" i="3"/>
  <c r="F36" i="3"/>
  <c r="G36" i="3"/>
  <c r="H36" i="3"/>
  <c r="I36" i="3"/>
  <c r="J36" i="3"/>
  <c r="K36" i="3"/>
  <c r="B37" i="3"/>
  <c r="C37" i="3"/>
  <c r="D37" i="3"/>
  <c r="E37" i="3"/>
  <c r="F37" i="3"/>
  <c r="G37" i="3"/>
  <c r="H37" i="3"/>
  <c r="I37" i="3"/>
  <c r="J37" i="3"/>
  <c r="K37" i="3"/>
  <c r="B38" i="3"/>
  <c r="C38" i="3"/>
  <c r="D38" i="3"/>
  <c r="E38" i="3"/>
  <c r="F38" i="3"/>
  <c r="G38" i="3"/>
  <c r="H38" i="3"/>
  <c r="I38" i="3"/>
  <c r="J38" i="3"/>
  <c r="K38" i="3"/>
  <c r="B39" i="3"/>
  <c r="C39" i="3"/>
  <c r="D39" i="3"/>
  <c r="E39" i="3"/>
  <c r="F39" i="3"/>
  <c r="G39" i="3"/>
  <c r="H39" i="3"/>
  <c r="I39" i="3"/>
  <c r="J39" i="3"/>
  <c r="K39" i="3"/>
  <c r="B40" i="3"/>
  <c r="C40" i="3"/>
  <c r="D40" i="3"/>
  <c r="E40" i="3"/>
  <c r="F40" i="3"/>
  <c r="G40" i="3"/>
  <c r="H40" i="3"/>
  <c r="I40" i="3"/>
  <c r="J40" i="3"/>
  <c r="K40" i="3"/>
  <c r="B41" i="3"/>
  <c r="C41" i="3"/>
  <c r="D41" i="3"/>
  <c r="E41" i="3"/>
  <c r="F41" i="3"/>
  <c r="G41" i="3"/>
  <c r="H41" i="3"/>
  <c r="I41" i="3"/>
  <c r="J41" i="3"/>
  <c r="K41" i="3"/>
  <c r="B42" i="3"/>
  <c r="C42" i="3"/>
  <c r="D42" i="3"/>
  <c r="E42" i="3"/>
  <c r="F42" i="3"/>
  <c r="G42" i="3"/>
  <c r="H42" i="3"/>
  <c r="I42" i="3"/>
  <c r="J42" i="3"/>
  <c r="K42" i="3"/>
  <c r="B43" i="3"/>
  <c r="C43" i="3"/>
  <c r="D43" i="3"/>
  <c r="E43" i="3"/>
  <c r="F43" i="3"/>
  <c r="G43" i="3"/>
  <c r="H43" i="3"/>
  <c r="I43" i="3"/>
  <c r="J43" i="3"/>
  <c r="K43" i="3"/>
  <c r="B44" i="3"/>
  <c r="C44" i="3"/>
  <c r="D44" i="3"/>
  <c r="E44" i="3"/>
  <c r="F44" i="3"/>
  <c r="G44" i="3"/>
  <c r="H44" i="3"/>
  <c r="I44" i="3"/>
  <c r="J44" i="3"/>
  <c r="K44" i="3"/>
  <c r="B45" i="3"/>
  <c r="C45" i="3"/>
  <c r="D45" i="3"/>
  <c r="E45" i="3"/>
  <c r="F45" i="3"/>
  <c r="G45" i="3"/>
  <c r="H45" i="3"/>
  <c r="I45" i="3"/>
  <c r="J45" i="3"/>
  <c r="K45" i="3"/>
  <c r="B46" i="3"/>
  <c r="C46" i="3"/>
  <c r="D46" i="3"/>
  <c r="E46" i="3"/>
  <c r="F46" i="3"/>
  <c r="G46" i="3"/>
  <c r="H46" i="3"/>
  <c r="I46" i="3"/>
  <c r="J46" i="3"/>
  <c r="K46" i="3"/>
  <c r="B47" i="3"/>
  <c r="C47" i="3"/>
  <c r="D47" i="3"/>
  <c r="E47" i="3"/>
  <c r="F47" i="3"/>
  <c r="G47" i="3"/>
  <c r="H47" i="3"/>
  <c r="I47" i="3"/>
  <c r="J47" i="3"/>
  <c r="K47" i="3"/>
  <c r="B48" i="3"/>
  <c r="C48" i="3"/>
  <c r="D48" i="3"/>
  <c r="E48" i="3"/>
  <c r="F48" i="3"/>
  <c r="G48" i="3"/>
  <c r="H48" i="3"/>
  <c r="I48" i="3"/>
  <c r="J48" i="3"/>
  <c r="K48" i="3"/>
  <c r="B49" i="3"/>
  <c r="C49" i="3"/>
  <c r="D49" i="3"/>
  <c r="E49" i="3"/>
  <c r="F49" i="3"/>
  <c r="G49" i="3"/>
  <c r="H49" i="3"/>
  <c r="I49" i="3"/>
  <c r="J49" i="3"/>
  <c r="K49" i="3"/>
  <c r="B50" i="3"/>
  <c r="C50" i="3"/>
  <c r="D50" i="3"/>
  <c r="E50" i="3"/>
  <c r="F50" i="3"/>
  <c r="G50" i="3"/>
  <c r="H50" i="3"/>
  <c r="I50" i="3"/>
  <c r="J50" i="3"/>
  <c r="K50" i="3"/>
  <c r="B51" i="3"/>
  <c r="C51" i="3"/>
  <c r="D51" i="3"/>
  <c r="E51" i="3"/>
  <c r="F51" i="3"/>
  <c r="G51" i="3"/>
  <c r="H51" i="3"/>
  <c r="I51" i="3"/>
  <c r="J51" i="3"/>
  <c r="K51" i="3"/>
  <c r="B52" i="3"/>
  <c r="C52" i="3"/>
  <c r="D52" i="3"/>
  <c r="E52" i="3"/>
  <c r="F52" i="3"/>
  <c r="G52" i="3"/>
  <c r="H52" i="3"/>
  <c r="I52" i="3"/>
  <c r="J52" i="3"/>
  <c r="K52" i="3"/>
  <c r="B53" i="3"/>
  <c r="C53" i="3"/>
  <c r="D53" i="3"/>
  <c r="E53" i="3"/>
  <c r="F53" i="3"/>
  <c r="G53" i="3"/>
  <c r="H53" i="3"/>
  <c r="I53" i="3"/>
  <c r="J53" i="3"/>
  <c r="K53" i="3"/>
  <c r="B54" i="3"/>
  <c r="C54" i="3"/>
  <c r="D54" i="3"/>
  <c r="E54" i="3"/>
  <c r="F54" i="3"/>
  <c r="G54" i="3"/>
  <c r="H54" i="3"/>
  <c r="I54" i="3"/>
  <c r="J54" i="3"/>
  <c r="K54" i="3"/>
  <c r="B55" i="3"/>
  <c r="C55" i="3"/>
  <c r="D55" i="3"/>
  <c r="E55" i="3"/>
  <c r="F55" i="3"/>
  <c r="G55" i="3"/>
  <c r="H55" i="3"/>
  <c r="I55" i="3"/>
  <c r="J55" i="3"/>
  <c r="K55" i="3"/>
  <c r="B56" i="3"/>
  <c r="C56" i="3"/>
  <c r="D56" i="3"/>
  <c r="E56" i="3"/>
  <c r="F56" i="3"/>
  <c r="G56" i="3"/>
  <c r="H56" i="3"/>
  <c r="I56" i="3"/>
  <c r="J56" i="3"/>
  <c r="K56" i="3"/>
  <c r="B57" i="3"/>
  <c r="C57" i="3"/>
  <c r="D57" i="3"/>
  <c r="E57" i="3"/>
  <c r="F57" i="3"/>
  <c r="G57" i="3"/>
  <c r="H57" i="3"/>
  <c r="I57" i="3"/>
  <c r="J57" i="3"/>
  <c r="K57" i="3"/>
  <c r="B58" i="3"/>
  <c r="C58" i="3"/>
  <c r="D58" i="3"/>
  <c r="E58" i="3"/>
  <c r="F58" i="3"/>
  <c r="G58" i="3"/>
  <c r="H58" i="3"/>
  <c r="I58" i="3"/>
  <c r="J58" i="3"/>
  <c r="K58" i="3"/>
  <c r="B59" i="3"/>
  <c r="C59" i="3"/>
  <c r="D59" i="3"/>
  <c r="E59" i="3"/>
  <c r="F59" i="3"/>
  <c r="G59" i="3"/>
  <c r="H59" i="3"/>
  <c r="I59" i="3"/>
  <c r="J59" i="3"/>
  <c r="K59" i="3"/>
  <c r="B60" i="3"/>
  <c r="C60" i="3"/>
  <c r="D60" i="3"/>
  <c r="E60" i="3"/>
  <c r="F60" i="3"/>
  <c r="G60" i="3"/>
  <c r="H60" i="3"/>
  <c r="I60" i="3"/>
  <c r="J60" i="3"/>
  <c r="K60" i="3"/>
  <c r="B61" i="3"/>
  <c r="C61" i="3"/>
  <c r="D61" i="3"/>
  <c r="E61" i="3"/>
  <c r="F61" i="3"/>
  <c r="G61" i="3"/>
  <c r="H61" i="3"/>
  <c r="I61" i="3"/>
  <c r="J61" i="3"/>
  <c r="K61" i="3"/>
  <c r="B62" i="3"/>
  <c r="C62" i="3"/>
  <c r="D62" i="3"/>
  <c r="E62" i="3"/>
  <c r="F62" i="3"/>
  <c r="G62" i="3"/>
  <c r="H62" i="3"/>
  <c r="I62" i="3"/>
  <c r="J62" i="3"/>
  <c r="K62" i="3"/>
  <c r="K3" i="3"/>
  <c r="J3" i="3"/>
  <c r="I3" i="3"/>
  <c r="H3" i="3"/>
  <c r="G3" i="3"/>
  <c r="F3" i="3"/>
  <c r="E3" i="3"/>
  <c r="D3" i="3"/>
  <c r="C3" i="3"/>
  <c r="B3" i="3"/>
  <c r="K2" i="3"/>
  <c r="J2" i="3"/>
  <c r="I2" i="3"/>
  <c r="H2" i="3"/>
  <c r="G2" i="3"/>
  <c r="F2" i="3"/>
  <c r="E2" i="3"/>
  <c r="E67" i="3" s="1"/>
  <c r="E130" i="3" s="1"/>
  <c r="D2" i="3"/>
  <c r="C2" i="3"/>
  <c r="B2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3" i="3"/>
  <c r="L71" i="3"/>
  <c r="L64" i="3"/>
  <c r="L69" i="3"/>
  <c r="D142" i="3"/>
  <c r="L70" i="3"/>
  <c r="L68" i="3"/>
  <c r="D2" i="15" l="1"/>
  <c r="D6" i="15" s="1"/>
  <c r="D3" i="19"/>
  <c r="D16" i="19" s="1"/>
  <c r="D3" i="4"/>
  <c r="D3" i="18" s="1"/>
  <c r="D16" i="18" s="1"/>
  <c r="K2" i="15"/>
  <c r="K6" i="15" s="1"/>
  <c r="K3" i="19"/>
  <c r="K16" i="19" s="1"/>
  <c r="K3" i="4"/>
  <c r="K3" i="18" s="1"/>
  <c r="K16" i="18" s="1"/>
  <c r="C2" i="15"/>
  <c r="C6" i="15" s="1"/>
  <c r="C3" i="19"/>
  <c r="C16" i="19" s="1"/>
  <c r="C3" i="4"/>
  <c r="C3" i="18" s="1"/>
  <c r="C16" i="18" s="1"/>
  <c r="E2" i="15"/>
  <c r="E6" i="15" s="1"/>
  <c r="E3" i="19"/>
  <c r="E16" i="19" s="1"/>
  <c r="E3" i="4"/>
  <c r="E3" i="18" s="1"/>
  <c r="E16" i="18" s="1"/>
  <c r="A53" i="1"/>
  <c r="A52" i="14"/>
  <c r="A21" i="1"/>
  <c r="A20" i="14"/>
  <c r="I73" i="1"/>
  <c r="I72" i="14"/>
  <c r="K68" i="1"/>
  <c r="K67" i="14"/>
  <c r="C64" i="1"/>
  <c r="C63" i="14"/>
  <c r="E59" i="1"/>
  <c r="E58" i="14"/>
  <c r="C56" i="1"/>
  <c r="C55" i="14"/>
  <c r="I48" i="14"/>
  <c r="I49" i="1"/>
  <c r="I45" i="1"/>
  <c r="I44" i="14"/>
  <c r="K40" i="1"/>
  <c r="K39" i="14"/>
  <c r="C36" i="1"/>
  <c r="C35" i="14"/>
  <c r="G30" i="1"/>
  <c r="G29" i="14"/>
  <c r="I24" i="14"/>
  <c r="I25" i="1"/>
  <c r="A52" i="1"/>
  <c r="A51" i="14"/>
  <c r="A20" i="1"/>
  <c r="A19" i="14"/>
  <c r="H73" i="1"/>
  <c r="H72" i="14"/>
  <c r="J68" i="1"/>
  <c r="J67" i="14"/>
  <c r="B64" i="1"/>
  <c r="B63" i="14"/>
  <c r="J60" i="1"/>
  <c r="J59" i="14"/>
  <c r="B56" i="1"/>
  <c r="B55" i="14"/>
  <c r="B52" i="1"/>
  <c r="B51" i="14"/>
  <c r="F46" i="1"/>
  <c r="F45" i="14"/>
  <c r="H41" i="1"/>
  <c r="H40" i="14"/>
  <c r="J36" i="1"/>
  <c r="J35" i="14"/>
  <c r="H33" i="1"/>
  <c r="H32" i="14"/>
  <c r="J28" i="1"/>
  <c r="J27" i="14"/>
  <c r="B24" i="1"/>
  <c r="B23" i="14"/>
  <c r="B20" i="1"/>
  <c r="B19" i="14"/>
  <c r="A59" i="1"/>
  <c r="A58" i="14"/>
  <c r="A35" i="1"/>
  <c r="A34" i="14"/>
  <c r="A19" i="1"/>
  <c r="A18" i="14"/>
  <c r="F17" i="1"/>
  <c r="F16" i="14"/>
  <c r="K74" i="14"/>
  <c r="K75" i="1"/>
  <c r="C75" i="1"/>
  <c r="C74" i="14"/>
  <c r="G73" i="1"/>
  <c r="G72" i="14"/>
  <c r="I72" i="1"/>
  <c r="I71" i="14"/>
  <c r="K71" i="1"/>
  <c r="K70" i="14"/>
  <c r="C71" i="1"/>
  <c r="C70" i="14"/>
  <c r="E70" i="1"/>
  <c r="E69" i="14"/>
  <c r="G69" i="1"/>
  <c r="G68" i="14"/>
  <c r="I68" i="1"/>
  <c r="I67" i="14"/>
  <c r="K67" i="1"/>
  <c r="K66" i="14"/>
  <c r="C66" i="14"/>
  <c r="C67" i="1"/>
  <c r="E66" i="1"/>
  <c r="E65" i="14"/>
  <c r="G65" i="1"/>
  <c r="G64" i="14"/>
  <c r="I64" i="1"/>
  <c r="I63" i="14"/>
  <c r="K63" i="1"/>
  <c r="K62" i="14"/>
  <c r="C62" i="14"/>
  <c r="C63" i="1"/>
  <c r="E62" i="1"/>
  <c r="E61" i="14"/>
  <c r="G61" i="1"/>
  <c r="G60" i="14"/>
  <c r="I60" i="1"/>
  <c r="I59" i="14"/>
  <c r="K58" i="14"/>
  <c r="K59" i="1"/>
  <c r="C59" i="1"/>
  <c r="C58" i="14"/>
  <c r="E58" i="1"/>
  <c r="E57" i="14"/>
  <c r="G57" i="1"/>
  <c r="G56" i="14"/>
  <c r="I56" i="1"/>
  <c r="I55" i="14"/>
  <c r="K55" i="1"/>
  <c r="K54" i="14"/>
  <c r="C55" i="1"/>
  <c r="C54" i="14"/>
  <c r="E54" i="1"/>
  <c r="E53" i="14"/>
  <c r="G53" i="1"/>
  <c r="G52" i="14"/>
  <c r="I52" i="1"/>
  <c r="I51" i="14"/>
  <c r="K51" i="1"/>
  <c r="K50" i="14"/>
  <c r="C50" i="14"/>
  <c r="C51" i="1"/>
  <c r="E50" i="1"/>
  <c r="E49" i="14"/>
  <c r="G49" i="1"/>
  <c r="G48" i="14"/>
  <c r="I48" i="1"/>
  <c r="I47" i="14"/>
  <c r="K47" i="1"/>
  <c r="K46" i="14"/>
  <c r="C47" i="1"/>
  <c r="C46" i="14"/>
  <c r="E46" i="1"/>
  <c r="E45" i="14"/>
  <c r="G45" i="1"/>
  <c r="G44" i="14"/>
  <c r="I44" i="1"/>
  <c r="I43" i="14"/>
  <c r="K42" i="14"/>
  <c r="K43" i="1"/>
  <c r="C42" i="14"/>
  <c r="C43" i="1"/>
  <c r="E42" i="1"/>
  <c r="E41" i="14"/>
  <c r="G41" i="1"/>
  <c r="G40" i="14"/>
  <c r="I40" i="1"/>
  <c r="I39" i="14"/>
  <c r="K38" i="14"/>
  <c r="K39" i="1"/>
  <c r="C39" i="1"/>
  <c r="C38" i="14"/>
  <c r="E38" i="1"/>
  <c r="E37" i="14"/>
  <c r="G37" i="1"/>
  <c r="G36" i="14"/>
  <c r="I36" i="1"/>
  <c r="I35" i="14"/>
  <c r="K35" i="1"/>
  <c r="K34" i="14"/>
  <c r="C34" i="14"/>
  <c r="C35" i="1"/>
  <c r="E34" i="1"/>
  <c r="E33" i="14"/>
  <c r="G33" i="1"/>
  <c r="G32" i="14"/>
  <c r="I32" i="1"/>
  <c r="I31" i="14"/>
  <c r="K31" i="1"/>
  <c r="K30" i="14"/>
  <c r="C30" i="14"/>
  <c r="C31" i="1"/>
  <c r="E30" i="1"/>
  <c r="E29" i="14"/>
  <c r="G29" i="1"/>
  <c r="G28" i="14"/>
  <c r="I28" i="1"/>
  <c r="I27" i="14"/>
  <c r="K26" i="14"/>
  <c r="K27" i="1"/>
  <c r="C27" i="1"/>
  <c r="C26" i="14"/>
  <c r="E26" i="1"/>
  <c r="E25" i="14"/>
  <c r="G25" i="1"/>
  <c r="G24" i="14"/>
  <c r="I24" i="1"/>
  <c r="I23" i="14"/>
  <c r="K23" i="1"/>
  <c r="K22" i="14"/>
  <c r="C23" i="1"/>
  <c r="C22" i="14"/>
  <c r="E21" i="14"/>
  <c r="E22" i="1"/>
  <c r="G20" i="14"/>
  <c r="G21" i="1"/>
  <c r="I20" i="1"/>
  <c r="I19" i="14"/>
  <c r="K18" i="14"/>
  <c r="K19" i="1"/>
  <c r="C18" i="14"/>
  <c r="C19" i="1"/>
  <c r="E17" i="14"/>
  <c r="E18" i="1"/>
  <c r="A61" i="1"/>
  <c r="A60" i="14"/>
  <c r="F16" i="1"/>
  <c r="F15" i="14"/>
  <c r="G74" i="1"/>
  <c r="G73" i="14"/>
  <c r="E71" i="1"/>
  <c r="E70" i="14"/>
  <c r="E67" i="1"/>
  <c r="E66" i="14"/>
  <c r="E63" i="1"/>
  <c r="E62" i="14"/>
  <c r="C60" i="1"/>
  <c r="C59" i="14"/>
  <c r="K56" i="1"/>
  <c r="K55" i="14"/>
  <c r="I53" i="1"/>
  <c r="I52" i="14"/>
  <c r="G50" i="1"/>
  <c r="G49" i="14"/>
  <c r="G46" i="1"/>
  <c r="G45" i="14"/>
  <c r="G42" i="1"/>
  <c r="G41" i="14"/>
  <c r="C40" i="1"/>
  <c r="C39" i="14"/>
  <c r="I36" i="14"/>
  <c r="I37" i="1"/>
  <c r="I32" i="14"/>
  <c r="I33" i="1"/>
  <c r="C32" i="1"/>
  <c r="C31" i="14"/>
  <c r="E27" i="1"/>
  <c r="E26" i="14"/>
  <c r="C24" i="1"/>
  <c r="C23" i="14"/>
  <c r="K19" i="14"/>
  <c r="K20" i="1"/>
  <c r="A60" i="1"/>
  <c r="A59" i="14"/>
  <c r="A28" i="1"/>
  <c r="A27" i="14"/>
  <c r="B76" i="1"/>
  <c r="B75" i="14"/>
  <c r="J72" i="1"/>
  <c r="J71" i="14"/>
  <c r="H69" i="1"/>
  <c r="H68" i="14"/>
  <c r="H65" i="1"/>
  <c r="H64" i="14"/>
  <c r="H61" i="1"/>
  <c r="H60" i="14"/>
  <c r="J56" i="1"/>
  <c r="J55" i="14"/>
  <c r="H53" i="1"/>
  <c r="H52" i="14"/>
  <c r="H49" i="1"/>
  <c r="H48" i="14"/>
  <c r="B44" i="1"/>
  <c r="B43" i="14"/>
  <c r="F41" i="14"/>
  <c r="F42" i="1"/>
  <c r="H37" i="1"/>
  <c r="H36" i="14"/>
  <c r="F34" i="1"/>
  <c r="F33" i="14"/>
  <c r="D31" i="1"/>
  <c r="D30" i="14"/>
  <c r="H29" i="1"/>
  <c r="H28" i="14"/>
  <c r="H25" i="1"/>
  <c r="H24" i="14"/>
  <c r="H20" i="14"/>
  <c r="H21" i="1"/>
  <c r="A75" i="1"/>
  <c r="A74" i="14"/>
  <c r="A67" i="1"/>
  <c r="A66" i="14"/>
  <c r="A51" i="1"/>
  <c r="A50" i="14"/>
  <c r="A43" i="1"/>
  <c r="A42" i="14"/>
  <c r="A27" i="1"/>
  <c r="A26" i="14"/>
  <c r="H16" i="1"/>
  <c r="H15" i="14"/>
  <c r="I76" i="1"/>
  <c r="I75" i="14"/>
  <c r="E74" i="1"/>
  <c r="E73" i="14"/>
  <c r="A74" i="1"/>
  <c r="A73" i="14"/>
  <c r="A66" i="1"/>
  <c r="A65" i="14"/>
  <c r="A58" i="1"/>
  <c r="A57" i="14"/>
  <c r="A50" i="1"/>
  <c r="A49" i="14"/>
  <c r="A42" i="1"/>
  <c r="A41" i="14"/>
  <c r="A34" i="1"/>
  <c r="A33" i="14"/>
  <c r="A26" i="1"/>
  <c r="A25" i="14"/>
  <c r="A17" i="14"/>
  <c r="A18" i="1"/>
  <c r="I16" i="1"/>
  <c r="I15" i="14"/>
  <c r="G17" i="1"/>
  <c r="G16" i="14"/>
  <c r="H76" i="1"/>
  <c r="H75" i="14"/>
  <c r="J75" i="1"/>
  <c r="J74" i="14"/>
  <c r="B75" i="1"/>
  <c r="B74" i="14"/>
  <c r="D74" i="1"/>
  <c r="D73" i="14"/>
  <c r="F73" i="1"/>
  <c r="F72" i="14"/>
  <c r="H72" i="1"/>
  <c r="H71" i="14"/>
  <c r="J71" i="1"/>
  <c r="J70" i="14"/>
  <c r="B71" i="1"/>
  <c r="B70" i="14"/>
  <c r="D70" i="1"/>
  <c r="D69" i="14"/>
  <c r="F69" i="1"/>
  <c r="F68" i="14"/>
  <c r="H67" i="14"/>
  <c r="H68" i="1"/>
  <c r="J67" i="1"/>
  <c r="J66" i="14"/>
  <c r="B67" i="1"/>
  <c r="B66" i="14"/>
  <c r="D66" i="1"/>
  <c r="D65" i="14"/>
  <c r="F65" i="1"/>
  <c r="F64" i="14"/>
  <c r="H64" i="1"/>
  <c r="H63" i="14"/>
  <c r="J63" i="1"/>
  <c r="J62" i="14"/>
  <c r="B63" i="1"/>
  <c r="B62" i="14"/>
  <c r="D62" i="1"/>
  <c r="D61" i="14"/>
  <c r="F61" i="1"/>
  <c r="F60" i="14"/>
  <c r="H60" i="1"/>
  <c r="H59" i="14"/>
  <c r="J59" i="1"/>
  <c r="J58" i="14"/>
  <c r="B59" i="1"/>
  <c r="B58" i="14"/>
  <c r="D58" i="1"/>
  <c r="D57" i="14"/>
  <c r="F57" i="1"/>
  <c r="F56" i="14"/>
  <c r="H56" i="1"/>
  <c r="H55" i="14"/>
  <c r="J55" i="1"/>
  <c r="J54" i="14"/>
  <c r="B55" i="1"/>
  <c r="B54" i="14"/>
  <c r="D54" i="1"/>
  <c r="D53" i="14"/>
  <c r="F53" i="1"/>
  <c r="F52" i="14"/>
  <c r="H51" i="14"/>
  <c r="H52" i="1"/>
  <c r="J51" i="1"/>
  <c r="J50" i="14"/>
  <c r="B51" i="1"/>
  <c r="B50" i="14"/>
  <c r="D50" i="1"/>
  <c r="D49" i="14"/>
  <c r="F49" i="1"/>
  <c r="F48" i="14"/>
  <c r="H47" i="14"/>
  <c r="H48" i="1"/>
  <c r="J47" i="1"/>
  <c r="J46" i="14"/>
  <c r="B47" i="1"/>
  <c r="B46" i="14"/>
  <c r="D46" i="1"/>
  <c r="D45" i="14"/>
  <c r="F45" i="1"/>
  <c r="F44" i="14"/>
  <c r="H44" i="1"/>
  <c r="H43" i="14"/>
  <c r="J43" i="1"/>
  <c r="J42" i="14"/>
  <c r="B43" i="1"/>
  <c r="B42" i="14"/>
  <c r="D42" i="1"/>
  <c r="D41" i="14"/>
  <c r="F41" i="1"/>
  <c r="F40" i="14"/>
  <c r="H40" i="1"/>
  <c r="H39" i="14"/>
  <c r="J39" i="1"/>
  <c r="J38" i="14"/>
  <c r="B39" i="1"/>
  <c r="B38" i="14"/>
  <c r="D38" i="1"/>
  <c r="D37" i="14"/>
  <c r="F37" i="1"/>
  <c r="F36" i="14"/>
  <c r="H35" i="14"/>
  <c r="H36" i="1"/>
  <c r="J35" i="1"/>
  <c r="J34" i="14"/>
  <c r="B35" i="1"/>
  <c r="B34" i="14"/>
  <c r="D34" i="1"/>
  <c r="D33" i="14"/>
  <c r="F33" i="1"/>
  <c r="F32" i="14"/>
  <c r="H32" i="1"/>
  <c r="H31" i="14"/>
  <c r="J31" i="1"/>
  <c r="J30" i="14"/>
  <c r="B31" i="1"/>
  <c r="B30" i="14"/>
  <c r="D30" i="1"/>
  <c r="D29" i="14"/>
  <c r="F29" i="1"/>
  <c r="F28" i="14"/>
  <c r="H28" i="1"/>
  <c r="H27" i="14"/>
  <c r="J27" i="1"/>
  <c r="J26" i="14"/>
  <c r="B27" i="1"/>
  <c r="B26" i="14"/>
  <c r="D26" i="1"/>
  <c r="D25" i="14"/>
  <c r="F25" i="1"/>
  <c r="F24" i="14"/>
  <c r="H24" i="1"/>
  <c r="H23" i="14"/>
  <c r="J23" i="1"/>
  <c r="J22" i="14"/>
  <c r="B23" i="1"/>
  <c r="B22" i="14"/>
  <c r="D21" i="14"/>
  <c r="D22" i="1"/>
  <c r="F21" i="1"/>
  <c r="F20" i="14"/>
  <c r="H19" i="14"/>
  <c r="H20" i="1"/>
  <c r="J19" i="1"/>
  <c r="J18" i="14"/>
  <c r="B19" i="1"/>
  <c r="B18" i="14"/>
  <c r="D18" i="1"/>
  <c r="D17" i="14"/>
  <c r="F67" i="3"/>
  <c r="F130" i="3" s="1"/>
  <c r="A45" i="1"/>
  <c r="A44" i="14"/>
  <c r="K76" i="1"/>
  <c r="K75" i="14"/>
  <c r="C72" i="1"/>
  <c r="C71" i="14"/>
  <c r="G66" i="1"/>
  <c r="G65" i="14"/>
  <c r="G58" i="1"/>
  <c r="G57" i="14"/>
  <c r="C52" i="1"/>
  <c r="C51" i="14"/>
  <c r="C48" i="1"/>
  <c r="C47" i="14"/>
  <c r="I41" i="1"/>
  <c r="I40" i="14"/>
  <c r="G34" i="1"/>
  <c r="G33" i="14"/>
  <c r="E23" i="1"/>
  <c r="E22" i="14"/>
  <c r="G15" i="14"/>
  <c r="G16" i="1"/>
  <c r="D71" i="1"/>
  <c r="D70" i="14"/>
  <c r="J64" i="1"/>
  <c r="J63" i="14"/>
  <c r="F58" i="1"/>
  <c r="F57" i="14"/>
  <c r="J52" i="1"/>
  <c r="J51" i="14"/>
  <c r="D47" i="1"/>
  <c r="D46" i="14"/>
  <c r="B40" i="1"/>
  <c r="B39" i="14"/>
  <c r="B28" i="1"/>
  <c r="B27" i="14"/>
  <c r="A41" i="1"/>
  <c r="A40" i="14"/>
  <c r="A24" i="14"/>
  <c r="A25" i="1"/>
  <c r="B16" i="1"/>
  <c r="B15" i="14"/>
  <c r="J16" i="1"/>
  <c r="J15" i="14"/>
  <c r="H16" i="14"/>
  <c r="H17" i="1"/>
  <c r="G76" i="1"/>
  <c r="G75" i="14"/>
  <c r="I75" i="1"/>
  <c r="I74" i="14"/>
  <c r="K74" i="1"/>
  <c r="K73" i="14"/>
  <c r="C74" i="1"/>
  <c r="C73" i="14"/>
  <c r="E73" i="1"/>
  <c r="E72" i="14"/>
  <c r="G72" i="1"/>
  <c r="G71" i="14"/>
  <c r="I71" i="1"/>
  <c r="I70" i="14"/>
  <c r="K70" i="1"/>
  <c r="K69" i="14"/>
  <c r="C70" i="1"/>
  <c r="C69" i="14"/>
  <c r="E69" i="1"/>
  <c r="E68" i="14"/>
  <c r="G68" i="1"/>
  <c r="G67" i="14"/>
  <c r="I67" i="1"/>
  <c r="I66" i="14"/>
  <c r="K66" i="1"/>
  <c r="K65" i="14"/>
  <c r="C66" i="1"/>
  <c r="C65" i="14"/>
  <c r="E65" i="1"/>
  <c r="E64" i="14"/>
  <c r="G64" i="1"/>
  <c r="G63" i="14"/>
  <c r="I63" i="1"/>
  <c r="I62" i="14"/>
  <c r="K62" i="1"/>
  <c r="K61" i="14"/>
  <c r="C62" i="1"/>
  <c r="C61" i="14"/>
  <c r="E61" i="1"/>
  <c r="E60" i="14"/>
  <c r="G60" i="1"/>
  <c r="G59" i="14"/>
  <c r="I59" i="1"/>
  <c r="I58" i="14"/>
  <c r="K58" i="1"/>
  <c r="K57" i="14"/>
  <c r="C58" i="1"/>
  <c r="C57" i="14"/>
  <c r="E56" i="14"/>
  <c r="E57" i="1"/>
  <c r="G56" i="1"/>
  <c r="G55" i="14"/>
  <c r="I55" i="1"/>
  <c r="I54" i="14"/>
  <c r="K54" i="1"/>
  <c r="K53" i="14"/>
  <c r="C54" i="1"/>
  <c r="C53" i="14"/>
  <c r="E53" i="1"/>
  <c r="E52" i="14"/>
  <c r="G52" i="1"/>
  <c r="G51" i="14"/>
  <c r="I51" i="1"/>
  <c r="I50" i="14"/>
  <c r="K50" i="1"/>
  <c r="K49" i="14"/>
  <c r="C50" i="1"/>
  <c r="C49" i="14"/>
  <c r="E49" i="1"/>
  <c r="E48" i="14"/>
  <c r="G48" i="1"/>
  <c r="G47" i="14"/>
  <c r="I47" i="1"/>
  <c r="I46" i="14"/>
  <c r="K46" i="1"/>
  <c r="K45" i="14"/>
  <c r="C46" i="1"/>
  <c r="C45" i="14"/>
  <c r="E45" i="1"/>
  <c r="E44" i="14"/>
  <c r="G44" i="1"/>
  <c r="G43" i="14"/>
  <c r="I43" i="1"/>
  <c r="I42" i="14"/>
  <c r="K42" i="1"/>
  <c r="K41" i="14"/>
  <c r="C42" i="1"/>
  <c r="C41" i="14"/>
  <c r="E41" i="1"/>
  <c r="E40" i="14"/>
  <c r="G40" i="1"/>
  <c r="G39" i="14"/>
  <c r="I39" i="1"/>
  <c r="I38" i="14"/>
  <c r="K38" i="1"/>
  <c r="K37" i="14"/>
  <c r="C38" i="1"/>
  <c r="C37" i="14"/>
  <c r="E37" i="1"/>
  <c r="E36" i="14"/>
  <c r="G36" i="1"/>
  <c r="G35" i="14"/>
  <c r="I35" i="1"/>
  <c r="I34" i="14"/>
  <c r="K34" i="1"/>
  <c r="K33" i="14"/>
  <c r="C34" i="1"/>
  <c r="C33" i="14"/>
  <c r="E33" i="1"/>
  <c r="E32" i="14"/>
  <c r="G32" i="1"/>
  <c r="G31" i="14"/>
  <c r="I31" i="1"/>
  <c r="I30" i="14"/>
  <c r="K30" i="1"/>
  <c r="K29" i="14"/>
  <c r="C30" i="1"/>
  <c r="C29" i="14"/>
  <c r="E29" i="1"/>
  <c r="E28" i="14"/>
  <c r="G28" i="1"/>
  <c r="G27" i="14"/>
  <c r="I27" i="1"/>
  <c r="I26" i="14"/>
  <c r="K26" i="1"/>
  <c r="K25" i="14"/>
  <c r="C26" i="1"/>
  <c r="C25" i="14"/>
  <c r="E25" i="1"/>
  <c r="E24" i="14"/>
  <c r="G24" i="1"/>
  <c r="G23" i="14"/>
  <c r="I23" i="1"/>
  <c r="I22" i="14"/>
  <c r="K22" i="1"/>
  <c r="K21" i="14"/>
  <c r="C21" i="14"/>
  <c r="C22" i="1"/>
  <c r="E20" i="14"/>
  <c r="E21" i="1"/>
  <c r="G19" i="14"/>
  <c r="G20" i="1"/>
  <c r="I19" i="1"/>
  <c r="I18" i="14"/>
  <c r="K17" i="14"/>
  <c r="K18" i="1"/>
  <c r="C17" i="14"/>
  <c r="C18" i="1"/>
  <c r="G67" i="3"/>
  <c r="G130" i="3" s="1"/>
  <c r="A68" i="3"/>
  <c r="A16" i="14"/>
  <c r="A17" i="1"/>
  <c r="C76" i="1"/>
  <c r="C75" i="14"/>
  <c r="C68" i="1"/>
  <c r="C67" i="14"/>
  <c r="G62" i="1"/>
  <c r="G61" i="14"/>
  <c r="G54" i="1"/>
  <c r="G53" i="14"/>
  <c r="C44" i="1"/>
  <c r="C43" i="14"/>
  <c r="K28" i="1"/>
  <c r="K27" i="14"/>
  <c r="A44" i="1"/>
  <c r="A43" i="14"/>
  <c r="D75" i="1"/>
  <c r="D74" i="14"/>
  <c r="D67" i="1"/>
  <c r="D66" i="14"/>
  <c r="B60" i="1"/>
  <c r="B59" i="14"/>
  <c r="F50" i="1"/>
  <c r="F49" i="14"/>
  <c r="D39" i="1"/>
  <c r="D38" i="14"/>
  <c r="D23" i="1"/>
  <c r="D22" i="14"/>
  <c r="A65" i="1"/>
  <c r="A64" i="14"/>
  <c r="A40" i="1"/>
  <c r="A39" i="14"/>
  <c r="K15" i="14"/>
  <c r="K16" i="1"/>
  <c r="I16" i="14"/>
  <c r="I17" i="1"/>
  <c r="F76" i="1"/>
  <c r="F75" i="14"/>
  <c r="H75" i="1"/>
  <c r="H74" i="14"/>
  <c r="J74" i="1"/>
  <c r="J73" i="14"/>
  <c r="B74" i="1"/>
  <c r="B73" i="14"/>
  <c r="D73" i="1"/>
  <c r="D72" i="14"/>
  <c r="F72" i="1"/>
  <c r="F71" i="14"/>
  <c r="H71" i="1"/>
  <c r="H70" i="14"/>
  <c r="J70" i="1"/>
  <c r="J69" i="14"/>
  <c r="B70" i="1"/>
  <c r="B69" i="14"/>
  <c r="D69" i="1"/>
  <c r="D68" i="14"/>
  <c r="F68" i="1"/>
  <c r="F67" i="14"/>
  <c r="H67" i="1"/>
  <c r="H66" i="14"/>
  <c r="J66" i="1"/>
  <c r="J65" i="14"/>
  <c r="B66" i="1"/>
  <c r="B65" i="14"/>
  <c r="D65" i="1"/>
  <c r="D64" i="14"/>
  <c r="F64" i="1"/>
  <c r="F63" i="14"/>
  <c r="H63" i="1"/>
  <c r="H62" i="14"/>
  <c r="J62" i="1"/>
  <c r="J61" i="14"/>
  <c r="B62" i="1"/>
  <c r="B61" i="14"/>
  <c r="D61" i="1"/>
  <c r="D60" i="14"/>
  <c r="F60" i="1"/>
  <c r="F59" i="14"/>
  <c r="H59" i="1"/>
  <c r="H58" i="14"/>
  <c r="J58" i="1"/>
  <c r="J57" i="14"/>
  <c r="B58" i="1"/>
  <c r="B57" i="14"/>
  <c r="D57" i="1"/>
  <c r="D56" i="14"/>
  <c r="F56" i="1"/>
  <c r="F55" i="14"/>
  <c r="H55" i="1"/>
  <c r="H54" i="14"/>
  <c r="J54" i="1"/>
  <c r="J53" i="14"/>
  <c r="B54" i="1"/>
  <c r="B53" i="14"/>
  <c r="D53" i="1"/>
  <c r="D52" i="14"/>
  <c r="F52" i="1"/>
  <c r="F51" i="14"/>
  <c r="H51" i="1"/>
  <c r="H50" i="14"/>
  <c r="J50" i="1"/>
  <c r="J49" i="14"/>
  <c r="B50" i="1"/>
  <c r="B49" i="14"/>
  <c r="D49" i="1"/>
  <c r="D48" i="14"/>
  <c r="F48" i="1"/>
  <c r="F47" i="14"/>
  <c r="H47" i="1"/>
  <c r="H46" i="14"/>
  <c r="J46" i="1"/>
  <c r="J45" i="14"/>
  <c r="B46" i="1"/>
  <c r="B45" i="14"/>
  <c r="D45" i="1"/>
  <c r="D44" i="14"/>
  <c r="F44" i="1"/>
  <c r="F43" i="14"/>
  <c r="H43" i="1"/>
  <c r="H42" i="14"/>
  <c r="J42" i="1"/>
  <c r="J41" i="14"/>
  <c r="B42" i="1"/>
  <c r="B41" i="14"/>
  <c r="D41" i="1"/>
  <c r="D40" i="14"/>
  <c r="F40" i="1"/>
  <c r="F39" i="14"/>
  <c r="H39" i="1"/>
  <c r="H38" i="14"/>
  <c r="J38" i="1"/>
  <c r="J37" i="14"/>
  <c r="B38" i="1"/>
  <c r="B37" i="14"/>
  <c r="D37" i="1"/>
  <c r="D36" i="14"/>
  <c r="F36" i="1"/>
  <c r="F35" i="14"/>
  <c r="H35" i="1"/>
  <c r="H34" i="14"/>
  <c r="J34" i="1"/>
  <c r="J33" i="14"/>
  <c r="B33" i="14"/>
  <c r="B34" i="1"/>
  <c r="D33" i="1"/>
  <c r="D32" i="14"/>
  <c r="F32" i="1"/>
  <c r="F31" i="14"/>
  <c r="H31" i="1"/>
  <c r="H30" i="14"/>
  <c r="J30" i="1"/>
  <c r="J29" i="14"/>
  <c r="B30" i="1"/>
  <c r="B29" i="14"/>
  <c r="D29" i="1"/>
  <c r="D28" i="14"/>
  <c r="F28" i="1"/>
  <c r="F27" i="14"/>
  <c r="H27" i="1"/>
  <c r="H26" i="14"/>
  <c r="J26" i="1"/>
  <c r="J25" i="14"/>
  <c r="B26" i="1"/>
  <c r="B25" i="14"/>
  <c r="D25" i="1"/>
  <c r="D24" i="14"/>
  <c r="F24" i="1"/>
  <c r="F23" i="14"/>
  <c r="H23" i="1"/>
  <c r="H22" i="14"/>
  <c r="J22" i="1"/>
  <c r="J21" i="14"/>
  <c r="B21" i="14"/>
  <c r="B22" i="1"/>
  <c r="D20" i="14"/>
  <c r="D21" i="1"/>
  <c r="F20" i="1"/>
  <c r="F19" i="14"/>
  <c r="H19" i="1"/>
  <c r="H18" i="14"/>
  <c r="J18" i="1"/>
  <c r="J17" i="14"/>
  <c r="B18" i="1"/>
  <c r="B17" i="14"/>
  <c r="H67" i="3"/>
  <c r="H130" i="3" s="1"/>
  <c r="A69" i="1"/>
  <c r="A68" i="14"/>
  <c r="A28" i="14"/>
  <c r="A29" i="1"/>
  <c r="E75" i="1"/>
  <c r="E74" i="14"/>
  <c r="I69" i="1"/>
  <c r="I68" i="14"/>
  <c r="K64" i="1"/>
  <c r="K63" i="14"/>
  <c r="K60" i="1"/>
  <c r="K59" i="14"/>
  <c r="E55" i="1"/>
  <c r="E54" i="14"/>
  <c r="K48" i="1"/>
  <c r="K47" i="14"/>
  <c r="K44" i="1"/>
  <c r="K43" i="14"/>
  <c r="G38" i="1"/>
  <c r="G37" i="14"/>
  <c r="E35" i="1"/>
  <c r="E34" i="14"/>
  <c r="I29" i="1"/>
  <c r="I28" i="14"/>
  <c r="G26" i="1"/>
  <c r="G25" i="14"/>
  <c r="G22" i="1"/>
  <c r="G21" i="14"/>
  <c r="C19" i="14"/>
  <c r="C20" i="1"/>
  <c r="E19" i="1"/>
  <c r="E18" i="14"/>
  <c r="A68" i="1"/>
  <c r="A67" i="14"/>
  <c r="E17" i="1"/>
  <c r="E16" i="14"/>
  <c r="B72" i="1"/>
  <c r="B71" i="14"/>
  <c r="B68" i="1"/>
  <c r="B67" i="14"/>
  <c r="D63" i="1"/>
  <c r="D62" i="14"/>
  <c r="D59" i="1"/>
  <c r="D58" i="14"/>
  <c r="D55" i="1"/>
  <c r="D54" i="14"/>
  <c r="J48" i="1"/>
  <c r="J47" i="14"/>
  <c r="J44" i="1"/>
  <c r="J43" i="14"/>
  <c r="J40" i="1"/>
  <c r="J39" i="14"/>
  <c r="B36" i="1"/>
  <c r="B35" i="14"/>
  <c r="B32" i="1"/>
  <c r="B31" i="14"/>
  <c r="F26" i="1"/>
  <c r="F25" i="14"/>
  <c r="F22" i="1"/>
  <c r="F21" i="14"/>
  <c r="D19" i="1"/>
  <c r="D18" i="14"/>
  <c r="A72" i="14"/>
  <c r="A73" i="1"/>
  <c r="A49" i="1"/>
  <c r="A48" i="14"/>
  <c r="A33" i="1"/>
  <c r="A32" i="14"/>
  <c r="A72" i="1"/>
  <c r="A71" i="14"/>
  <c r="A64" i="1"/>
  <c r="A63" i="14"/>
  <c r="A48" i="1"/>
  <c r="A47" i="14"/>
  <c r="A32" i="1"/>
  <c r="A31" i="14"/>
  <c r="A24" i="1"/>
  <c r="A23" i="14"/>
  <c r="A63" i="1"/>
  <c r="A62" i="14"/>
  <c r="A39" i="1"/>
  <c r="A38" i="14"/>
  <c r="D15" i="14"/>
  <c r="D16" i="1"/>
  <c r="J17" i="1"/>
  <c r="J16" i="14"/>
  <c r="G75" i="1"/>
  <c r="G74" i="14"/>
  <c r="K73" i="1"/>
  <c r="K72" i="14"/>
  <c r="C73" i="1"/>
  <c r="C72" i="14"/>
  <c r="E72" i="1"/>
  <c r="E71" i="14"/>
  <c r="G71" i="1"/>
  <c r="G70" i="14"/>
  <c r="I70" i="1"/>
  <c r="I69" i="14"/>
  <c r="K69" i="1"/>
  <c r="K68" i="14"/>
  <c r="C69" i="1"/>
  <c r="C68" i="14"/>
  <c r="E68" i="1"/>
  <c r="E67" i="14"/>
  <c r="G67" i="1"/>
  <c r="G66" i="14"/>
  <c r="I66" i="1"/>
  <c r="I65" i="14"/>
  <c r="K65" i="1"/>
  <c r="K64" i="14"/>
  <c r="C65" i="1"/>
  <c r="C64" i="14"/>
  <c r="E64" i="1"/>
  <c r="E63" i="14"/>
  <c r="G63" i="1"/>
  <c r="G62" i="14"/>
  <c r="I62" i="1"/>
  <c r="I61" i="14"/>
  <c r="K61" i="1"/>
  <c r="K60" i="14"/>
  <c r="C61" i="1"/>
  <c r="C60" i="14"/>
  <c r="E60" i="1"/>
  <c r="E59" i="14"/>
  <c r="G59" i="1"/>
  <c r="G58" i="14"/>
  <c r="I58" i="1"/>
  <c r="I57" i="14"/>
  <c r="K57" i="1"/>
  <c r="K56" i="14"/>
  <c r="C57" i="1"/>
  <c r="C56" i="14"/>
  <c r="E56" i="1"/>
  <c r="E55" i="14"/>
  <c r="G55" i="1"/>
  <c r="G54" i="14"/>
  <c r="I54" i="1"/>
  <c r="I53" i="14"/>
  <c r="K53" i="1"/>
  <c r="K52" i="14"/>
  <c r="C53" i="1"/>
  <c r="C52" i="14"/>
  <c r="E52" i="1"/>
  <c r="E51" i="14"/>
  <c r="G51" i="1"/>
  <c r="G50" i="14"/>
  <c r="I50" i="1"/>
  <c r="I49" i="14"/>
  <c r="K49" i="1"/>
  <c r="K48" i="14"/>
  <c r="C49" i="1"/>
  <c r="C48" i="14"/>
  <c r="E48" i="1"/>
  <c r="E47" i="14"/>
  <c r="G47" i="1"/>
  <c r="G46" i="14"/>
  <c r="I46" i="1"/>
  <c r="I45" i="14"/>
  <c r="K45" i="1"/>
  <c r="K44" i="14"/>
  <c r="C45" i="1"/>
  <c r="C44" i="14"/>
  <c r="E44" i="1"/>
  <c r="E43" i="14"/>
  <c r="G42" i="14"/>
  <c r="G43" i="1"/>
  <c r="I42" i="1"/>
  <c r="I41" i="14"/>
  <c r="K41" i="1"/>
  <c r="K40" i="14"/>
  <c r="C41" i="1"/>
  <c r="C40" i="14"/>
  <c r="E40" i="1"/>
  <c r="E39" i="14"/>
  <c r="G38" i="14"/>
  <c r="G39" i="1"/>
  <c r="I38" i="1"/>
  <c r="I37" i="14"/>
  <c r="K37" i="1"/>
  <c r="K36" i="14"/>
  <c r="C37" i="1"/>
  <c r="C36" i="14"/>
  <c r="E36" i="1"/>
  <c r="E35" i="14"/>
  <c r="G34" i="14"/>
  <c r="G35" i="1"/>
  <c r="I34" i="1"/>
  <c r="I33" i="14"/>
  <c r="K33" i="1"/>
  <c r="K32" i="14"/>
  <c r="C33" i="1"/>
  <c r="C32" i="14"/>
  <c r="E32" i="1"/>
  <c r="E31" i="14"/>
  <c r="G30" i="14"/>
  <c r="G31" i="1"/>
  <c r="I30" i="1"/>
  <c r="I29" i="14"/>
  <c r="K29" i="1"/>
  <c r="K28" i="14"/>
  <c r="C29" i="1"/>
  <c r="C28" i="14"/>
  <c r="E28" i="1"/>
  <c r="E27" i="14"/>
  <c r="G27" i="1"/>
  <c r="G26" i="14"/>
  <c r="I26" i="1"/>
  <c r="I25" i="14"/>
  <c r="K25" i="1"/>
  <c r="K24" i="14"/>
  <c r="C25" i="1"/>
  <c r="C24" i="14"/>
  <c r="E24" i="1"/>
  <c r="E23" i="14"/>
  <c r="G22" i="14"/>
  <c r="G23" i="1"/>
  <c r="I22" i="1"/>
  <c r="I21" i="14"/>
  <c r="K21" i="1"/>
  <c r="K20" i="14"/>
  <c r="C21" i="1"/>
  <c r="C20" i="14"/>
  <c r="E20" i="1"/>
  <c r="E19" i="14"/>
  <c r="G18" i="14"/>
  <c r="G19" i="1"/>
  <c r="I18" i="1"/>
  <c r="I17" i="14"/>
  <c r="I67" i="3"/>
  <c r="I130" i="3" s="1"/>
  <c r="A36" i="14"/>
  <c r="A37" i="1"/>
  <c r="D16" i="14"/>
  <c r="D17" i="1"/>
  <c r="K72" i="1"/>
  <c r="K71" i="14"/>
  <c r="G70" i="1"/>
  <c r="G69" i="14"/>
  <c r="I65" i="1"/>
  <c r="I64" i="14"/>
  <c r="I61" i="1"/>
  <c r="I60" i="14"/>
  <c r="I57" i="1"/>
  <c r="I56" i="14"/>
  <c r="K52" i="1"/>
  <c r="K51" i="14"/>
  <c r="E51" i="1"/>
  <c r="E50" i="14"/>
  <c r="E47" i="1"/>
  <c r="E46" i="14"/>
  <c r="E43" i="1"/>
  <c r="E42" i="14"/>
  <c r="E39" i="1"/>
  <c r="E38" i="14"/>
  <c r="K36" i="1"/>
  <c r="K35" i="14"/>
  <c r="K32" i="1"/>
  <c r="K31" i="14"/>
  <c r="E31" i="1"/>
  <c r="E30" i="14"/>
  <c r="C28" i="1"/>
  <c r="C27" i="14"/>
  <c r="K24" i="1"/>
  <c r="K23" i="14"/>
  <c r="I21" i="1"/>
  <c r="I20" i="14"/>
  <c r="G17" i="14"/>
  <c r="G18" i="1"/>
  <c r="A76" i="1"/>
  <c r="A75" i="14"/>
  <c r="A36" i="1"/>
  <c r="A35" i="14"/>
  <c r="J76" i="1"/>
  <c r="J75" i="14"/>
  <c r="F73" i="14"/>
  <c r="F74" i="1"/>
  <c r="F70" i="1"/>
  <c r="F69" i="14"/>
  <c r="F66" i="1"/>
  <c r="F65" i="14"/>
  <c r="F62" i="1"/>
  <c r="F61" i="14"/>
  <c r="H57" i="1"/>
  <c r="H56" i="14"/>
  <c r="F54" i="1"/>
  <c r="F53" i="14"/>
  <c r="D51" i="1"/>
  <c r="D50" i="14"/>
  <c r="B48" i="1"/>
  <c r="B47" i="14"/>
  <c r="H45" i="1"/>
  <c r="H44" i="14"/>
  <c r="D43" i="1"/>
  <c r="D42" i="14"/>
  <c r="F38" i="1"/>
  <c r="F37" i="14"/>
  <c r="D35" i="1"/>
  <c r="D34" i="14"/>
  <c r="J32" i="1"/>
  <c r="J31" i="14"/>
  <c r="F30" i="1"/>
  <c r="F29" i="14"/>
  <c r="D27" i="1"/>
  <c r="D26" i="14"/>
  <c r="J24" i="1"/>
  <c r="J23" i="14"/>
  <c r="J20" i="1"/>
  <c r="J19" i="14"/>
  <c r="F17" i="14"/>
  <c r="F18" i="1"/>
  <c r="A57" i="1"/>
  <c r="A56" i="14"/>
  <c r="A56" i="1"/>
  <c r="A55" i="14"/>
  <c r="C15" i="14"/>
  <c r="C16" i="1"/>
  <c r="A71" i="1"/>
  <c r="A70" i="14"/>
  <c r="A55" i="1"/>
  <c r="A54" i="14"/>
  <c r="A47" i="1"/>
  <c r="A46" i="14"/>
  <c r="A31" i="1"/>
  <c r="A30" i="14"/>
  <c r="A22" i="14"/>
  <c r="A23" i="1"/>
  <c r="B17" i="1"/>
  <c r="B16" i="14"/>
  <c r="E76" i="1"/>
  <c r="E75" i="14"/>
  <c r="I74" i="1"/>
  <c r="I73" i="14"/>
  <c r="A70" i="1"/>
  <c r="A69" i="14"/>
  <c r="A62" i="1"/>
  <c r="A61" i="14"/>
  <c r="A54" i="1"/>
  <c r="A53" i="14"/>
  <c r="A46" i="1"/>
  <c r="A45" i="14"/>
  <c r="A38" i="1"/>
  <c r="A37" i="14"/>
  <c r="A30" i="1"/>
  <c r="A29" i="14"/>
  <c r="A21" i="14"/>
  <c r="A22" i="1"/>
  <c r="E15" i="14"/>
  <c r="E16" i="1"/>
  <c r="C17" i="1"/>
  <c r="C16" i="14"/>
  <c r="K17" i="1"/>
  <c r="K16" i="14"/>
  <c r="D76" i="1"/>
  <c r="D75" i="14"/>
  <c r="F75" i="1"/>
  <c r="F74" i="14"/>
  <c r="H74" i="1"/>
  <c r="H73" i="14"/>
  <c r="J73" i="1"/>
  <c r="J72" i="14"/>
  <c r="B73" i="1"/>
  <c r="B72" i="14"/>
  <c r="D72" i="1"/>
  <c r="D71" i="14"/>
  <c r="F71" i="1"/>
  <c r="F70" i="14"/>
  <c r="H70" i="1"/>
  <c r="H69" i="14"/>
  <c r="J69" i="1"/>
  <c r="J68" i="14"/>
  <c r="B69" i="1"/>
  <c r="B68" i="14"/>
  <c r="D68" i="1"/>
  <c r="D67" i="14"/>
  <c r="F67" i="1"/>
  <c r="F66" i="14"/>
  <c r="H66" i="1"/>
  <c r="H65" i="14"/>
  <c r="J65" i="1"/>
  <c r="J64" i="14"/>
  <c r="B65" i="1"/>
  <c r="B64" i="14"/>
  <c r="D64" i="1"/>
  <c r="D63" i="14"/>
  <c r="F63" i="1"/>
  <c r="F62" i="14"/>
  <c r="H62" i="1"/>
  <c r="H61" i="14"/>
  <c r="J61" i="1"/>
  <c r="J60" i="14"/>
  <c r="B61" i="1"/>
  <c r="B60" i="14"/>
  <c r="D60" i="1"/>
  <c r="D59" i="14"/>
  <c r="F59" i="1"/>
  <c r="F58" i="14"/>
  <c r="H58" i="1"/>
  <c r="H57" i="14"/>
  <c r="J57" i="1"/>
  <c r="J56" i="14"/>
  <c r="B57" i="1"/>
  <c r="B56" i="14"/>
  <c r="D56" i="1"/>
  <c r="D55" i="14"/>
  <c r="F55" i="1"/>
  <c r="F54" i="14"/>
  <c r="H54" i="1"/>
  <c r="H53" i="14"/>
  <c r="J53" i="1"/>
  <c r="J52" i="14"/>
  <c r="B53" i="1"/>
  <c r="B52" i="14"/>
  <c r="D52" i="1"/>
  <c r="D51" i="14"/>
  <c r="F51" i="1"/>
  <c r="F50" i="14"/>
  <c r="H50" i="1"/>
  <c r="H49" i="14"/>
  <c r="J49" i="1"/>
  <c r="J48" i="14"/>
  <c r="B49" i="1"/>
  <c r="B48" i="14"/>
  <c r="D47" i="14"/>
  <c r="D48" i="1"/>
  <c r="F47" i="1"/>
  <c r="F46" i="14"/>
  <c r="H46" i="1"/>
  <c r="H45" i="14"/>
  <c r="J45" i="1"/>
  <c r="J44" i="14"/>
  <c r="B45" i="1"/>
  <c r="B44" i="14"/>
  <c r="D44" i="1"/>
  <c r="D43" i="14"/>
  <c r="F43" i="1"/>
  <c r="F42" i="14"/>
  <c r="H42" i="1"/>
  <c r="H41" i="14"/>
  <c r="J41" i="1"/>
  <c r="J40" i="14"/>
  <c r="B41" i="1"/>
  <c r="B40" i="14"/>
  <c r="D40" i="1"/>
  <c r="D39" i="14"/>
  <c r="F39" i="1"/>
  <c r="F38" i="14"/>
  <c r="H38" i="1"/>
  <c r="H37" i="14"/>
  <c r="J37" i="1"/>
  <c r="J36" i="14"/>
  <c r="B37" i="1"/>
  <c r="B36" i="14"/>
  <c r="D36" i="1"/>
  <c r="D35" i="14"/>
  <c r="F35" i="1"/>
  <c r="F34" i="14"/>
  <c r="H34" i="1"/>
  <c r="H33" i="14"/>
  <c r="J33" i="1"/>
  <c r="J32" i="14"/>
  <c r="B33" i="1"/>
  <c r="B32" i="14"/>
  <c r="D31" i="14"/>
  <c r="D32" i="1"/>
  <c r="F31" i="1"/>
  <c r="F30" i="14"/>
  <c r="H30" i="1"/>
  <c r="H29" i="14"/>
  <c r="J29" i="1"/>
  <c r="J28" i="14"/>
  <c r="B29" i="1"/>
  <c r="B28" i="14"/>
  <c r="D27" i="14"/>
  <c r="D28" i="1"/>
  <c r="F27" i="1"/>
  <c r="F26" i="14"/>
  <c r="H26" i="1"/>
  <c r="H25" i="14"/>
  <c r="J25" i="1"/>
  <c r="J24" i="14"/>
  <c r="B25" i="1"/>
  <c r="B24" i="14"/>
  <c r="D24" i="1"/>
  <c r="D23" i="14"/>
  <c r="F23" i="1"/>
  <c r="F22" i="14"/>
  <c r="H22" i="1"/>
  <c r="H21" i="14"/>
  <c r="J21" i="1"/>
  <c r="J20" i="14"/>
  <c r="B21" i="1"/>
  <c r="B20" i="14"/>
  <c r="D19" i="14"/>
  <c r="D20" i="1"/>
  <c r="F18" i="14"/>
  <c r="F19" i="1"/>
  <c r="H18" i="1"/>
  <c r="H17" i="14"/>
  <c r="B67" i="3"/>
  <c r="B130" i="3" s="1"/>
  <c r="J67" i="3"/>
  <c r="J130" i="3" s="1"/>
  <c r="B30" i="18" a="1"/>
  <c r="B30" i="18" s="1"/>
  <c r="H36" i="18"/>
  <c r="B33" i="18"/>
  <c r="B36" i="18"/>
  <c r="B34" i="18"/>
  <c r="H35" i="18"/>
  <c r="B32" i="18"/>
  <c r="H34" i="18"/>
  <c r="B29" i="18"/>
  <c r="B35" i="18"/>
  <c r="H33" i="18"/>
  <c r="H32" i="18"/>
  <c r="C29" i="19" l="1"/>
  <c r="F2" i="15"/>
  <c r="F6" i="15" s="1"/>
  <c r="F3" i="19"/>
  <c r="F16" i="19" s="1"/>
  <c r="F3" i="4"/>
  <c r="F3" i="18" s="1"/>
  <c r="F16" i="18" s="1"/>
  <c r="J2" i="15"/>
  <c r="J6" i="15" s="1"/>
  <c r="J3" i="19"/>
  <c r="J16" i="19" s="1"/>
  <c r="J29" i="19" s="1"/>
  <c r="J3" i="4"/>
  <c r="J3" i="18" s="1"/>
  <c r="J16" i="18" s="1"/>
  <c r="B2" i="15"/>
  <c r="B6" i="15" s="1"/>
  <c r="B3" i="19"/>
  <c r="B16" i="19" s="1"/>
  <c r="B29" i="19" s="1"/>
  <c r="B3" i="4"/>
  <c r="B3" i="18" s="1"/>
  <c r="B16" i="18" s="1"/>
  <c r="K4" i="1"/>
  <c r="K3" i="14"/>
  <c r="K29" i="19"/>
  <c r="H2" i="15"/>
  <c r="H6" i="15" s="1"/>
  <c r="H3" i="19"/>
  <c r="H16" i="19" s="1"/>
  <c r="H29" i="19" s="1"/>
  <c r="H3" i="4"/>
  <c r="H3" i="18" s="1"/>
  <c r="H16" i="18" s="1"/>
  <c r="E4" i="1"/>
  <c r="E3" i="14"/>
  <c r="E29" i="19"/>
  <c r="D4" i="1"/>
  <c r="D3" i="14"/>
  <c r="G2" i="15"/>
  <c r="G6" i="15" s="1"/>
  <c r="G3" i="19"/>
  <c r="G16" i="19" s="1"/>
  <c r="G3" i="4"/>
  <c r="G3" i="18" s="1"/>
  <c r="G16" i="18" s="1"/>
  <c r="D29" i="19"/>
  <c r="A131" i="3" a="1"/>
  <c r="A131" i="3" s="1"/>
  <c r="I2" i="15"/>
  <c r="I6" i="15" s="1"/>
  <c r="I3" i="19"/>
  <c r="I16" i="19" s="1"/>
  <c r="I3" i="4"/>
  <c r="I3" i="18" s="1"/>
  <c r="I16" i="18" s="1"/>
  <c r="C4" i="1"/>
  <c r="C3" i="14"/>
  <c r="I29" i="19" l="1"/>
  <c r="J4" i="1"/>
  <c r="J3" i="14"/>
  <c r="A140" i="3"/>
  <c r="F4" i="1"/>
  <c r="F3" i="14"/>
  <c r="A4" i="19"/>
  <c r="A17" i="19" s="1"/>
  <c r="A4" i="4"/>
  <c r="A4" i="18" s="1"/>
  <c r="A17" i="18" s="1"/>
  <c r="A137" i="3"/>
  <c r="A138" i="3"/>
  <c r="A139" i="3"/>
  <c r="F29" i="19"/>
  <c r="A134" i="3"/>
  <c r="G4" i="1"/>
  <c r="G3" i="14"/>
  <c r="B4" i="1"/>
  <c r="B3" i="14"/>
  <c r="I4" i="1"/>
  <c r="I3" i="14"/>
  <c r="A133" i="3"/>
  <c r="A132" i="3"/>
  <c r="A136" i="3"/>
  <c r="A135" i="3"/>
  <c r="G29" i="19"/>
  <c r="H4" i="1"/>
  <c r="H3" i="14"/>
  <c r="A7" i="15" a="1"/>
  <c r="A123" i="3"/>
  <c r="A124" i="3"/>
  <c r="A125" i="3"/>
  <c r="A126" i="3"/>
  <c r="A127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9" i="19" l="1"/>
  <c r="A22" i="19" s="1"/>
  <c r="A9" i="4"/>
  <c r="A9" i="18" s="1"/>
  <c r="A22" i="18" s="1"/>
  <c r="C17" i="19"/>
  <c r="C30" i="19" s="1"/>
  <c r="A30" i="19"/>
  <c r="I17" i="19"/>
  <c r="I30" i="19" s="1"/>
  <c r="H17" i="19"/>
  <c r="H30" i="19" s="1"/>
  <c r="J17" i="19"/>
  <c r="J30" i="19" s="1"/>
  <c r="K17" i="19"/>
  <c r="K30" i="19" s="1"/>
  <c r="D17" i="19"/>
  <c r="D30" i="19" s="1"/>
  <c r="G17" i="19"/>
  <c r="G30" i="19" s="1"/>
  <c r="E17" i="19"/>
  <c r="E30" i="19" s="1"/>
  <c r="F17" i="19"/>
  <c r="F30" i="19" s="1"/>
  <c r="B17" i="19"/>
  <c r="B30" i="19" s="1"/>
  <c r="A5" i="19"/>
  <c r="A18" i="19" s="1"/>
  <c r="A5" i="4"/>
  <c r="A5" i="18" s="1"/>
  <c r="A18" i="18" s="1"/>
  <c r="A7" i="19"/>
  <c r="A20" i="19" s="1"/>
  <c r="A7" i="4"/>
  <c r="A7" i="18" s="1"/>
  <c r="A20" i="18" s="1"/>
  <c r="A13" i="19"/>
  <c r="A26" i="19" s="1"/>
  <c r="A13" i="4"/>
  <c r="A13" i="18" s="1"/>
  <c r="A26" i="18" s="1"/>
  <c r="A6" i="19"/>
  <c r="A19" i="19" s="1"/>
  <c r="A6" i="4"/>
  <c r="A6" i="18" s="1"/>
  <c r="A19" i="18" s="1"/>
  <c r="A12" i="19"/>
  <c r="A25" i="19" s="1"/>
  <c r="A12" i="4"/>
  <c r="A12" i="18" s="1"/>
  <c r="A25" i="18" s="1"/>
  <c r="A7" i="15"/>
  <c r="A13" i="15"/>
  <c r="A11" i="15"/>
  <c r="A12" i="15"/>
  <c r="A15" i="15"/>
  <c r="A14" i="15"/>
  <c r="A9" i="15"/>
  <c r="A8" i="15"/>
  <c r="A16" i="15"/>
  <c r="A10" i="15"/>
  <c r="A11" i="19"/>
  <c r="A24" i="19" s="1"/>
  <c r="A11" i="4"/>
  <c r="A11" i="18" s="1"/>
  <c r="A24" i="18" s="1"/>
  <c r="A10" i="19"/>
  <c r="A23" i="19" s="1"/>
  <c r="A10" i="4"/>
  <c r="A10" i="18" s="1"/>
  <c r="A23" i="18" s="1"/>
  <c r="A8" i="19"/>
  <c r="A21" i="19" s="1"/>
  <c r="A8" i="4"/>
  <c r="A8" i="18" s="1"/>
  <c r="A21" i="18" s="1"/>
  <c r="A5" i="1"/>
  <c r="A4" i="14"/>
  <c r="C64" i="3"/>
  <c r="C86" i="3" s="1"/>
  <c r="K64" i="3"/>
  <c r="K80" i="3" s="1"/>
  <c r="E64" i="3"/>
  <c r="E92" i="3" s="1"/>
  <c r="I64" i="3"/>
  <c r="I97" i="3" s="1"/>
  <c r="B64" i="3"/>
  <c r="B89" i="3" s="1"/>
  <c r="F64" i="3"/>
  <c r="F111" i="3" s="1"/>
  <c r="J64" i="3"/>
  <c r="J71" i="3" s="1"/>
  <c r="G64" i="3"/>
  <c r="G100" i="3" s="1"/>
  <c r="D64" i="3"/>
  <c r="D126" i="3" s="1"/>
  <c r="H64" i="3"/>
  <c r="H89" i="3" s="1"/>
  <c r="E69" i="3"/>
  <c r="E73" i="3"/>
  <c r="E127" i="3"/>
  <c r="A9" i="1" l="1"/>
  <c r="A8" i="14"/>
  <c r="A13" i="1"/>
  <c r="A12" i="14"/>
  <c r="A6" i="1"/>
  <c r="A5" i="14"/>
  <c r="H21" i="19"/>
  <c r="H34" i="19" s="1"/>
  <c r="E21" i="19"/>
  <c r="E34" i="19" s="1"/>
  <c r="B21" i="19"/>
  <c r="B34" i="19" s="1"/>
  <c r="G21" i="19"/>
  <c r="G34" i="19" s="1"/>
  <c r="A34" i="19"/>
  <c r="K21" i="19"/>
  <c r="K34" i="19" s="1"/>
  <c r="C21" i="19"/>
  <c r="C34" i="19" s="1"/>
  <c r="J21" i="19"/>
  <c r="J34" i="19" s="1"/>
  <c r="I21" i="19"/>
  <c r="I34" i="19" s="1"/>
  <c r="F21" i="19"/>
  <c r="F34" i="19" s="1"/>
  <c r="D21" i="19"/>
  <c r="D34" i="19" s="1"/>
  <c r="C25" i="19"/>
  <c r="C38" i="19" s="1"/>
  <c r="A38" i="19"/>
  <c r="I25" i="19"/>
  <c r="I38" i="19" s="1"/>
  <c r="F25" i="19"/>
  <c r="F38" i="19" s="1"/>
  <c r="H25" i="19"/>
  <c r="H38" i="19" s="1"/>
  <c r="K25" i="19"/>
  <c r="K38" i="19" s="1"/>
  <c r="D25" i="19"/>
  <c r="D38" i="19" s="1"/>
  <c r="B25" i="19"/>
  <c r="B38" i="19" s="1"/>
  <c r="E25" i="19"/>
  <c r="E38" i="19" s="1"/>
  <c r="G25" i="19"/>
  <c r="G38" i="19" s="1"/>
  <c r="J25" i="19"/>
  <c r="J38" i="19" s="1"/>
  <c r="J18" i="19"/>
  <c r="J31" i="19" s="1"/>
  <c r="A31" i="19"/>
  <c r="G18" i="19"/>
  <c r="G31" i="19" s="1"/>
  <c r="H18" i="19"/>
  <c r="H31" i="19" s="1"/>
  <c r="B18" i="19"/>
  <c r="B31" i="19" s="1"/>
  <c r="K18" i="19"/>
  <c r="K31" i="19" s="1"/>
  <c r="F18" i="19"/>
  <c r="F31" i="19" s="1"/>
  <c r="D18" i="19"/>
  <c r="D31" i="19" s="1"/>
  <c r="I18" i="19"/>
  <c r="I31" i="19" s="1"/>
  <c r="E18" i="19"/>
  <c r="E31" i="19" s="1"/>
  <c r="C18" i="19"/>
  <c r="C31" i="19" s="1"/>
  <c r="A11" i="1"/>
  <c r="A10" i="14"/>
  <c r="A7" i="1"/>
  <c r="A6" i="14"/>
  <c r="A36" i="19"/>
  <c r="B23" i="19"/>
  <c r="B36" i="19" s="1"/>
  <c r="J23" i="19"/>
  <c r="J36" i="19" s="1"/>
  <c r="D23" i="19"/>
  <c r="D36" i="19" s="1"/>
  <c r="C23" i="19"/>
  <c r="C36" i="19" s="1"/>
  <c r="I23" i="19"/>
  <c r="I36" i="19" s="1"/>
  <c r="H23" i="19"/>
  <c r="H36" i="19" s="1"/>
  <c r="E23" i="19"/>
  <c r="E36" i="19" s="1"/>
  <c r="K23" i="19"/>
  <c r="K36" i="19" s="1"/>
  <c r="G23" i="19"/>
  <c r="G36" i="19" s="1"/>
  <c r="F23" i="19"/>
  <c r="F36" i="19" s="1"/>
  <c r="J19" i="19"/>
  <c r="J32" i="19" s="1"/>
  <c r="G19" i="19"/>
  <c r="G32" i="19" s="1"/>
  <c r="A32" i="19"/>
  <c r="F19" i="19"/>
  <c r="F32" i="19" s="1"/>
  <c r="K19" i="19"/>
  <c r="K32" i="19" s="1"/>
  <c r="C19" i="19"/>
  <c r="C32" i="19" s="1"/>
  <c r="H19" i="19"/>
  <c r="H32" i="19" s="1"/>
  <c r="E19" i="19"/>
  <c r="E32" i="19" s="1"/>
  <c r="B19" i="19"/>
  <c r="B32" i="19" s="1"/>
  <c r="D19" i="19"/>
  <c r="D32" i="19" s="1"/>
  <c r="I19" i="19"/>
  <c r="I32" i="19" s="1"/>
  <c r="A12" i="1"/>
  <c r="A11" i="14"/>
  <c r="A14" i="1"/>
  <c r="A13" i="14"/>
  <c r="D24" i="19"/>
  <c r="D37" i="19" s="1"/>
  <c r="A37" i="19"/>
  <c r="K24" i="19"/>
  <c r="K37" i="19" s="1"/>
  <c r="J24" i="19"/>
  <c r="J37" i="19" s="1"/>
  <c r="E24" i="19"/>
  <c r="E37" i="19" s="1"/>
  <c r="C24" i="19"/>
  <c r="C37" i="19" s="1"/>
  <c r="G24" i="19"/>
  <c r="G37" i="19" s="1"/>
  <c r="H24" i="19"/>
  <c r="H37" i="19" s="1"/>
  <c r="B24" i="19"/>
  <c r="B37" i="19" s="1"/>
  <c r="F24" i="19"/>
  <c r="F37" i="19" s="1"/>
  <c r="I24" i="19"/>
  <c r="I37" i="19" s="1"/>
  <c r="J26" i="19"/>
  <c r="J39" i="19" s="1"/>
  <c r="A39" i="19"/>
  <c r="G26" i="19"/>
  <c r="G39" i="19" s="1"/>
  <c r="H26" i="19"/>
  <c r="H39" i="19" s="1"/>
  <c r="B26" i="19"/>
  <c r="B39" i="19" s="1"/>
  <c r="I26" i="19"/>
  <c r="I39" i="19" s="1"/>
  <c r="D26" i="19"/>
  <c r="D39" i="19" s="1"/>
  <c r="F26" i="19"/>
  <c r="F39" i="19" s="1"/>
  <c r="C26" i="19"/>
  <c r="C39" i="19" s="1"/>
  <c r="E26" i="19"/>
  <c r="E39" i="19" s="1"/>
  <c r="K26" i="19"/>
  <c r="K39" i="19" s="1"/>
  <c r="A10" i="1"/>
  <c r="A9" i="14"/>
  <c r="I20" i="19"/>
  <c r="I33" i="19" s="1"/>
  <c r="F20" i="19"/>
  <c r="F33" i="19" s="1"/>
  <c r="B20" i="19"/>
  <c r="B33" i="19" s="1"/>
  <c r="A33" i="19"/>
  <c r="H20" i="19"/>
  <c r="H33" i="19" s="1"/>
  <c r="J20" i="19"/>
  <c r="J33" i="19" s="1"/>
  <c r="D20" i="19"/>
  <c r="D33" i="19" s="1"/>
  <c r="G20" i="19"/>
  <c r="G33" i="19" s="1"/>
  <c r="K20" i="19"/>
  <c r="K33" i="19" s="1"/>
  <c r="C20" i="19"/>
  <c r="C33" i="19" s="1"/>
  <c r="E20" i="19"/>
  <c r="E33" i="19" s="1"/>
  <c r="K81" i="3"/>
  <c r="A8" i="1"/>
  <c r="A7" i="14"/>
  <c r="F22" i="19"/>
  <c r="F35" i="19" s="1"/>
  <c r="A35" i="19"/>
  <c r="B22" i="19"/>
  <c r="B35" i="19" s="1"/>
  <c r="D22" i="19"/>
  <c r="D35" i="19" s="1"/>
  <c r="H22" i="19"/>
  <c r="H35" i="19" s="1"/>
  <c r="K22" i="19"/>
  <c r="K35" i="19" s="1"/>
  <c r="I22" i="19"/>
  <c r="I35" i="19" s="1"/>
  <c r="J22" i="19"/>
  <c r="J35" i="19" s="1"/>
  <c r="E22" i="19"/>
  <c r="E35" i="19" s="1"/>
  <c r="G22" i="19"/>
  <c r="G35" i="19" s="1"/>
  <c r="C22" i="19"/>
  <c r="C35" i="19" s="1"/>
  <c r="K115" i="3"/>
  <c r="K101" i="3"/>
  <c r="E118" i="3"/>
  <c r="K123" i="3"/>
  <c r="K73" i="3"/>
  <c r="K119" i="3"/>
  <c r="K111" i="3"/>
  <c r="E99" i="3"/>
  <c r="K112" i="3"/>
  <c r="K113" i="3"/>
  <c r="K103" i="3"/>
  <c r="E95" i="3"/>
  <c r="K108" i="3"/>
  <c r="K117" i="3"/>
  <c r="K95" i="3"/>
  <c r="K89" i="3"/>
  <c r="K127" i="3"/>
  <c r="K121" i="3"/>
  <c r="K77" i="3"/>
  <c r="E119" i="3"/>
  <c r="E89" i="3"/>
  <c r="E110" i="3"/>
  <c r="E107" i="3"/>
  <c r="F103" i="3"/>
  <c r="B112" i="3"/>
  <c r="E102" i="3"/>
  <c r="F119" i="3"/>
  <c r="J99" i="3"/>
  <c r="K126" i="3"/>
  <c r="H114" i="3"/>
  <c r="F124" i="3"/>
  <c r="K109" i="3"/>
  <c r="E85" i="3"/>
  <c r="K116" i="3"/>
  <c r="E83" i="3"/>
  <c r="K114" i="3"/>
  <c r="B124" i="3"/>
  <c r="B108" i="3"/>
  <c r="H112" i="3"/>
  <c r="J122" i="3"/>
  <c r="J123" i="3"/>
  <c r="B72" i="3"/>
  <c r="K94" i="3"/>
  <c r="K69" i="3"/>
  <c r="K82" i="3"/>
  <c r="J106" i="3"/>
  <c r="G121" i="3"/>
  <c r="B84" i="3"/>
  <c r="F68" i="3"/>
  <c r="G83" i="3"/>
  <c r="H100" i="3"/>
  <c r="K78" i="3"/>
  <c r="H102" i="3"/>
  <c r="F102" i="3"/>
  <c r="E111" i="3"/>
  <c r="I122" i="3"/>
  <c r="E108" i="3"/>
  <c r="K96" i="3"/>
  <c r="D100" i="3"/>
  <c r="E112" i="3"/>
  <c r="E125" i="3"/>
  <c r="E117" i="3"/>
  <c r="E109" i="3"/>
  <c r="E101" i="3"/>
  <c r="F94" i="3"/>
  <c r="E87" i="3"/>
  <c r="E77" i="3"/>
  <c r="E122" i="3"/>
  <c r="E114" i="3"/>
  <c r="E106" i="3"/>
  <c r="E96" i="3"/>
  <c r="E76" i="3"/>
  <c r="J72" i="3"/>
  <c r="H124" i="3"/>
  <c r="J70" i="3"/>
  <c r="J98" i="3"/>
  <c r="H122" i="3"/>
  <c r="H118" i="3"/>
  <c r="H90" i="3"/>
  <c r="G91" i="3"/>
  <c r="J86" i="3"/>
  <c r="H80" i="3"/>
  <c r="J74" i="3"/>
  <c r="J127" i="3"/>
  <c r="J83" i="3"/>
  <c r="H119" i="3"/>
  <c r="F89" i="3"/>
  <c r="H73" i="3"/>
  <c r="H120" i="3"/>
  <c r="H116" i="3"/>
  <c r="H94" i="3"/>
  <c r="H92" i="3"/>
  <c r="H88" i="3"/>
  <c r="J82" i="3"/>
  <c r="H76" i="3"/>
  <c r="J103" i="3"/>
  <c r="J95" i="3"/>
  <c r="J84" i="3"/>
  <c r="J80" i="3"/>
  <c r="J125" i="3"/>
  <c r="J109" i="3"/>
  <c r="H93" i="3"/>
  <c r="F126" i="3"/>
  <c r="G123" i="3"/>
  <c r="F118" i="3"/>
  <c r="J114" i="3"/>
  <c r="H108" i="3"/>
  <c r="H126" i="3"/>
  <c r="H106" i="3"/>
  <c r="H98" i="3"/>
  <c r="J90" i="3"/>
  <c r="J78" i="3"/>
  <c r="F74" i="3"/>
  <c r="H125" i="3"/>
  <c r="J119" i="3"/>
  <c r="J115" i="3"/>
  <c r="J75" i="3"/>
  <c r="J68" i="3"/>
  <c r="C102" i="3"/>
  <c r="C121" i="3"/>
  <c r="D102" i="3"/>
  <c r="C87" i="3"/>
  <c r="C77" i="3"/>
  <c r="C70" i="3"/>
  <c r="D108" i="3"/>
  <c r="D110" i="3"/>
  <c r="C97" i="3"/>
  <c r="F92" i="3"/>
  <c r="C89" i="3"/>
  <c r="G71" i="3"/>
  <c r="C92" i="3"/>
  <c r="C85" i="3"/>
  <c r="C118" i="3"/>
  <c r="F81" i="3"/>
  <c r="C113" i="3"/>
  <c r="C105" i="3"/>
  <c r="F100" i="3"/>
  <c r="B96" i="3"/>
  <c r="B92" i="3"/>
  <c r="C79" i="3"/>
  <c r="C71" i="3"/>
  <c r="C124" i="3"/>
  <c r="C116" i="3"/>
  <c r="C100" i="3"/>
  <c r="H103" i="3"/>
  <c r="J93" i="3"/>
  <c r="G92" i="3"/>
  <c r="G106" i="3"/>
  <c r="G122" i="3"/>
  <c r="G84" i="3"/>
  <c r="G108" i="3"/>
  <c r="G112" i="3"/>
  <c r="G120" i="3"/>
  <c r="G75" i="3"/>
  <c r="G101" i="3"/>
  <c r="G119" i="3"/>
  <c r="G127" i="3"/>
  <c r="G104" i="3"/>
  <c r="G87" i="3"/>
  <c r="G89" i="3"/>
  <c r="G109" i="3"/>
  <c r="G113" i="3"/>
  <c r="I72" i="3"/>
  <c r="I76" i="3"/>
  <c r="I84" i="3"/>
  <c r="I116" i="3"/>
  <c r="I75" i="3"/>
  <c r="I83" i="3"/>
  <c r="I70" i="3"/>
  <c r="I69" i="3"/>
  <c r="I95" i="3"/>
  <c r="I127" i="3"/>
  <c r="I113" i="3"/>
  <c r="I82" i="3"/>
  <c r="I92" i="3"/>
  <c r="I100" i="3"/>
  <c r="I124" i="3"/>
  <c r="I78" i="3"/>
  <c r="I93" i="3"/>
  <c r="I103" i="3"/>
  <c r="G76" i="3"/>
  <c r="G115" i="3"/>
  <c r="G111" i="3"/>
  <c r="G107" i="3"/>
  <c r="G103" i="3"/>
  <c r="I87" i="3"/>
  <c r="G124" i="3"/>
  <c r="I114" i="3"/>
  <c r="G80" i="3"/>
  <c r="G68" i="3"/>
  <c r="G77" i="3"/>
  <c r="G74" i="3"/>
  <c r="I121" i="3"/>
  <c r="G99" i="3"/>
  <c r="G95" i="3"/>
  <c r="I119" i="3"/>
  <c r="G117" i="3"/>
  <c r="G105" i="3"/>
  <c r="G97" i="3"/>
  <c r="I85" i="3"/>
  <c r="I77" i="3"/>
  <c r="D72" i="3"/>
  <c r="D118" i="3"/>
  <c r="D116" i="3"/>
  <c r="D124" i="3"/>
  <c r="D94" i="3"/>
  <c r="G116" i="3"/>
  <c r="D89" i="3"/>
  <c r="I108" i="3"/>
  <c r="G98" i="3"/>
  <c r="I105" i="3"/>
  <c r="G125" i="3"/>
  <c r="I111" i="3"/>
  <c r="G93" i="3"/>
  <c r="G79" i="3"/>
  <c r="I106" i="3"/>
  <c r="G96" i="3"/>
  <c r="G88" i="3"/>
  <c r="G72" i="3"/>
  <c r="G69" i="3"/>
  <c r="F75" i="3"/>
  <c r="F99" i="3"/>
  <c r="F90" i="3"/>
  <c r="F108" i="3"/>
  <c r="F110" i="3"/>
  <c r="F71" i="3"/>
  <c r="F127" i="3"/>
  <c r="F82" i="3"/>
  <c r="F116" i="3"/>
  <c r="F121" i="3"/>
  <c r="F113" i="3"/>
  <c r="F97" i="3"/>
  <c r="G90" i="3"/>
  <c r="I68" i="3"/>
  <c r="H121" i="3"/>
  <c r="H101" i="3"/>
  <c r="H85" i="3"/>
  <c r="H86" i="3"/>
  <c r="H87" i="3"/>
  <c r="H71" i="3"/>
  <c r="B122" i="3"/>
  <c r="K107" i="3"/>
  <c r="H104" i="3"/>
  <c r="B102" i="3"/>
  <c r="K99" i="3"/>
  <c r="H96" i="3"/>
  <c r="K125" i="3"/>
  <c r="E123" i="3"/>
  <c r="E115" i="3"/>
  <c r="H110" i="3"/>
  <c r="K105" i="3"/>
  <c r="E103" i="3"/>
  <c r="K97" i="3"/>
  <c r="K93" i="3"/>
  <c r="E91" i="3"/>
  <c r="E93" i="3"/>
  <c r="H84" i="3"/>
  <c r="E81" i="3"/>
  <c r="H72" i="3"/>
  <c r="H68" i="3"/>
  <c r="E126" i="3"/>
  <c r="H117" i="3"/>
  <c r="K100" i="3"/>
  <c r="H97" i="3"/>
  <c r="E90" i="3"/>
  <c r="K76" i="3"/>
  <c r="K85" i="3"/>
  <c r="E79" i="3"/>
  <c r="H70" i="3"/>
  <c r="H127" i="3"/>
  <c r="K110" i="3"/>
  <c r="K98" i="3"/>
  <c r="H95" i="3"/>
  <c r="H81" i="3"/>
  <c r="B110" i="3"/>
  <c r="B98" i="3"/>
  <c r="B115" i="3"/>
  <c r="D82" i="3"/>
  <c r="B76" i="3"/>
  <c r="E78" i="3"/>
  <c r="E88" i="3"/>
  <c r="E100" i="3"/>
  <c r="E120" i="3"/>
  <c r="E71" i="3"/>
  <c r="E74" i="3"/>
  <c r="E98" i="3"/>
  <c r="E97" i="3"/>
  <c r="E105" i="3"/>
  <c r="E113" i="3"/>
  <c r="E121" i="3"/>
  <c r="E70" i="3"/>
  <c r="E72" i="3"/>
  <c r="E84" i="3"/>
  <c r="E104" i="3"/>
  <c r="E116" i="3"/>
  <c r="C88" i="3"/>
  <c r="B87" i="3"/>
  <c r="B79" i="3"/>
  <c r="B97" i="3"/>
  <c r="B83" i="3"/>
  <c r="B103" i="3"/>
  <c r="B119" i="3"/>
  <c r="B123" i="3"/>
  <c r="B70" i="3"/>
  <c r="B74" i="3"/>
  <c r="B78" i="3"/>
  <c r="B82" i="3"/>
  <c r="B86" i="3"/>
  <c r="B90" i="3"/>
  <c r="B94" i="3"/>
  <c r="B91" i="3"/>
  <c r="B81" i="3"/>
  <c r="B113" i="3"/>
  <c r="B121" i="3"/>
  <c r="B105" i="3"/>
  <c r="B71" i="3"/>
  <c r="B126" i="3"/>
  <c r="B114" i="3"/>
  <c r="D88" i="3"/>
  <c r="D80" i="3"/>
  <c r="B127" i="3"/>
  <c r="B111" i="3"/>
  <c r="C108" i="3"/>
  <c r="E82" i="3"/>
  <c r="E75" i="3"/>
  <c r="E124" i="3"/>
  <c r="E80" i="3"/>
  <c r="B118" i="3"/>
  <c r="B106" i="3"/>
  <c r="B120" i="3"/>
  <c r="B116" i="3"/>
  <c r="B104" i="3"/>
  <c r="B100" i="3"/>
  <c r="B88" i="3"/>
  <c r="D69" i="3"/>
  <c r="D74" i="3"/>
  <c r="D93" i="3"/>
  <c r="D85" i="3"/>
  <c r="B107" i="3"/>
  <c r="B99" i="3"/>
  <c r="B75" i="3"/>
  <c r="B80" i="3"/>
  <c r="B73" i="3"/>
  <c r="C68" i="3"/>
  <c r="C96" i="3"/>
  <c r="C94" i="3"/>
  <c r="C126" i="3"/>
  <c r="C69" i="3"/>
  <c r="C99" i="3"/>
  <c r="C107" i="3"/>
  <c r="C115" i="3"/>
  <c r="C123" i="3"/>
  <c r="C76" i="3"/>
  <c r="C78" i="3"/>
  <c r="C110" i="3"/>
  <c r="K118" i="3"/>
  <c r="K106" i="3"/>
  <c r="J101" i="3"/>
  <c r="K86" i="3"/>
  <c r="K74" i="3"/>
  <c r="J69" i="3"/>
  <c r="K92" i="3"/>
  <c r="J87" i="3"/>
  <c r="J77" i="3"/>
  <c r="J79" i="3"/>
  <c r="J126" i="3"/>
  <c r="J118" i="3"/>
  <c r="J110" i="3"/>
  <c r="J102" i="3"/>
  <c r="J94" i="3"/>
  <c r="J124" i="3"/>
  <c r="J120" i="3"/>
  <c r="J116" i="3"/>
  <c r="J112" i="3"/>
  <c r="J108" i="3"/>
  <c r="J104" i="3"/>
  <c r="J100" i="3"/>
  <c r="J96" i="3"/>
  <c r="J92" i="3"/>
  <c r="J88" i="3"/>
  <c r="K91" i="3"/>
  <c r="K87" i="3"/>
  <c r="K83" i="3"/>
  <c r="K79" i="3"/>
  <c r="K75" i="3"/>
  <c r="K71" i="3"/>
  <c r="K124" i="3"/>
  <c r="K120" i="3"/>
  <c r="J111" i="3"/>
  <c r="H109" i="3"/>
  <c r="J107" i="3"/>
  <c r="K104" i="3"/>
  <c r="H77" i="3"/>
  <c r="G85" i="3"/>
  <c r="G81" i="3"/>
  <c r="H78" i="3"/>
  <c r="J76" i="3"/>
  <c r="K122" i="3"/>
  <c r="J117" i="3"/>
  <c r="G114" i="3"/>
  <c r="H111" i="3"/>
  <c r="F105" i="3"/>
  <c r="K102" i="3"/>
  <c r="K90" i="3"/>
  <c r="J85" i="3"/>
  <c r="G82" i="3"/>
  <c r="H79" i="3"/>
  <c r="F73" i="3"/>
  <c r="K70" i="3"/>
  <c r="K88" i="3"/>
  <c r="K84" i="3"/>
  <c r="K72" i="3"/>
  <c r="K68" i="3"/>
  <c r="D125" i="3"/>
  <c r="D117" i="3"/>
  <c r="D109" i="3"/>
  <c r="D101" i="3"/>
  <c r="D81" i="3"/>
  <c r="F80" i="3"/>
  <c r="F72" i="3"/>
  <c r="D127" i="3"/>
  <c r="D103" i="3"/>
  <c r="D95" i="3"/>
  <c r="I98" i="3"/>
  <c r="I125" i="3"/>
  <c r="D120" i="3"/>
  <c r="D112" i="3"/>
  <c r="D104" i="3"/>
  <c r="D96" i="3"/>
  <c r="C125" i="3"/>
  <c r="I123" i="3"/>
  <c r="F120" i="3"/>
  <c r="C117" i="3"/>
  <c r="I115" i="3"/>
  <c r="F112" i="3"/>
  <c r="C109" i="3"/>
  <c r="I107" i="3"/>
  <c r="F104" i="3"/>
  <c r="C101" i="3"/>
  <c r="I99" i="3"/>
  <c r="F96" i="3"/>
  <c r="C93" i="3"/>
  <c r="I91" i="3"/>
  <c r="F88" i="3"/>
  <c r="D92" i="3"/>
  <c r="D84" i="3"/>
  <c r="D76" i="3"/>
  <c r="D121" i="3"/>
  <c r="D113" i="3"/>
  <c r="D105" i="3"/>
  <c r="I94" i="3"/>
  <c r="I86" i="3"/>
  <c r="F79" i="3"/>
  <c r="F84" i="3"/>
  <c r="H82" i="3"/>
  <c r="C81" i="3"/>
  <c r="I79" i="3"/>
  <c r="F76" i="3"/>
  <c r="H74" i="3"/>
  <c r="C73" i="3"/>
  <c r="I71" i="3"/>
  <c r="B68" i="3"/>
  <c r="G126" i="3"/>
  <c r="B125" i="3"/>
  <c r="D123" i="3"/>
  <c r="J121" i="3"/>
  <c r="G118" i="3"/>
  <c r="B117" i="3"/>
  <c r="D115" i="3"/>
  <c r="J113" i="3"/>
  <c r="G110" i="3"/>
  <c r="B109" i="3"/>
  <c r="D107" i="3"/>
  <c r="J105" i="3"/>
  <c r="G102" i="3"/>
  <c r="B101" i="3"/>
  <c r="D99" i="3"/>
  <c r="J97" i="3"/>
  <c r="G94" i="3"/>
  <c r="B93" i="3"/>
  <c r="D91" i="3"/>
  <c r="J89" i="3"/>
  <c r="G86" i="3"/>
  <c r="B85" i="3"/>
  <c r="D83" i="3"/>
  <c r="J81" i="3"/>
  <c r="G78" i="3"/>
  <c r="B77" i="3"/>
  <c r="D75" i="3"/>
  <c r="J73" i="3"/>
  <c r="G70" i="3"/>
  <c r="B69" i="3"/>
  <c r="E94" i="3"/>
  <c r="J91" i="3"/>
  <c r="E86" i="3"/>
  <c r="F83" i="3"/>
  <c r="C80" i="3"/>
  <c r="D77" i="3"/>
  <c r="I74" i="3"/>
  <c r="D119" i="3"/>
  <c r="D111" i="3"/>
  <c r="D87" i="3"/>
  <c r="D79" i="3"/>
  <c r="D71" i="3"/>
  <c r="F95" i="3"/>
  <c r="I90" i="3"/>
  <c r="C127" i="3"/>
  <c r="F122" i="3"/>
  <c r="C119" i="3"/>
  <c r="I117" i="3"/>
  <c r="F114" i="3"/>
  <c r="C111" i="3"/>
  <c r="I109" i="3"/>
  <c r="F106" i="3"/>
  <c r="C103" i="3"/>
  <c r="I101" i="3"/>
  <c r="F98" i="3"/>
  <c r="C95" i="3"/>
  <c r="D122" i="3"/>
  <c r="D114" i="3"/>
  <c r="D106" i="3"/>
  <c r="D98" i="3"/>
  <c r="D90" i="3"/>
  <c r="C91" i="3"/>
  <c r="I89" i="3"/>
  <c r="F86" i="3"/>
  <c r="C83" i="3"/>
  <c r="I81" i="3"/>
  <c r="F78" i="3"/>
  <c r="C75" i="3"/>
  <c r="I73" i="3"/>
  <c r="F70" i="3"/>
  <c r="D68" i="3"/>
  <c r="I126" i="3"/>
  <c r="F123" i="3"/>
  <c r="C120" i="3"/>
  <c r="I118" i="3"/>
  <c r="F115" i="3"/>
  <c r="H113" i="3"/>
  <c r="C112" i="3"/>
  <c r="I110" i="3"/>
  <c r="F107" i="3"/>
  <c r="H105" i="3"/>
  <c r="C104" i="3"/>
  <c r="I102" i="3"/>
  <c r="F91" i="3"/>
  <c r="F87" i="3"/>
  <c r="D73" i="3"/>
  <c r="H69" i="3"/>
  <c r="D86" i="3"/>
  <c r="D78" i="3"/>
  <c r="G73" i="3"/>
  <c r="D70" i="3"/>
  <c r="F125" i="3"/>
  <c r="H123" i="3"/>
  <c r="C122" i="3"/>
  <c r="I120" i="3"/>
  <c r="F117" i="3"/>
  <c r="H115" i="3"/>
  <c r="C114" i="3"/>
  <c r="I112" i="3"/>
  <c r="F109" i="3"/>
  <c r="H107" i="3"/>
  <c r="C106" i="3"/>
  <c r="I104" i="3"/>
  <c r="F101" i="3"/>
  <c r="H99" i="3"/>
  <c r="C98" i="3"/>
  <c r="I96" i="3"/>
  <c r="F93" i="3"/>
  <c r="H91" i="3"/>
  <c r="C90" i="3"/>
  <c r="I88" i="3"/>
  <c r="F85" i="3"/>
  <c r="H83" i="3"/>
  <c r="C82" i="3"/>
  <c r="I80" i="3"/>
  <c r="F77" i="3"/>
  <c r="H75" i="3"/>
  <c r="C74" i="3"/>
  <c r="F69" i="3"/>
  <c r="E68" i="3"/>
  <c r="D97" i="3"/>
  <c r="B95" i="3"/>
  <c r="C84" i="3"/>
  <c r="C72" i="3"/>
  <c r="B131" i="3" l="1" a="1"/>
  <c r="D131" i="3" l="1"/>
  <c r="H131" i="3"/>
  <c r="B132" i="3"/>
  <c r="F132" i="3"/>
  <c r="J132" i="3"/>
  <c r="D133" i="3"/>
  <c r="H133" i="3"/>
  <c r="B134" i="3"/>
  <c r="F134" i="3"/>
  <c r="J134" i="3"/>
  <c r="D135" i="3"/>
  <c r="H135" i="3"/>
  <c r="B136" i="3"/>
  <c r="F136" i="3"/>
  <c r="J136" i="3"/>
  <c r="D137" i="3"/>
  <c r="H137" i="3"/>
  <c r="B138" i="3"/>
  <c r="F138" i="3"/>
  <c r="J138" i="3"/>
  <c r="D139" i="3"/>
  <c r="H139" i="3"/>
  <c r="B140" i="3"/>
  <c r="F140" i="3"/>
  <c r="J140" i="3"/>
  <c r="B131" i="3"/>
  <c r="G131" i="3"/>
  <c r="C132" i="3"/>
  <c r="H132" i="3"/>
  <c r="C133" i="3"/>
  <c r="I133" i="3"/>
  <c r="D134" i="3"/>
  <c r="I134" i="3"/>
  <c r="E135" i="3"/>
  <c r="J135" i="3"/>
  <c r="E136" i="3"/>
  <c r="K136" i="3"/>
  <c r="F137" i="3"/>
  <c r="K137" i="3"/>
  <c r="G138" i="3"/>
  <c r="B139" i="3"/>
  <c r="G139" i="3"/>
  <c r="C140" i="3"/>
  <c r="H140" i="3"/>
  <c r="F131" i="3"/>
  <c r="K131" i="3"/>
  <c r="G132" i="3"/>
  <c r="B133" i="3"/>
  <c r="G133" i="3"/>
  <c r="C134" i="3"/>
  <c r="H134" i="3"/>
  <c r="C135" i="3"/>
  <c r="I135" i="3"/>
  <c r="D136" i="3"/>
  <c r="I136" i="3"/>
  <c r="E137" i="3"/>
  <c r="J137" i="3"/>
  <c r="E138" i="3"/>
  <c r="K138" i="3"/>
  <c r="F139" i="3"/>
  <c r="K139" i="3"/>
  <c r="G140" i="3"/>
  <c r="C131" i="3"/>
  <c r="D132" i="3"/>
  <c r="E133" i="3"/>
  <c r="E134" i="3"/>
  <c r="F135" i="3"/>
  <c r="G136" i="3"/>
  <c r="G137" i="3"/>
  <c r="H138" i="3"/>
  <c r="I139" i="3"/>
  <c r="I140" i="3"/>
  <c r="E131" i="3"/>
  <c r="G134" i="3"/>
  <c r="H136" i="3"/>
  <c r="I138" i="3"/>
  <c r="K140" i="3"/>
  <c r="J131" i="3"/>
  <c r="K132" i="3"/>
  <c r="K133" i="3"/>
  <c r="B135" i="3"/>
  <c r="C136" i="3"/>
  <c r="C137" i="3"/>
  <c r="D138" i="3"/>
  <c r="E139" i="3"/>
  <c r="E140" i="3"/>
  <c r="E132" i="3"/>
  <c r="F133" i="3"/>
  <c r="G135" i="3"/>
  <c r="I137" i="3"/>
  <c r="J139" i="3"/>
  <c r="I131" i="3"/>
  <c r="K135" i="3"/>
  <c r="D140" i="3"/>
  <c r="J133" i="3"/>
  <c r="C139" i="3"/>
  <c r="I132" i="3"/>
  <c r="B137" i="3"/>
  <c r="C138" i="3"/>
  <c r="K134" i="3"/>
</calcChain>
</file>

<file path=xl/sharedStrings.xml><?xml version="1.0" encoding="utf-8"?>
<sst xmlns="http://schemas.openxmlformats.org/spreadsheetml/2006/main" count="60" uniqueCount="54">
  <si>
    <t>FIVE YEARS OF PRICES FOR 10 STOCKS AND THE SP500</t>
  </si>
  <si>
    <t>Microsoft</t>
  </si>
  <si>
    <t>Apple</t>
  </si>
  <si>
    <t>Bank of America</t>
  </si>
  <si>
    <t>Date</t>
  </si>
  <si>
    <t>MSFT</t>
  </si>
  <si>
    <t>AAPL</t>
  </si>
  <si>
    <t>BAC</t>
  </si>
  <si>
    <t>XOM</t>
  </si>
  <si>
    <t>^GSPC</t>
  </si>
  <si>
    <t>Average</t>
  </si>
  <si>
    <t>Variance-Covariance Matrix</t>
  </si>
  <si>
    <t>FIVE YEARS OF MONTHLY RETURNS FOR 10 STOCKS AND THE SP500</t>
  </si>
  <si>
    <t>Some correlation statistics</t>
  </si>
  <si>
    <t>Largest</t>
  </si>
  <si>
    <t>Next largest</t>
  </si>
  <si>
    <t>etc.</t>
  </si>
  <si>
    <t>Smallest</t>
  </si>
  <si>
    <t>Correlation</t>
  </si>
  <si>
    <t>Mean</t>
  </si>
  <si>
    <t>Implied volatility</t>
  </si>
  <si>
    <t>COMPUTING THE SINGLE-INDEX VARIANCE-COVARIANCE MATRIX</t>
  </si>
  <si>
    <t>CONSTANT CORRELATION MATRIX WITH IMPLIED VOLATILITIES</t>
  </si>
  <si>
    <r>
      <t>Excess returns:  r</t>
    </r>
    <r>
      <rPr>
        <vertAlign val="subscript"/>
        <sz val="11"/>
        <color theme="1"/>
        <rFont val="Calibri"/>
        <family val="2"/>
        <scheme val="minor"/>
      </rPr>
      <t>ij</t>
    </r>
    <r>
      <rPr>
        <sz val="11"/>
        <color theme="1"/>
        <rFont val="Calibri"/>
        <family val="2"/>
        <scheme val="minor"/>
      </rPr>
      <t>-r</t>
    </r>
    <r>
      <rPr>
        <vertAlign val="subscript"/>
        <sz val="11"/>
        <color theme="1"/>
        <rFont val="Calibri"/>
        <family val="2"/>
        <scheme val="minor"/>
      </rPr>
      <t>i</t>
    </r>
  </si>
  <si>
    <t>AMZN</t>
  </si>
  <si>
    <t>DIS</t>
  </si>
  <si>
    <t>CSCO</t>
  </si>
  <si>
    <t>JPM</t>
  </si>
  <si>
    <t>GOOG</t>
  </si>
  <si>
    <t>PG</t>
  </si>
  <si>
    <t>Amazon</t>
  </si>
  <si>
    <t>Disney</t>
  </si>
  <si>
    <t>Cisco</t>
  </si>
  <si>
    <t>J.P. Morgan</t>
  </si>
  <si>
    <t>Google</t>
  </si>
  <si>
    <t>Variance-Covariance Matrix (user defined 'VarCovar' function)</t>
  </si>
  <si>
    <t>ESTIMATING THE VARIANCE-COVARIANCE MATRIX WITH VBA</t>
  </si>
  <si>
    <t>Correlation matrix (user defined 'CorrMatrix' function)</t>
  </si>
  <si>
    <t>ESTIMATING THE CORRELATION MATRIX WITH VBA</t>
  </si>
  <si>
    <t>Correlation matrix, upper half (user defined 'CorrMatrixTriangular' function)</t>
  </si>
  <si>
    <t>Next smallest</t>
  </si>
  <si>
    <t>Median</t>
  </si>
  <si>
    <t>Using the user defined 'SIM_VarCov' function</t>
  </si>
  <si>
    <t>COMPUTING THE CONSTANT CORRELATION VARIANCE-COVARIANCE MATRIX</t>
  </si>
  <si>
    <t xml:space="preserve">Correlation </t>
  </si>
  <si>
    <t>Using the user defined 'ConstantCorVarCov' function</t>
  </si>
  <si>
    <t>Sample variance-covariance matrix (user defined 'VarCovar' function)</t>
  </si>
  <si>
    <t>Shrinkage factor</t>
  </si>
  <si>
    <t xml:space="preserve"> &lt;-- this is the weight put onn the sample var-cov</t>
  </si>
  <si>
    <t>Other matrix = diagonal matrix of only variances and zero elsewhere</t>
  </si>
  <si>
    <t>Extracted from options prices</t>
  </si>
  <si>
    <t>ExxonMobil</t>
  </si>
  <si>
    <t>Procter &amp; Gamble</t>
  </si>
  <si>
    <t>SP500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</si>
</sst>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[$-409]d\-mmm\-yy;@"/>
    <numFmt numFmtId="165" formatCode="#,##0.0000"/>
    <numFmt numFmtId="166" formatCode="0.0000"/>
    <numFmt numFmtId="167" formatCode="#,##0.000"/>
    <numFmt numFmtId="168" formatCode="0.0%"/>
  </numFmts>
  <fonts count="12" x14ac:knownFonts="1">
    <font>
      <sz val="11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Arial"/>
      <family val="2"/>
    </font>
    <font>
      <vertAlign val="subscript"/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sz val="10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5">
    <xf numFmtId="164" fontId="0" fillId="0" borderId="0"/>
    <xf numFmtId="164" fontId="3" fillId="0" borderId="0"/>
    <xf numFmtId="9" fontId="3" fillId="0" borderId="0" applyFont="0" applyFill="0" applyBorder="0" applyAlignment="0" applyProtection="0"/>
    <xf numFmtId="0" fontId="9" fillId="0" borderId="0"/>
    <xf numFmtId="9" fontId="9" fillId="0" borderId="0" applyFont="0" applyFill="0" applyBorder="0" applyAlignment="0" applyProtection="0"/>
  </cellStyleXfs>
  <cellXfs count="54">
    <xf numFmtId="164" fontId="0" fillId="0" borderId="0" xfId="0"/>
    <xf numFmtId="164" fontId="3" fillId="0" borderId="0" xfId="1"/>
    <xf numFmtId="164" fontId="6" fillId="0" borderId="0" xfId="1" applyFont="1" applyAlignment="1">
      <alignment horizontal="center" wrapText="1"/>
    </xf>
    <xf numFmtId="164" fontId="6" fillId="0" borderId="0" xfId="1" applyFont="1" applyAlignment="1">
      <alignment wrapText="1"/>
    </xf>
    <xf numFmtId="164" fontId="6" fillId="0" borderId="0" xfId="1" applyNumberFormat="1" applyFont="1" applyAlignment="1">
      <alignment horizontal="center"/>
    </xf>
    <xf numFmtId="164" fontId="6" fillId="0" borderId="0" xfId="1" applyFont="1" applyAlignment="1">
      <alignment horizontal="center"/>
    </xf>
    <xf numFmtId="166" fontId="3" fillId="0" borderId="0" xfId="1" applyNumberFormat="1"/>
    <xf numFmtId="164" fontId="3" fillId="0" borderId="0" xfId="1" applyNumberFormat="1" applyAlignment="1">
      <alignment horizontal="center"/>
    </xf>
    <xf numFmtId="166" fontId="3" fillId="0" borderId="0" xfId="1" applyNumberFormat="1" applyFill="1"/>
    <xf numFmtId="166" fontId="0" fillId="0" borderId="0" xfId="0" applyNumberFormat="1"/>
    <xf numFmtId="164" fontId="3" fillId="0" borderId="0" xfId="1" applyFont="1"/>
    <xf numFmtId="4" fontId="0" fillId="0" borderId="0" xfId="0" applyNumberFormat="1"/>
    <xf numFmtId="164" fontId="3" fillId="0" borderId="0" xfId="1" applyNumberFormat="1" applyFont="1" applyAlignment="1">
      <alignment horizontal="center"/>
    </xf>
    <xf numFmtId="166" fontId="3" fillId="0" borderId="0" xfId="1" applyNumberFormat="1" applyFont="1" applyAlignment="1">
      <alignment horizontal="center"/>
    </xf>
    <xf numFmtId="164" fontId="2" fillId="0" borderId="0" xfId="1" applyFont="1"/>
    <xf numFmtId="15" fontId="2" fillId="0" borderId="0" xfId="0" applyNumberFormat="1" applyFont="1"/>
    <xf numFmtId="4" fontId="2" fillId="0" borderId="0" xfId="0" applyNumberFormat="1" applyFont="1"/>
    <xf numFmtId="164" fontId="2" fillId="0" borderId="0" xfId="1" applyNumberFormat="1" applyFont="1"/>
    <xf numFmtId="3" fontId="6" fillId="0" borderId="0" xfId="1" applyNumberFormat="1" applyFont="1" applyAlignment="1">
      <alignment horizontal="center" wrapText="1"/>
    </xf>
    <xf numFmtId="164" fontId="2" fillId="0" borderId="0" xfId="0" applyFont="1" applyAlignment="1">
      <alignment horizontal="center"/>
    </xf>
    <xf numFmtId="164" fontId="2" fillId="0" borderId="0" xfId="1" applyNumberFormat="1" applyFont="1" applyAlignment="1">
      <alignment horizontal="center"/>
    </xf>
    <xf numFmtId="10" fontId="2" fillId="0" borderId="0" xfId="2" applyNumberFormat="1" applyFont="1" applyAlignment="1">
      <alignment horizontal="center"/>
    </xf>
    <xf numFmtId="165" fontId="2" fillId="0" borderId="0" xfId="1" applyNumberFormat="1" applyFont="1"/>
    <xf numFmtId="10" fontId="6" fillId="0" borderId="0" xfId="2" applyNumberFormat="1" applyFont="1" applyAlignment="1">
      <alignment horizontal="center"/>
    </xf>
    <xf numFmtId="164" fontId="6" fillId="0" borderId="0" xfId="1" applyFont="1"/>
    <xf numFmtId="10" fontId="2" fillId="0" borderId="0" xfId="1" applyNumberFormat="1" applyFont="1"/>
    <xf numFmtId="164" fontId="3" fillId="0" borderId="0" xfId="1" applyFont="1" applyAlignment="1">
      <alignment wrapText="1"/>
    </xf>
    <xf numFmtId="164" fontId="3" fillId="0" borderId="0" xfId="1" applyAlignment="1">
      <alignment horizontal="left"/>
    </xf>
    <xf numFmtId="166" fontId="3" fillId="0" borderId="0" xfId="1" applyNumberFormat="1" applyAlignment="1"/>
    <xf numFmtId="164" fontId="3" fillId="0" borderId="0" xfId="1" applyAlignment="1"/>
    <xf numFmtId="164" fontId="3" fillId="2" borderId="0" xfId="1" applyFill="1"/>
    <xf numFmtId="4" fontId="3" fillId="0" borderId="0" xfId="1" applyNumberFormat="1"/>
    <xf numFmtId="167" fontId="3" fillId="0" borderId="0" xfId="1" applyNumberFormat="1"/>
    <xf numFmtId="167" fontId="3" fillId="0" borderId="0" xfId="1" applyNumberFormat="1" applyAlignment="1"/>
    <xf numFmtId="164" fontId="6" fillId="0" borderId="0" xfId="1" applyNumberFormat="1" applyFont="1" applyAlignment="1">
      <alignment horizontal="left"/>
    </xf>
    <xf numFmtId="168" fontId="3" fillId="0" borderId="0" xfId="1" applyNumberFormat="1" applyAlignment="1">
      <alignment horizontal="center"/>
    </xf>
    <xf numFmtId="164" fontId="3" fillId="0" borderId="0" xfId="1" applyNumberFormat="1" applyFont="1" applyAlignment="1">
      <alignment wrapText="1"/>
    </xf>
    <xf numFmtId="4" fontId="6" fillId="0" borderId="0" xfId="1" applyNumberFormat="1" applyFont="1" applyAlignment="1">
      <alignment horizontal="center"/>
    </xf>
    <xf numFmtId="164" fontId="0" fillId="2" borderId="0" xfId="0" applyFill="1"/>
    <xf numFmtId="4" fontId="0" fillId="2" borderId="0" xfId="0" applyNumberFormat="1" applyFill="1"/>
    <xf numFmtId="166" fontId="3" fillId="2" borderId="0" xfId="1" applyNumberFormat="1" applyFill="1"/>
    <xf numFmtId="164" fontId="11" fillId="0" borderId="0" xfId="1" applyFont="1" applyAlignment="1">
      <alignment wrapText="1"/>
    </xf>
    <xf numFmtId="10" fontId="0" fillId="0" borderId="0" xfId="0" applyNumberFormat="1"/>
    <xf numFmtId="165" fontId="0" fillId="0" borderId="0" xfId="0" applyNumberFormat="1"/>
    <xf numFmtId="164" fontId="4" fillId="0" borderId="0" xfId="1" applyNumberFormat="1" applyFont="1" applyAlignment="1">
      <alignment horizontal="center"/>
    </xf>
    <xf numFmtId="164" fontId="5" fillId="0" borderId="0" xfId="1" applyNumberFormat="1" applyFont="1" applyAlignment="1">
      <alignment horizontal="center"/>
    </xf>
    <xf numFmtId="164" fontId="2" fillId="2" borderId="0" xfId="1" applyFont="1" applyFill="1" applyAlignment="1">
      <alignment horizontal="center"/>
    </xf>
    <xf numFmtId="164" fontId="4" fillId="0" borderId="0" xfId="1" applyFont="1" applyAlignment="1">
      <alignment horizontal="center"/>
    </xf>
    <xf numFmtId="164" fontId="3" fillId="2" borderId="0" xfId="1" applyFill="1" applyAlignment="1">
      <alignment horizontal="center"/>
    </xf>
    <xf numFmtId="164" fontId="3" fillId="0" borderId="0" xfId="1" applyFont="1" applyAlignment="1">
      <alignment horizontal="left" wrapText="1"/>
    </xf>
    <xf numFmtId="164" fontId="3" fillId="0" borderId="0" xfId="1" applyAlignment="1">
      <alignment horizontal="left" wrapText="1"/>
    </xf>
    <xf numFmtId="164" fontId="7" fillId="0" borderId="0" xfId="0" applyFont="1" applyAlignment="1">
      <alignment horizontal="center"/>
    </xf>
    <xf numFmtId="0" fontId="10" fillId="0" borderId="0" xfId="3" applyFont="1" applyAlignment="1">
      <alignment horizontal="center" vertical="center" wrapText="1"/>
    </xf>
    <xf numFmtId="164" fontId="0" fillId="2" borderId="0" xfId="0" applyFill="1" applyAlignment="1">
      <alignment horizontal="center"/>
    </xf>
  </cellXfs>
  <cellStyles count="5">
    <cellStyle name="Normal" xfId="0" builtinId="0"/>
    <cellStyle name="Normal 2" xfId="1"/>
    <cellStyle name="Normal 3" xfId="3"/>
    <cellStyle name="Percent 2" xfId="2"/>
    <cellStyle name="Percent 3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71437</xdr:colOff>
      <xdr:row>130</xdr:row>
      <xdr:rowOff>105836</xdr:rowOff>
    </xdr:from>
    <xdr:to>
      <xdr:col>3</xdr:col>
      <xdr:colOff>31750</xdr:colOff>
      <xdr:row>141</xdr:row>
      <xdr:rowOff>111125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DE71581F-EB67-4DD1-A60D-507546D343E2}"/>
            </a:ext>
          </a:extLst>
        </xdr:cNvPr>
        <xdr:cNvCxnSpPr/>
      </xdr:nvCxnSpPr>
      <xdr:spPr>
        <a:xfrm flipH="1" flipV="1">
          <a:off x="664104" y="5437190"/>
          <a:ext cx="1066271" cy="207168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imon/WORK/FM4/FM4BOOK/2FM4Portfolio/UVA%20homework%20for%20chap1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ce data"/>
      <sheetName val="Return data"/>
      <sheetName val="Var-cov, correlation matrices"/>
      <sheetName val="Questions 1-3"/>
      <sheetName val="Questions 1-3 template"/>
      <sheetName val="Additional"/>
      <sheetName val="Non-neg portfolios"/>
      <sheetName val="Non-neg portfolios (2)"/>
      <sheetName val="Question4 answer"/>
      <sheetName val="Question4 template"/>
    </sheetNames>
    <sheetDataSet>
      <sheetData sheetId="0" refreshError="1"/>
      <sheetData sheetId="1" refreshError="1"/>
      <sheetData sheetId="2" refreshError="1"/>
      <sheetData sheetId="3">
        <row r="4">
          <cell r="B4">
            <v>1.9810914800911777E-3</v>
          </cell>
          <cell r="C4">
            <v>3.6148322984690131E-3</v>
          </cell>
          <cell r="D4">
            <v>2.7854408563672524E-3</v>
          </cell>
          <cell r="E4">
            <v>1.4817744884348442E-3</v>
          </cell>
          <cell r="F4">
            <v>1.6728515626654131E-3</v>
          </cell>
          <cell r="G4">
            <v>6.6295315961602383E-4</v>
          </cell>
          <cell r="H4">
            <v>1.9795304345242271E-3</v>
          </cell>
          <cell r="I4">
            <v>3.067583461769917E-3</v>
          </cell>
          <cell r="J4">
            <v>1.5208281705506887E-3</v>
          </cell>
          <cell r="K4">
            <v>1.0692172544445775E-3</v>
          </cell>
          <cell r="M4">
            <v>1.6314405356698009E-2</v>
          </cell>
        </row>
        <row r="5">
          <cell r="B5">
            <v>3.6148322984690131E-3</v>
          </cell>
          <cell r="C5">
            <v>3.7407022560990821E-2</v>
          </cell>
          <cell r="D5">
            <v>2.7908880522730471E-2</v>
          </cell>
          <cell r="E5">
            <v>7.4409700581052618E-3</v>
          </cell>
          <cell r="F5">
            <v>1.0888124975144547E-2</v>
          </cell>
          <cell r="G5">
            <v>3.0363479910288996E-3</v>
          </cell>
          <cell r="H5">
            <v>1.2497836271249806E-2</v>
          </cell>
          <cell r="I5">
            <v>1.7320705397879776E-2</v>
          </cell>
          <cell r="J5">
            <v>4.2638617666240722E-3</v>
          </cell>
          <cell r="K5">
            <v>4.2734623203559401E-3</v>
          </cell>
          <cell r="M5">
            <v>-1.6754633534767572E-2</v>
          </cell>
        </row>
        <row r="6">
          <cell r="B6">
            <v>2.7854408563672524E-3</v>
          </cell>
          <cell r="C6">
            <v>2.7908880522730471E-2</v>
          </cell>
          <cell r="D6">
            <v>2.6299154571266626E-2</v>
          </cell>
          <cell r="E6">
            <v>6.4249022465283868E-3</v>
          </cell>
          <cell r="F6">
            <v>9.5171215748054046E-3</v>
          </cell>
          <cell r="G6">
            <v>3.0537261828358165E-3</v>
          </cell>
          <cell r="H6">
            <v>1.0044314377054086E-2</v>
          </cell>
          <cell r="I6">
            <v>1.3079846645524345E-2</v>
          </cell>
          <cell r="J6">
            <v>3.6884033986970795E-3</v>
          </cell>
          <cell r="K6">
            <v>3.7963655019453853E-3</v>
          </cell>
          <cell r="M6">
            <v>-1.0910787293871734E-2</v>
          </cell>
        </row>
        <row r="7">
          <cell r="B7">
            <v>1.4817744884348442E-3</v>
          </cell>
          <cell r="C7">
            <v>7.4409700581052618E-3</v>
          </cell>
          <cell r="D7">
            <v>6.4249022465283868E-3</v>
          </cell>
          <cell r="E7">
            <v>6.1695040223067972E-3</v>
          </cell>
          <cell r="F7">
            <v>4.8023795736097056E-3</v>
          </cell>
          <cell r="G7">
            <v>9.6813193436599311E-4</v>
          </cell>
          <cell r="H7">
            <v>4.5659817593280017E-3</v>
          </cell>
          <cell r="I7">
            <v>7.7981514913414698E-3</v>
          </cell>
          <cell r="J7">
            <v>1.7568465687545936E-3</v>
          </cell>
          <cell r="K7">
            <v>1.4252119984881956E-3</v>
          </cell>
          <cell r="M7">
            <v>3.111432634675974E-3</v>
          </cell>
        </row>
        <row r="8">
          <cell r="B8">
            <v>1.6728515626654131E-3</v>
          </cell>
          <cell r="C8">
            <v>1.0888124975144547E-2</v>
          </cell>
          <cell r="D8">
            <v>9.5171215748054046E-3</v>
          </cell>
          <cell r="E8">
            <v>4.8023795736097056E-3</v>
          </cell>
          <cell r="F8">
            <v>1.2368994034451715E-2</v>
          </cell>
          <cell r="G8">
            <v>1.6034418182046691E-3</v>
          </cell>
          <cell r="H8">
            <v>4.8247221185331009E-3</v>
          </cell>
          <cell r="I8">
            <v>4.8203590389686735E-3</v>
          </cell>
          <cell r="J8">
            <v>6.6345345738746996E-4</v>
          </cell>
          <cell r="K8">
            <v>1.9300463076113029E-3</v>
          </cell>
          <cell r="M8">
            <v>2.938002465421866E-2</v>
          </cell>
        </row>
        <row r="9">
          <cell r="B9">
            <v>6.6295315961602383E-4</v>
          </cell>
          <cell r="C9">
            <v>3.0363479910288996E-3</v>
          </cell>
          <cell r="D9">
            <v>3.0537261828358165E-3</v>
          </cell>
          <cell r="E9">
            <v>9.6813193436599311E-4</v>
          </cell>
          <cell r="F9">
            <v>1.6034418182046691E-3</v>
          </cell>
          <cell r="G9">
            <v>2.6016762336360465E-3</v>
          </cell>
          <cell r="H9">
            <v>2.70529301363616E-3</v>
          </cell>
          <cell r="I9">
            <v>4.5716166781009145E-3</v>
          </cell>
          <cell r="J9">
            <v>1.123047327582113E-3</v>
          </cell>
          <cell r="K9">
            <v>3.1893502755487424E-4</v>
          </cell>
          <cell r="M9">
            <v>2.4100559722535528E-3</v>
          </cell>
        </row>
        <row r="10">
          <cell r="B10">
            <v>1.9795304345242271E-3</v>
          </cell>
          <cell r="C10">
            <v>1.2497836271249806E-2</v>
          </cell>
          <cell r="D10">
            <v>1.0044314377054086E-2</v>
          </cell>
          <cell r="E10">
            <v>4.5659817593280017E-3</v>
          </cell>
          <cell r="F10">
            <v>4.8247221185331009E-3</v>
          </cell>
          <cell r="G10">
            <v>2.70529301363616E-3</v>
          </cell>
          <cell r="H10">
            <v>1.1977128964470512E-2</v>
          </cell>
          <cell r="I10">
            <v>1.6051183748065561E-2</v>
          </cell>
          <cell r="J10">
            <v>4.0370965241010946E-3</v>
          </cell>
          <cell r="K10">
            <v>2.1771808224789421E-3</v>
          </cell>
          <cell r="M10">
            <v>-6.916717138818293E-3</v>
          </cell>
        </row>
        <row r="11">
          <cell r="B11">
            <v>3.067583461769917E-3</v>
          </cell>
          <cell r="C11">
            <v>1.7320705397879776E-2</v>
          </cell>
          <cell r="D11">
            <v>1.3079846645524345E-2</v>
          </cell>
          <cell r="E11">
            <v>7.7981514913414698E-3</v>
          </cell>
          <cell r="F11">
            <v>4.8203590389686735E-3</v>
          </cell>
          <cell r="G11">
            <v>4.5716166781009145E-3</v>
          </cell>
          <cell r="H11">
            <v>1.6051183748065561E-2</v>
          </cell>
          <cell r="I11">
            <v>3.864304472987256E-2</v>
          </cell>
          <cell r="J11">
            <v>7.8545553165738479E-3</v>
          </cell>
          <cell r="K11">
            <v>1.7157461351522824E-3</v>
          </cell>
          <cell r="M11">
            <v>-2.8297230393105721E-2</v>
          </cell>
        </row>
        <row r="12">
          <cell r="B12">
            <v>1.5208281705506887E-3</v>
          </cell>
          <cell r="C12">
            <v>4.2638617666240722E-3</v>
          </cell>
          <cell r="D12">
            <v>3.6884033986970795E-3</v>
          </cell>
          <cell r="E12">
            <v>1.7568465687545936E-3</v>
          </cell>
          <cell r="F12">
            <v>6.6345345738746996E-4</v>
          </cell>
          <cell r="G12">
            <v>1.123047327582113E-3</v>
          </cell>
          <cell r="H12">
            <v>4.0370965241010946E-3</v>
          </cell>
          <cell r="I12">
            <v>7.8545553165738479E-3</v>
          </cell>
          <cell r="J12">
            <v>3.9873179605418203E-3</v>
          </cell>
          <cell r="K12">
            <v>1.0989573261817069E-3</v>
          </cell>
          <cell r="M12">
            <v>1.2861533172351114E-3</v>
          </cell>
        </row>
        <row r="13">
          <cell r="B13">
            <v>1.0692172544445775E-3</v>
          </cell>
          <cell r="C13">
            <v>4.2734623203559401E-3</v>
          </cell>
          <cell r="D13">
            <v>3.7963655019453853E-3</v>
          </cell>
          <cell r="E13">
            <v>1.4252119984881956E-3</v>
          </cell>
          <cell r="F13">
            <v>1.9300463076113029E-3</v>
          </cell>
          <cell r="G13">
            <v>3.1893502755487424E-4</v>
          </cell>
          <cell r="H13">
            <v>2.1771808224789421E-3</v>
          </cell>
          <cell r="I13">
            <v>1.7157461351522824E-3</v>
          </cell>
          <cell r="J13">
            <v>1.0989573261817069E-3</v>
          </cell>
          <cell r="K13">
            <v>2.5670477918010976E-3</v>
          </cell>
          <cell r="M13">
            <v>4.6539213934968732E-3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64"/>
  <sheetViews>
    <sheetView zoomScale="132" workbookViewId="0">
      <selection activeCell="C72" sqref="C72"/>
    </sheetView>
  </sheetViews>
  <sheetFormatPr defaultColWidth="10.75" defaultRowHeight="15" outlineLevelRow="1" x14ac:dyDescent="0.25"/>
  <cols>
    <col min="1" max="1" width="8.625" style="17" bestFit="1" customWidth="1"/>
    <col min="2" max="2" width="7.75" style="14" bestFit="1" customWidth="1"/>
    <col min="3" max="3" width="6.5" style="14" customWidth="1"/>
    <col min="4" max="4" width="7.125" style="14" customWidth="1"/>
    <col min="5" max="6" width="6.5" style="14" customWidth="1"/>
    <col min="7" max="7" width="6.375" style="14" bestFit="1" customWidth="1"/>
    <col min="8" max="8" width="7.375" style="14" customWidth="1"/>
    <col min="9" max="9" width="9.25" style="14" bestFit="1" customWidth="1"/>
    <col min="10" max="10" width="8" style="14" customWidth="1"/>
    <col min="11" max="11" width="8.125" style="14" customWidth="1"/>
    <col min="12" max="12" width="7.25" style="14" customWidth="1"/>
    <col min="13" max="16384" width="10.75" style="14"/>
  </cols>
  <sheetData>
    <row r="1" spans="1:16" ht="18.75" x14ac:dyDescent="0.3">
      <c r="A1" s="44" t="s">
        <v>0</v>
      </c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</row>
    <row r="2" spans="1:16" s="2" customFormat="1" ht="45" x14ac:dyDescent="0.25">
      <c r="A2" s="18"/>
      <c r="B2" s="2" t="s">
        <v>1</v>
      </c>
      <c r="C2" s="2" t="s">
        <v>2</v>
      </c>
      <c r="D2" s="2" t="s">
        <v>30</v>
      </c>
      <c r="E2" s="2" t="s">
        <v>31</v>
      </c>
      <c r="F2" s="2" t="s">
        <v>32</v>
      </c>
      <c r="G2" s="2" t="s">
        <v>33</v>
      </c>
      <c r="H2" s="2" t="s">
        <v>34</v>
      </c>
      <c r="I2" s="2" t="s">
        <v>51</v>
      </c>
      <c r="J2" s="2" t="s">
        <v>52</v>
      </c>
      <c r="K2" s="2" t="s">
        <v>3</v>
      </c>
      <c r="L2" s="2" t="s">
        <v>53</v>
      </c>
    </row>
    <row r="3" spans="1:16" s="2" customFormat="1" x14ac:dyDescent="0.25">
      <c r="A3" s="19" t="s">
        <v>4</v>
      </c>
      <c r="B3" s="19" t="s">
        <v>5</v>
      </c>
      <c r="C3" s="19" t="s">
        <v>6</v>
      </c>
      <c r="D3" s="19" t="s">
        <v>24</v>
      </c>
      <c r="E3" s="19" t="s">
        <v>25</v>
      </c>
      <c r="F3" s="19" t="s">
        <v>26</v>
      </c>
      <c r="G3" s="19" t="s">
        <v>27</v>
      </c>
      <c r="H3" s="19" t="s">
        <v>28</v>
      </c>
      <c r="I3" s="19" t="s">
        <v>8</v>
      </c>
      <c r="J3" s="19" t="s">
        <v>29</v>
      </c>
      <c r="K3" s="19" t="s">
        <v>7</v>
      </c>
      <c r="L3" s="19" t="s">
        <v>9</v>
      </c>
    </row>
    <row r="4" spans="1:16" s="3" customFormat="1" x14ac:dyDescent="0.25">
      <c r="A4" s="15">
        <v>43466</v>
      </c>
      <c r="B4" s="16">
        <v>103.60240899999999</v>
      </c>
      <c r="C4" s="16">
        <v>165.093445</v>
      </c>
      <c r="D4" s="16">
        <v>1718.7299800000001</v>
      </c>
      <c r="E4" s="16">
        <v>111.519997</v>
      </c>
      <c r="F4" s="16">
        <v>46.631416000000002</v>
      </c>
      <c r="G4" s="16">
        <v>101.886627</v>
      </c>
      <c r="H4" s="16">
        <v>1116.369995</v>
      </c>
      <c r="I4" s="16">
        <v>71.654037000000002</v>
      </c>
      <c r="J4" s="16">
        <v>95.041916000000001</v>
      </c>
      <c r="K4" s="16">
        <v>28.325384</v>
      </c>
      <c r="L4" s="16">
        <v>2704.1000979999999</v>
      </c>
    </row>
    <row r="5" spans="1:16" x14ac:dyDescent="0.25">
      <c r="A5" s="15">
        <v>43435</v>
      </c>
      <c r="B5" s="16">
        <v>100.76507599999999</v>
      </c>
      <c r="C5" s="16">
        <v>156.46383700000001</v>
      </c>
      <c r="D5" s="16">
        <v>1501.969971</v>
      </c>
      <c r="E5" s="16">
        <v>108.806023</v>
      </c>
      <c r="F5" s="16">
        <v>42.726562999999999</v>
      </c>
      <c r="G5" s="16">
        <v>96.098288999999994</v>
      </c>
      <c r="H5" s="16">
        <v>1035.6099850000001</v>
      </c>
      <c r="I5" s="16">
        <v>66.676979000000003</v>
      </c>
      <c r="J5" s="16">
        <v>90.559264999999996</v>
      </c>
      <c r="K5" s="16">
        <v>24.378595000000001</v>
      </c>
      <c r="L5" s="16">
        <v>2506.8500979999999</v>
      </c>
      <c r="P5" s="2"/>
    </row>
    <row r="6" spans="1:16" x14ac:dyDescent="0.25">
      <c r="A6" s="15">
        <v>43405</v>
      </c>
      <c r="B6" s="16">
        <v>109.53800200000001</v>
      </c>
      <c r="C6" s="16">
        <v>176.519318</v>
      </c>
      <c r="D6" s="16">
        <v>1690.170044</v>
      </c>
      <c r="E6" s="16">
        <v>114.601067</v>
      </c>
      <c r="F6" s="16">
        <v>47.203335000000003</v>
      </c>
      <c r="G6" s="16">
        <v>109.456757</v>
      </c>
      <c r="H6" s="16">
        <v>1094.4300539999999</v>
      </c>
      <c r="I6" s="16">
        <v>76.955910000000003</v>
      </c>
      <c r="J6" s="16">
        <v>93.110930999999994</v>
      </c>
      <c r="K6" s="16">
        <v>28.098707000000001</v>
      </c>
      <c r="L6" s="16">
        <v>2760.169922</v>
      </c>
    </row>
    <row r="7" spans="1:16" x14ac:dyDescent="0.25">
      <c r="A7" s="15">
        <v>43374</v>
      </c>
      <c r="B7" s="16">
        <v>105.507744</v>
      </c>
      <c r="C7" s="16">
        <v>216.334518</v>
      </c>
      <c r="D7" s="16">
        <v>1598.01001</v>
      </c>
      <c r="E7" s="16">
        <v>113.946152</v>
      </c>
      <c r="F7" s="16">
        <v>44.809905999999998</v>
      </c>
      <c r="G7" s="16">
        <v>106.574257</v>
      </c>
      <c r="H7" s="16">
        <v>1076.7700199999999</v>
      </c>
      <c r="I7" s="16">
        <v>77.130142000000006</v>
      </c>
      <c r="J7" s="16">
        <v>86.601776000000001</v>
      </c>
      <c r="K7" s="16">
        <v>27.208254</v>
      </c>
      <c r="L7" s="16">
        <v>2711.73999</v>
      </c>
    </row>
    <row r="8" spans="1:16" hidden="1" outlineLevel="1" x14ac:dyDescent="0.25">
      <c r="A8" s="15">
        <v>43344</v>
      </c>
      <c r="B8" s="16">
        <v>112.975578</v>
      </c>
      <c r="C8" s="16">
        <v>223.13514699999999</v>
      </c>
      <c r="D8" s="16">
        <v>2003</v>
      </c>
      <c r="E8" s="16">
        <v>116.03990899999999</v>
      </c>
      <c r="F8" s="16">
        <v>47.650314000000002</v>
      </c>
      <c r="G8" s="16">
        <v>110.30856300000001</v>
      </c>
      <c r="H8" s="16">
        <v>1193.469971</v>
      </c>
      <c r="I8" s="16">
        <v>82.299255000000002</v>
      </c>
      <c r="J8" s="16">
        <v>81.279503000000005</v>
      </c>
      <c r="K8" s="16">
        <v>29.007238000000001</v>
      </c>
      <c r="L8" s="16">
        <v>2913.9799800000001</v>
      </c>
    </row>
    <row r="9" spans="1:16" hidden="1" outlineLevel="1" x14ac:dyDescent="0.25">
      <c r="A9" s="15">
        <v>43313</v>
      </c>
      <c r="B9" s="16">
        <v>110.535088</v>
      </c>
      <c r="C9" s="16">
        <v>224.21698000000001</v>
      </c>
      <c r="D9" s="16">
        <v>2012.709961</v>
      </c>
      <c r="E9" s="16">
        <v>111.157776</v>
      </c>
      <c r="F9" s="16">
        <v>46.788395000000001</v>
      </c>
      <c r="G9" s="16">
        <v>112.00953699999999</v>
      </c>
      <c r="H9" s="16">
        <v>1218.1899410000001</v>
      </c>
      <c r="I9" s="16">
        <v>76.812195000000003</v>
      </c>
      <c r="J9" s="16">
        <v>81.006065000000007</v>
      </c>
      <c r="K9" s="16">
        <v>30.454647000000001</v>
      </c>
      <c r="L9" s="16">
        <v>2901.5200199999999</v>
      </c>
    </row>
    <row r="10" spans="1:16" hidden="1" outlineLevel="1" x14ac:dyDescent="0.25">
      <c r="A10" s="15">
        <v>43282</v>
      </c>
      <c r="B10" s="16">
        <v>104.38494900000001</v>
      </c>
      <c r="C10" s="16">
        <v>187.43682899999999</v>
      </c>
      <c r="D10" s="16">
        <v>1777.4399410000001</v>
      </c>
      <c r="E10" s="16">
        <v>111.78733800000001</v>
      </c>
      <c r="F10" s="16">
        <v>41.100665999999997</v>
      </c>
      <c r="G10" s="16">
        <v>111.76387800000001</v>
      </c>
      <c r="H10" s="16">
        <v>1217.26001</v>
      </c>
      <c r="I10" s="16">
        <v>78.096069</v>
      </c>
      <c r="J10" s="16">
        <v>78.273987000000005</v>
      </c>
      <c r="K10" s="16">
        <v>30.405415000000001</v>
      </c>
      <c r="L10" s="16">
        <v>2816.290039</v>
      </c>
    </row>
    <row r="11" spans="1:16" hidden="1" outlineLevel="1" x14ac:dyDescent="0.25">
      <c r="A11" s="15">
        <v>43252</v>
      </c>
      <c r="B11" s="16">
        <v>97.034308999999993</v>
      </c>
      <c r="C11" s="16">
        <v>182.33448799999999</v>
      </c>
      <c r="D11" s="16">
        <v>1699.8000489999999</v>
      </c>
      <c r="E11" s="16">
        <v>103.17392700000001</v>
      </c>
      <c r="F11" s="16">
        <v>41.819851</v>
      </c>
      <c r="G11" s="16">
        <v>101.311829</v>
      </c>
      <c r="H11" s="16">
        <v>1115.650024</v>
      </c>
      <c r="I11" s="16">
        <v>79.264968999999994</v>
      </c>
      <c r="J11" s="16">
        <v>75.544860999999997</v>
      </c>
      <c r="K11" s="16">
        <v>27.75676</v>
      </c>
      <c r="L11" s="16">
        <v>2718.3701169999999</v>
      </c>
    </row>
    <row r="12" spans="1:16" hidden="1" outlineLevel="1" x14ac:dyDescent="0.25">
      <c r="A12" s="15">
        <v>43221</v>
      </c>
      <c r="B12" s="16">
        <v>96.840889000000004</v>
      </c>
      <c r="C12" s="16">
        <v>183.36103800000001</v>
      </c>
      <c r="D12" s="16">
        <v>1629.619995</v>
      </c>
      <c r="E12" s="16">
        <v>97.917289999999994</v>
      </c>
      <c r="F12" s="16">
        <v>41.508845999999998</v>
      </c>
      <c r="G12" s="16">
        <v>104.043953</v>
      </c>
      <c r="H12" s="16">
        <v>1084.98999</v>
      </c>
      <c r="I12" s="16">
        <v>77.056335000000004</v>
      </c>
      <c r="J12" s="16">
        <v>70.812408000000005</v>
      </c>
      <c r="K12" s="16">
        <v>28.477345</v>
      </c>
      <c r="L12" s="16">
        <v>2705.2700199999999</v>
      </c>
    </row>
    <row r="13" spans="1:16" hidden="1" outlineLevel="1" x14ac:dyDescent="0.25">
      <c r="A13" s="15">
        <v>43191</v>
      </c>
      <c r="B13" s="16">
        <v>91.628487000000007</v>
      </c>
      <c r="C13" s="16">
        <v>162.15683000000001</v>
      </c>
      <c r="D13" s="16">
        <v>1566.130005</v>
      </c>
      <c r="E13" s="16">
        <v>98.763863000000001</v>
      </c>
      <c r="F13" s="16">
        <v>42.701141</v>
      </c>
      <c r="G13" s="16">
        <v>105.23126999999999</v>
      </c>
      <c r="H13" s="16">
        <v>1017.330017</v>
      </c>
      <c r="I13" s="16">
        <v>73.746055999999996</v>
      </c>
      <c r="J13" s="16">
        <v>69.367080999999999</v>
      </c>
      <c r="K13" s="16">
        <v>29.340292000000002</v>
      </c>
      <c r="L13" s="16">
        <v>2648.0500489999999</v>
      </c>
    </row>
    <row r="14" spans="1:16" hidden="1" outlineLevel="1" x14ac:dyDescent="0.25">
      <c r="A14" s="15">
        <v>43160</v>
      </c>
      <c r="B14" s="16">
        <v>89.423996000000002</v>
      </c>
      <c r="C14" s="16">
        <v>164.629501</v>
      </c>
      <c r="D14" s="16">
        <v>1447.339966</v>
      </c>
      <c r="E14" s="16">
        <v>98.872146999999998</v>
      </c>
      <c r="F14" s="16">
        <v>41.351363999999997</v>
      </c>
      <c r="G14" s="16">
        <v>106.38243900000001</v>
      </c>
      <c r="H14" s="16">
        <v>1031.790039</v>
      </c>
      <c r="I14" s="16">
        <v>70.767760999999993</v>
      </c>
      <c r="J14" s="16">
        <v>76.021872999999999</v>
      </c>
      <c r="K14" s="16">
        <v>29.298995999999999</v>
      </c>
      <c r="L14" s="16">
        <v>2640.8701169999999</v>
      </c>
    </row>
    <row r="15" spans="1:16" hidden="1" outlineLevel="1" x14ac:dyDescent="0.25">
      <c r="A15" s="15">
        <v>43132</v>
      </c>
      <c r="B15" s="16">
        <v>91.443871000000001</v>
      </c>
      <c r="C15" s="16">
        <v>174.065674</v>
      </c>
      <c r="D15" s="16">
        <v>1512.4499510000001</v>
      </c>
      <c r="E15" s="16">
        <v>101.54969</v>
      </c>
      <c r="F15" s="16">
        <v>43.173560999999999</v>
      </c>
      <c r="G15" s="16">
        <v>111.73204</v>
      </c>
      <c r="H15" s="16">
        <v>1104.7299800000001</v>
      </c>
      <c r="I15" s="16">
        <v>71.112396000000004</v>
      </c>
      <c r="J15" s="16">
        <v>75.293098000000001</v>
      </c>
      <c r="K15" s="16">
        <v>31.360378000000001</v>
      </c>
      <c r="L15" s="16">
        <v>2713.830078</v>
      </c>
    </row>
    <row r="16" spans="1:16" hidden="1" outlineLevel="1" x14ac:dyDescent="0.25">
      <c r="A16" s="15">
        <v>43101</v>
      </c>
      <c r="B16" s="16">
        <v>92.653114000000002</v>
      </c>
      <c r="C16" s="16">
        <v>163.618988</v>
      </c>
      <c r="D16" s="16">
        <v>1450.8900149999999</v>
      </c>
      <c r="E16" s="16">
        <v>106.973671</v>
      </c>
      <c r="F16" s="16">
        <v>39.753281000000001</v>
      </c>
      <c r="G16" s="16">
        <v>111.316597</v>
      </c>
      <c r="H16" s="16">
        <v>1169.9399410000001</v>
      </c>
      <c r="I16" s="16">
        <v>81.966094999999996</v>
      </c>
      <c r="J16" s="16">
        <v>82.165710000000004</v>
      </c>
      <c r="K16" s="16">
        <v>31.262682000000002</v>
      </c>
      <c r="L16" s="16">
        <v>2823.8100589999999</v>
      </c>
    </row>
    <row r="17" spans="1:12" hidden="1" outlineLevel="1" x14ac:dyDescent="0.25">
      <c r="A17" s="15">
        <v>43070</v>
      </c>
      <c r="B17" s="16">
        <v>83.418030000000002</v>
      </c>
      <c r="C17" s="16">
        <v>165.37802099999999</v>
      </c>
      <c r="D17" s="16">
        <v>1169.469971</v>
      </c>
      <c r="E17" s="16">
        <v>104.987228</v>
      </c>
      <c r="F17" s="16">
        <v>36.652641000000003</v>
      </c>
      <c r="G17" s="16">
        <v>102.915176</v>
      </c>
      <c r="H17" s="16">
        <v>1046.400024</v>
      </c>
      <c r="I17" s="16">
        <v>78.529715999999993</v>
      </c>
      <c r="J17" s="16">
        <v>87.437859000000003</v>
      </c>
      <c r="K17" s="16">
        <v>28.839827</v>
      </c>
      <c r="L17" s="16">
        <v>2673.610107</v>
      </c>
    </row>
    <row r="18" spans="1:12" hidden="1" outlineLevel="1" x14ac:dyDescent="0.25">
      <c r="A18" s="15">
        <v>43040</v>
      </c>
      <c r="B18" s="16">
        <v>81.671859999999995</v>
      </c>
      <c r="C18" s="16">
        <v>167.336838</v>
      </c>
      <c r="D18" s="16">
        <v>1176.75</v>
      </c>
      <c r="E18" s="16">
        <v>102.360344</v>
      </c>
      <c r="F18" s="16">
        <v>35.695652000000003</v>
      </c>
      <c r="G18" s="16">
        <v>100.586243</v>
      </c>
      <c r="H18" s="16">
        <v>1021.409973</v>
      </c>
      <c r="I18" s="16">
        <v>77.483993999999996</v>
      </c>
      <c r="J18" s="16">
        <v>85.639235999999997</v>
      </c>
      <c r="K18" s="16">
        <v>27.404153999999998</v>
      </c>
      <c r="L18" s="16">
        <v>2584.8400879999999</v>
      </c>
    </row>
    <row r="19" spans="1:12" hidden="1" outlineLevel="1" x14ac:dyDescent="0.25">
      <c r="A19" s="15">
        <v>43009</v>
      </c>
      <c r="B19" s="16">
        <v>80.711250000000007</v>
      </c>
      <c r="C19" s="16">
        <v>164.60063199999999</v>
      </c>
      <c r="D19" s="16">
        <v>1105.280029</v>
      </c>
      <c r="E19" s="16">
        <v>95.514831999999998</v>
      </c>
      <c r="F19" s="16">
        <v>32.401153999999998</v>
      </c>
      <c r="G19" s="16">
        <v>96.260718999999995</v>
      </c>
      <c r="H19" s="16">
        <v>1016.6400149999999</v>
      </c>
      <c r="I19" s="16">
        <v>77.539817999999997</v>
      </c>
      <c r="J19" s="16">
        <v>81.554939000000005</v>
      </c>
      <c r="K19" s="16">
        <v>26.645357000000001</v>
      </c>
      <c r="L19" s="16">
        <v>2575.26001</v>
      </c>
    </row>
    <row r="20" spans="1:12" hidden="1" outlineLevel="1" x14ac:dyDescent="0.25">
      <c r="A20" s="15">
        <v>42979</v>
      </c>
      <c r="B20" s="16">
        <v>72.279167000000001</v>
      </c>
      <c r="C20" s="16">
        <v>150.072464</v>
      </c>
      <c r="D20" s="16">
        <v>961.34997599999997</v>
      </c>
      <c r="E20" s="16">
        <v>96.257003999999995</v>
      </c>
      <c r="F20" s="16">
        <v>31.907786999999999</v>
      </c>
      <c r="G20" s="16">
        <v>91.381186999999997</v>
      </c>
      <c r="H20" s="16">
        <v>959.10998500000005</v>
      </c>
      <c r="I20" s="16">
        <v>76.265326999999999</v>
      </c>
      <c r="J20" s="16">
        <v>85.937781999999999</v>
      </c>
      <c r="K20" s="16">
        <v>24.651091000000001</v>
      </c>
      <c r="L20" s="16">
        <v>2519.360107</v>
      </c>
    </row>
    <row r="21" spans="1:12" hidden="1" outlineLevel="1" x14ac:dyDescent="0.25">
      <c r="A21" s="15">
        <v>42948</v>
      </c>
      <c r="B21" s="16">
        <v>72.166336000000001</v>
      </c>
      <c r="C21" s="16">
        <v>159.06832900000001</v>
      </c>
      <c r="D21" s="16">
        <v>980.59997599999997</v>
      </c>
      <c r="E21" s="16">
        <v>98.825287000000003</v>
      </c>
      <c r="F21" s="16">
        <v>30.560503000000001</v>
      </c>
      <c r="G21" s="16">
        <v>86.960898999999998</v>
      </c>
      <c r="H21" s="16">
        <v>939.330017</v>
      </c>
      <c r="I21" s="16">
        <v>70.327492000000007</v>
      </c>
      <c r="J21" s="16">
        <v>87.156272999999999</v>
      </c>
      <c r="K21" s="16">
        <v>23.122237999999999</v>
      </c>
      <c r="L21" s="16">
        <v>2471.6499020000001</v>
      </c>
    </row>
    <row r="22" spans="1:12" hidden="1" outlineLevel="1" x14ac:dyDescent="0.25">
      <c r="A22" s="15">
        <v>42917</v>
      </c>
      <c r="B22" s="16">
        <v>70.168426999999994</v>
      </c>
      <c r="C22" s="16">
        <v>144.257507</v>
      </c>
      <c r="D22" s="16">
        <v>987.78002900000001</v>
      </c>
      <c r="E22" s="16">
        <v>106.557732</v>
      </c>
      <c r="F22" s="16">
        <v>29.563219</v>
      </c>
      <c r="G22" s="16">
        <v>87.351089000000002</v>
      </c>
      <c r="H22" s="16">
        <v>930.5</v>
      </c>
      <c r="I22" s="16">
        <v>73.745750000000001</v>
      </c>
      <c r="J22" s="16">
        <v>85.119247000000001</v>
      </c>
      <c r="K22" s="16">
        <v>23.344847000000001</v>
      </c>
      <c r="L22" s="16">
        <v>2470.3000489999999</v>
      </c>
    </row>
    <row r="23" spans="1:12" hidden="1" outlineLevel="1" x14ac:dyDescent="0.25">
      <c r="A23" s="15">
        <v>42887</v>
      </c>
      <c r="B23" s="16">
        <v>66.529708999999997</v>
      </c>
      <c r="C23" s="16">
        <v>139.68914799999999</v>
      </c>
      <c r="D23" s="16">
        <v>968</v>
      </c>
      <c r="E23" s="16">
        <v>102.990623</v>
      </c>
      <c r="F23" s="16">
        <v>29.422215999999999</v>
      </c>
      <c r="G23" s="16">
        <v>86.970473999999996</v>
      </c>
      <c r="H23" s="16">
        <v>908.72997999999995</v>
      </c>
      <c r="I23" s="16">
        <v>74.381500000000003</v>
      </c>
      <c r="J23" s="16">
        <v>81.679619000000002</v>
      </c>
      <c r="K23" s="16">
        <v>23.480349</v>
      </c>
      <c r="L23" s="16">
        <v>2423.4099120000001</v>
      </c>
    </row>
    <row r="24" spans="1:12" hidden="1" outlineLevel="1" x14ac:dyDescent="0.25">
      <c r="A24" s="15">
        <v>42856</v>
      </c>
      <c r="B24" s="16">
        <v>67.023842000000002</v>
      </c>
      <c r="C24" s="16">
        <v>147.55728099999999</v>
      </c>
      <c r="D24" s="16">
        <v>994.61999500000002</v>
      </c>
      <c r="E24" s="16">
        <v>104.628792</v>
      </c>
      <c r="F24" s="16">
        <v>29.63842</v>
      </c>
      <c r="G24" s="16">
        <v>78.168746999999996</v>
      </c>
      <c r="H24" s="16">
        <v>964.85998500000005</v>
      </c>
      <c r="I24" s="16">
        <v>73.475723000000002</v>
      </c>
      <c r="J24" s="16">
        <v>82.560599999999994</v>
      </c>
      <c r="K24" s="16">
        <v>21.618797000000001</v>
      </c>
      <c r="L24" s="16">
        <v>2411.8000489999999</v>
      </c>
    </row>
    <row r="25" spans="1:12" hidden="1" outlineLevel="1" x14ac:dyDescent="0.25">
      <c r="A25" s="15">
        <v>42826</v>
      </c>
      <c r="B25" s="16">
        <v>65.699493000000004</v>
      </c>
      <c r="C25" s="16">
        <v>138.75753800000001</v>
      </c>
      <c r="D25" s="16">
        <v>924.98999000000003</v>
      </c>
      <c r="E25" s="16">
        <v>112.053802</v>
      </c>
      <c r="F25" s="16">
        <v>31.749458000000001</v>
      </c>
      <c r="G25" s="16">
        <v>81.839393999999999</v>
      </c>
      <c r="H25" s="16">
        <v>905.96002199999998</v>
      </c>
      <c r="I25" s="16">
        <v>74.525383000000005</v>
      </c>
      <c r="J25" s="16">
        <v>81.226699999999994</v>
      </c>
      <c r="K25" s="16">
        <v>22.515962999999999</v>
      </c>
      <c r="L25" s="16">
        <v>2384.1999510000001</v>
      </c>
    </row>
    <row r="26" spans="1:12" hidden="1" outlineLevel="1" x14ac:dyDescent="0.25">
      <c r="A26" s="15">
        <v>42795</v>
      </c>
      <c r="B26" s="16">
        <v>63.204323000000002</v>
      </c>
      <c r="C26" s="16">
        <v>138.76719700000001</v>
      </c>
      <c r="D26" s="16">
        <v>886.53997800000002</v>
      </c>
      <c r="E26" s="16">
        <v>109.911591</v>
      </c>
      <c r="F26" s="16">
        <v>31.497848999999999</v>
      </c>
      <c r="G26" s="16">
        <v>82.629554999999996</v>
      </c>
      <c r="H26" s="16">
        <v>829.55999799999995</v>
      </c>
      <c r="I26" s="16">
        <v>74.853981000000005</v>
      </c>
      <c r="J26" s="16">
        <v>83.570580000000007</v>
      </c>
      <c r="K26" s="16">
        <v>22.687978999999999</v>
      </c>
      <c r="L26" s="16">
        <v>2362.719971</v>
      </c>
    </row>
    <row r="27" spans="1:12" hidden="1" outlineLevel="1" x14ac:dyDescent="0.25">
      <c r="A27" s="15">
        <v>42767</v>
      </c>
      <c r="B27" s="16">
        <v>61.030147999999997</v>
      </c>
      <c r="C27" s="16">
        <v>131.75315900000001</v>
      </c>
      <c r="D27" s="16">
        <v>845.03997800000002</v>
      </c>
      <c r="E27" s="16">
        <v>106.712822</v>
      </c>
      <c r="F27" s="16">
        <v>31.851963000000001</v>
      </c>
      <c r="G27" s="16">
        <v>85.244675000000001</v>
      </c>
      <c r="H27" s="16">
        <v>823.21002199999998</v>
      </c>
      <c r="I27" s="16">
        <v>73.551597999999998</v>
      </c>
      <c r="J27" s="16">
        <v>84.705321999999995</v>
      </c>
      <c r="K27" s="16">
        <v>23.736301000000001</v>
      </c>
      <c r="L27" s="16">
        <v>2363.639893</v>
      </c>
    </row>
    <row r="28" spans="1:12" hidden="1" outlineLevel="1" x14ac:dyDescent="0.25">
      <c r="A28" s="15">
        <v>42736</v>
      </c>
      <c r="B28" s="16">
        <v>61.669257999999999</v>
      </c>
      <c r="C28" s="16">
        <v>116.711029</v>
      </c>
      <c r="D28" s="16">
        <v>823.47997999999995</v>
      </c>
      <c r="E28" s="16">
        <v>107.255653</v>
      </c>
      <c r="F28" s="16">
        <v>28.383908999999999</v>
      </c>
      <c r="G28" s="16">
        <v>79.171927999999994</v>
      </c>
      <c r="H28" s="16">
        <v>796.78997800000002</v>
      </c>
      <c r="I28" s="16">
        <v>75.876082999999994</v>
      </c>
      <c r="J28" s="16">
        <v>80.837654000000001</v>
      </c>
      <c r="K28" s="16">
        <v>21.774304999999998</v>
      </c>
      <c r="L28" s="16">
        <v>2278.8701169999999</v>
      </c>
    </row>
    <row r="29" spans="1:12" hidden="1" outlineLevel="1" x14ac:dyDescent="0.25">
      <c r="A29" s="15">
        <v>42705</v>
      </c>
      <c r="B29" s="16">
        <v>59.274974999999998</v>
      </c>
      <c r="C29" s="16">
        <v>111.392426</v>
      </c>
      <c r="D29" s="16">
        <v>768.65997300000004</v>
      </c>
      <c r="E29" s="16">
        <v>100.25029000000001</v>
      </c>
      <c r="F29" s="16">
        <v>27.921932000000002</v>
      </c>
      <c r="G29" s="16">
        <v>79.976433</v>
      </c>
      <c r="H29" s="16">
        <v>771.82000700000003</v>
      </c>
      <c r="I29" s="16">
        <v>81.637580999999997</v>
      </c>
      <c r="J29" s="16">
        <v>77.589386000000005</v>
      </c>
      <c r="K29" s="16">
        <v>22.207101999999999</v>
      </c>
      <c r="L29" s="16">
        <v>2238.830078</v>
      </c>
    </row>
    <row r="30" spans="1:12" hidden="1" outlineLevel="1" x14ac:dyDescent="0.25">
      <c r="A30" s="15">
        <v>42675</v>
      </c>
      <c r="B30" s="16">
        <v>57.095942999999998</v>
      </c>
      <c r="C30" s="16">
        <v>105.752083</v>
      </c>
      <c r="D30" s="16">
        <v>750.57000700000003</v>
      </c>
      <c r="E30" s="16">
        <v>95.344550999999996</v>
      </c>
      <c r="F30" s="16">
        <v>27.552344999999999</v>
      </c>
      <c r="G30" s="16">
        <v>74.999542000000005</v>
      </c>
      <c r="H30" s="16">
        <v>758.03997800000002</v>
      </c>
      <c r="I30" s="16">
        <v>78.267311000000007</v>
      </c>
      <c r="J30" s="16">
        <v>76.094452000000004</v>
      </c>
      <c r="K30" s="16">
        <v>20.237345000000001</v>
      </c>
      <c r="L30" s="16">
        <v>2198.8100589999999</v>
      </c>
    </row>
    <row r="31" spans="1:12" hidden="1" outlineLevel="1" x14ac:dyDescent="0.25">
      <c r="A31" s="15">
        <v>42644</v>
      </c>
      <c r="B31" s="16">
        <v>56.773800000000001</v>
      </c>
      <c r="C31" s="16">
        <v>108.6418</v>
      </c>
      <c r="D31" s="16">
        <v>789.82000700000003</v>
      </c>
      <c r="E31" s="16">
        <v>89.159462000000005</v>
      </c>
      <c r="F31" s="16">
        <v>28.114598999999998</v>
      </c>
      <c r="G31" s="16">
        <v>64.325576999999996</v>
      </c>
      <c r="H31" s="16">
        <v>784.53997800000002</v>
      </c>
      <c r="I31" s="16">
        <v>74.699112</v>
      </c>
      <c r="J31" s="16">
        <v>79.486182999999997</v>
      </c>
      <c r="K31" s="16">
        <v>15.810428</v>
      </c>
      <c r="L31" s="16">
        <v>2126.1499020000001</v>
      </c>
    </row>
    <row r="32" spans="1:12" hidden="1" outlineLevel="1" x14ac:dyDescent="0.25">
      <c r="A32" s="15">
        <v>42614</v>
      </c>
      <c r="B32" s="16">
        <v>54.575614999999999</v>
      </c>
      <c r="C32" s="16">
        <v>108.172951</v>
      </c>
      <c r="D32" s="16">
        <v>837.30999799999995</v>
      </c>
      <c r="E32" s="16">
        <v>89.322997999999998</v>
      </c>
      <c r="F32" s="16">
        <v>29.067637999999999</v>
      </c>
      <c r="G32" s="16">
        <v>61.845795000000003</v>
      </c>
      <c r="H32" s="16">
        <v>777.28997800000002</v>
      </c>
      <c r="I32" s="16">
        <v>78.249358999999998</v>
      </c>
      <c r="J32" s="16">
        <v>82.187613999999996</v>
      </c>
      <c r="K32" s="16">
        <v>14.995948</v>
      </c>
      <c r="L32" s="16">
        <v>2168.2700199999999</v>
      </c>
    </row>
    <row r="33" spans="1:12" hidden="1" outlineLevel="1" x14ac:dyDescent="0.25">
      <c r="A33" s="15">
        <v>42583</v>
      </c>
      <c r="B33" s="16">
        <v>54.105742999999997</v>
      </c>
      <c r="C33" s="16">
        <v>100.97575399999999</v>
      </c>
      <c r="D33" s="16">
        <v>769.15997300000004</v>
      </c>
      <c r="E33" s="16">
        <v>90.862044999999995</v>
      </c>
      <c r="F33" s="16">
        <v>28.811050000000002</v>
      </c>
      <c r="G33" s="16">
        <v>62.690964000000001</v>
      </c>
      <c r="H33" s="16">
        <v>767.04998799999998</v>
      </c>
      <c r="I33" s="16">
        <v>77.463286999999994</v>
      </c>
      <c r="J33" s="16">
        <v>79.953201000000007</v>
      </c>
      <c r="K33" s="16">
        <v>15.393826000000001</v>
      </c>
      <c r="L33" s="16">
        <v>2170.9499510000001</v>
      </c>
    </row>
    <row r="34" spans="1:12" hidden="1" outlineLevel="1" x14ac:dyDescent="0.25">
      <c r="A34" s="15">
        <v>42552</v>
      </c>
      <c r="B34" s="16">
        <v>53.371273000000002</v>
      </c>
      <c r="C34" s="16">
        <v>99.177031999999997</v>
      </c>
      <c r="D34" s="16">
        <v>758.80999799999995</v>
      </c>
      <c r="E34" s="16">
        <v>91.629677000000001</v>
      </c>
      <c r="F34" s="16">
        <v>27.724572999999999</v>
      </c>
      <c r="G34" s="16">
        <v>58.953522</v>
      </c>
      <c r="H34" s="16">
        <v>768.78997800000002</v>
      </c>
      <c r="I34" s="16">
        <v>79.072281000000004</v>
      </c>
      <c r="J34" s="16">
        <v>77.769172999999995</v>
      </c>
      <c r="K34" s="16">
        <v>13.820107</v>
      </c>
      <c r="L34" s="16">
        <v>2173.6000979999999</v>
      </c>
    </row>
    <row r="35" spans="1:12" hidden="1" outlineLevel="1" x14ac:dyDescent="0.25">
      <c r="A35" s="15">
        <v>42522</v>
      </c>
      <c r="B35" s="16">
        <v>48.182921999999998</v>
      </c>
      <c r="C35" s="16">
        <v>90.982879999999994</v>
      </c>
      <c r="D35" s="16">
        <v>715.61999500000002</v>
      </c>
      <c r="E35" s="16">
        <v>93.415481999999997</v>
      </c>
      <c r="F35" s="16">
        <v>26.053647999999999</v>
      </c>
      <c r="G35" s="16">
        <v>57.267029000000001</v>
      </c>
      <c r="H35" s="16">
        <v>692.09997599999997</v>
      </c>
      <c r="I35" s="16">
        <v>83.330376000000001</v>
      </c>
      <c r="J35" s="16">
        <v>76.933243000000004</v>
      </c>
      <c r="K35" s="16">
        <v>12.613723</v>
      </c>
      <c r="L35" s="16">
        <v>2098.860107</v>
      </c>
    </row>
    <row r="36" spans="1:12" hidden="1" outlineLevel="1" x14ac:dyDescent="0.25">
      <c r="A36" s="15">
        <v>42491</v>
      </c>
      <c r="B36" s="16">
        <v>49.559452</v>
      </c>
      <c r="C36" s="16">
        <v>94.462020999999993</v>
      </c>
      <c r="D36" s="16">
        <v>722.78997800000002</v>
      </c>
      <c r="E36" s="16">
        <v>94.752433999999994</v>
      </c>
      <c r="F36" s="16">
        <v>26.380564</v>
      </c>
      <c r="G36" s="16">
        <v>60.151581</v>
      </c>
      <c r="H36" s="16">
        <v>735.71997099999999</v>
      </c>
      <c r="I36" s="16">
        <v>78.474982999999995</v>
      </c>
      <c r="J36" s="16">
        <v>73.634933000000004</v>
      </c>
      <c r="K36" s="16">
        <v>14.058553</v>
      </c>
      <c r="L36" s="16">
        <v>2096.9499510000001</v>
      </c>
    </row>
    <row r="37" spans="1:12" hidden="1" outlineLevel="1" x14ac:dyDescent="0.25">
      <c r="A37" s="15">
        <v>42461</v>
      </c>
      <c r="B37" s="16">
        <v>46.632641</v>
      </c>
      <c r="C37" s="16">
        <v>88.672828999999993</v>
      </c>
      <c r="D37" s="16">
        <v>659.59002699999996</v>
      </c>
      <c r="E37" s="16">
        <v>98.610527000000005</v>
      </c>
      <c r="F37" s="16">
        <v>24.737682</v>
      </c>
      <c r="G37" s="16">
        <v>57.815860999999998</v>
      </c>
      <c r="H37" s="16">
        <v>693.01000999999997</v>
      </c>
      <c r="I37" s="16">
        <v>77.928443999999999</v>
      </c>
      <c r="J37" s="16">
        <v>72.207947000000004</v>
      </c>
      <c r="K37" s="16">
        <v>13.839926</v>
      </c>
      <c r="L37" s="16">
        <v>2065.3000489999999</v>
      </c>
    </row>
    <row r="38" spans="1:12" hidden="1" outlineLevel="1" x14ac:dyDescent="0.25">
      <c r="A38" s="15">
        <v>42430</v>
      </c>
      <c r="B38" s="16">
        <v>51.644699000000003</v>
      </c>
      <c r="C38" s="16">
        <v>103.098488</v>
      </c>
      <c r="D38" s="16">
        <v>593.64001499999995</v>
      </c>
      <c r="E38" s="16">
        <v>94.838393999999994</v>
      </c>
      <c r="F38" s="16">
        <v>25.619565999999999</v>
      </c>
      <c r="G38" s="16">
        <v>54.174923</v>
      </c>
      <c r="H38" s="16">
        <v>744.95001200000002</v>
      </c>
      <c r="I38" s="16">
        <v>73.688209999999998</v>
      </c>
      <c r="J38" s="16">
        <v>74.181670999999994</v>
      </c>
      <c r="K38" s="16">
        <v>12.802644000000001</v>
      </c>
      <c r="L38" s="16">
        <v>2059.73999</v>
      </c>
    </row>
    <row r="39" spans="1:12" hidden="1" outlineLevel="1" x14ac:dyDescent="0.25">
      <c r="A39" s="15">
        <v>42401</v>
      </c>
      <c r="B39" s="16">
        <v>47.237910999999997</v>
      </c>
      <c r="C39" s="16">
        <v>90.969727000000006</v>
      </c>
      <c r="D39" s="16">
        <v>552.52002000000005</v>
      </c>
      <c r="E39" s="16">
        <v>91.219031999999999</v>
      </c>
      <c r="F39" s="16">
        <v>23.558841999999999</v>
      </c>
      <c r="G39" s="16">
        <v>51.503681</v>
      </c>
      <c r="H39" s="16">
        <v>697.77002000000005</v>
      </c>
      <c r="I39" s="16">
        <v>70.020179999999996</v>
      </c>
      <c r="J39" s="16">
        <v>72.361159999999998</v>
      </c>
      <c r="K39" s="16">
        <v>11.855703</v>
      </c>
      <c r="L39" s="16">
        <v>1932.2299800000001</v>
      </c>
    </row>
    <row r="40" spans="1:12" hidden="1" outlineLevel="1" x14ac:dyDescent="0.25">
      <c r="A40" s="15">
        <v>42370</v>
      </c>
      <c r="B40" s="16">
        <v>51.146557000000001</v>
      </c>
      <c r="C40" s="16">
        <v>91.581260999999998</v>
      </c>
      <c r="D40" s="16">
        <v>587</v>
      </c>
      <c r="E40" s="16">
        <v>91.505531000000005</v>
      </c>
      <c r="F40" s="16">
        <v>21.242607</v>
      </c>
      <c r="G40" s="16">
        <v>54.068367000000002</v>
      </c>
      <c r="H40" s="16">
        <v>742.95001200000002</v>
      </c>
      <c r="I40" s="16">
        <v>68.010857000000001</v>
      </c>
      <c r="J40" s="16">
        <v>72.986855000000006</v>
      </c>
      <c r="K40" s="16">
        <v>13.389747</v>
      </c>
      <c r="L40" s="16">
        <v>1940.23999</v>
      </c>
    </row>
    <row r="41" spans="1:12" hidden="1" outlineLevel="1" x14ac:dyDescent="0.25">
      <c r="A41" s="15">
        <v>42339</v>
      </c>
      <c r="B41" s="16">
        <v>51.508643999999997</v>
      </c>
      <c r="C41" s="16">
        <v>99.032730000000001</v>
      </c>
      <c r="D41" s="16">
        <v>675.89001499999995</v>
      </c>
      <c r="E41" s="16">
        <v>99.709427000000005</v>
      </c>
      <c r="F41" s="16">
        <v>24.251749</v>
      </c>
      <c r="G41" s="16">
        <v>60.002254000000001</v>
      </c>
      <c r="H41" s="16">
        <v>758.88000499999998</v>
      </c>
      <c r="I41" s="16">
        <v>68.098228000000006</v>
      </c>
      <c r="J41" s="16">
        <v>70.949744999999993</v>
      </c>
      <c r="K41" s="16">
        <v>15.892275</v>
      </c>
      <c r="L41" s="16">
        <v>2043.9399410000001</v>
      </c>
    </row>
    <row r="42" spans="1:12" hidden="1" outlineLevel="1" x14ac:dyDescent="0.25">
      <c r="A42" s="15">
        <v>42309</v>
      </c>
      <c r="B42" s="16">
        <v>50.121684999999999</v>
      </c>
      <c r="C42" s="16">
        <v>110.826881</v>
      </c>
      <c r="D42" s="16">
        <v>664.79998799999998</v>
      </c>
      <c r="E42" s="16">
        <v>107.670609</v>
      </c>
      <c r="F42" s="16">
        <v>24.332115000000002</v>
      </c>
      <c r="G42" s="16">
        <v>60.592914999999998</v>
      </c>
      <c r="H42" s="16">
        <v>742.59997599999997</v>
      </c>
      <c r="I42" s="16">
        <v>70.722815999999995</v>
      </c>
      <c r="J42" s="16">
        <v>66.866637999999995</v>
      </c>
      <c r="K42" s="16">
        <v>16.458843000000002</v>
      </c>
      <c r="L42" s="16">
        <v>2080.4099120000001</v>
      </c>
    </row>
    <row r="43" spans="1:12" hidden="1" outlineLevel="1" x14ac:dyDescent="0.25">
      <c r="A43" s="15">
        <v>42278</v>
      </c>
      <c r="B43" s="16">
        <v>48.544724000000002</v>
      </c>
      <c r="C43" s="16">
        <v>111.95108</v>
      </c>
      <c r="D43" s="16">
        <v>625.90002400000003</v>
      </c>
      <c r="E43" s="16">
        <v>107.926804</v>
      </c>
      <c r="F43" s="16">
        <v>25.554701000000001</v>
      </c>
      <c r="G43" s="16">
        <v>57.966492000000002</v>
      </c>
      <c r="H43" s="16">
        <v>710.80999799999995</v>
      </c>
      <c r="I43" s="16">
        <v>71.658150000000006</v>
      </c>
      <c r="J43" s="16">
        <v>67.634765999999999</v>
      </c>
      <c r="K43" s="16">
        <v>15.845060999999999</v>
      </c>
      <c r="L43" s="16">
        <v>2079.360107</v>
      </c>
    </row>
    <row r="44" spans="1:12" hidden="1" outlineLevel="1" x14ac:dyDescent="0.25">
      <c r="A44" s="15">
        <v>42248</v>
      </c>
      <c r="B44" s="16">
        <v>40.816662000000001</v>
      </c>
      <c r="C44" s="16">
        <v>103.332245</v>
      </c>
      <c r="D44" s="16">
        <v>511.89001500000001</v>
      </c>
      <c r="E44" s="16">
        <v>96.976607999999999</v>
      </c>
      <c r="F44" s="16">
        <v>23.251677000000001</v>
      </c>
      <c r="G44" s="16">
        <v>55.007271000000003</v>
      </c>
      <c r="H44" s="16">
        <v>608.419983</v>
      </c>
      <c r="I44" s="16">
        <v>64.391875999999996</v>
      </c>
      <c r="J44" s="16">
        <v>63.703136000000001</v>
      </c>
      <c r="K44" s="16">
        <v>14.664707999999999</v>
      </c>
      <c r="L44" s="16">
        <v>1920.030029</v>
      </c>
    </row>
    <row r="45" spans="1:12" hidden="1" outlineLevel="1" x14ac:dyDescent="0.25">
      <c r="A45" s="15">
        <v>42217</v>
      </c>
      <c r="B45" s="16">
        <v>39.871310999999999</v>
      </c>
      <c r="C45" s="16">
        <v>105.310059</v>
      </c>
      <c r="D45" s="16">
        <v>512.89001499999995</v>
      </c>
      <c r="E45" s="16">
        <v>96.672957999999994</v>
      </c>
      <c r="F45" s="16">
        <v>22.923939000000001</v>
      </c>
      <c r="G45" s="16">
        <v>57.831158000000002</v>
      </c>
      <c r="H45" s="16">
        <v>637.60998500000005</v>
      </c>
      <c r="I45" s="16">
        <v>64.558623999999995</v>
      </c>
      <c r="J45" s="16">
        <v>62.578525999999997</v>
      </c>
      <c r="K45" s="16">
        <v>15.474186</v>
      </c>
      <c r="L45" s="16">
        <v>1972.1800539999999</v>
      </c>
    </row>
    <row r="46" spans="1:12" hidden="1" outlineLevel="1" x14ac:dyDescent="0.25">
      <c r="A46" s="15">
        <v>42186</v>
      </c>
      <c r="B46" s="16">
        <v>42.784706</v>
      </c>
      <c r="C46" s="16">
        <v>113.125298</v>
      </c>
      <c r="D46" s="16">
        <v>536.15002400000003</v>
      </c>
      <c r="E46" s="16">
        <v>113.208443</v>
      </c>
      <c r="F46" s="16">
        <v>24.981300000000001</v>
      </c>
      <c r="G46" s="16">
        <v>61.426437</v>
      </c>
      <c r="H46" s="16">
        <v>625.60998500000005</v>
      </c>
      <c r="I46" s="16">
        <v>67.965027000000006</v>
      </c>
      <c r="J46" s="16">
        <v>67.366591999999997</v>
      </c>
      <c r="K46" s="16">
        <v>16.829584000000001</v>
      </c>
      <c r="L46" s="16">
        <v>2103.8400879999999</v>
      </c>
    </row>
    <row r="47" spans="1:12" hidden="1" outlineLevel="1" x14ac:dyDescent="0.25">
      <c r="A47" s="15">
        <v>42156</v>
      </c>
      <c r="B47" s="16">
        <v>40.44849</v>
      </c>
      <c r="C47" s="16">
        <v>116.976997</v>
      </c>
      <c r="D47" s="16">
        <v>434.08999599999999</v>
      </c>
      <c r="E47" s="16">
        <v>107.68010700000001</v>
      </c>
      <c r="F47" s="16">
        <v>24.137459</v>
      </c>
      <c r="G47" s="16">
        <v>60.736240000000002</v>
      </c>
      <c r="H47" s="16">
        <v>520.51000999999997</v>
      </c>
      <c r="I47" s="16">
        <v>71.388587999999999</v>
      </c>
      <c r="J47" s="16">
        <v>68.719177000000002</v>
      </c>
      <c r="K47" s="16">
        <v>15.972205000000001</v>
      </c>
      <c r="L47" s="16">
        <v>2063.110107</v>
      </c>
    </row>
    <row r="48" spans="1:12" hidden="1" outlineLevel="1" x14ac:dyDescent="0.25">
      <c r="A48" s="15">
        <v>42125</v>
      </c>
      <c r="B48" s="16">
        <v>42.654083</v>
      </c>
      <c r="C48" s="16">
        <v>120.994698</v>
      </c>
      <c r="D48" s="16">
        <v>429.23001099999999</v>
      </c>
      <c r="E48" s="16">
        <v>104.12346599999999</v>
      </c>
      <c r="F48" s="16">
        <v>25.763608999999999</v>
      </c>
      <c r="G48" s="16">
        <v>58.961491000000002</v>
      </c>
      <c r="H48" s="16">
        <v>532.10998500000005</v>
      </c>
      <c r="I48" s="16">
        <v>72.504981999999998</v>
      </c>
      <c r="J48" s="16">
        <v>68.850937000000002</v>
      </c>
      <c r="K48" s="16">
        <v>15.484215000000001</v>
      </c>
      <c r="L48" s="16">
        <v>2107.389893</v>
      </c>
    </row>
    <row r="49" spans="1:12" hidden="1" outlineLevel="1" x14ac:dyDescent="0.25">
      <c r="A49" s="15">
        <v>42095</v>
      </c>
      <c r="B49" s="16">
        <v>44.274323000000003</v>
      </c>
      <c r="C49" s="16">
        <v>116.230362</v>
      </c>
      <c r="D49" s="16">
        <v>421.77999899999998</v>
      </c>
      <c r="E49" s="16">
        <v>102.566872</v>
      </c>
      <c r="F49" s="16">
        <v>25.341694</v>
      </c>
      <c r="G49" s="16">
        <v>56.328296999999999</v>
      </c>
      <c r="H49" s="16">
        <v>537.34002699999996</v>
      </c>
      <c r="I49" s="16">
        <v>74.351646000000002</v>
      </c>
      <c r="J49" s="16">
        <v>69.277489000000003</v>
      </c>
      <c r="K49" s="16">
        <v>14.949308</v>
      </c>
      <c r="L49" s="16">
        <v>2085.51001</v>
      </c>
    </row>
    <row r="50" spans="1:12" hidden="1" outlineLevel="1" x14ac:dyDescent="0.25">
      <c r="A50" s="15">
        <v>42064</v>
      </c>
      <c r="B50" s="16">
        <v>37.010562999999998</v>
      </c>
      <c r="C50" s="16">
        <v>115.561661</v>
      </c>
      <c r="D50" s="16">
        <v>372.10000600000001</v>
      </c>
      <c r="E50" s="16">
        <v>98.953620999999998</v>
      </c>
      <c r="F50" s="16">
        <v>24.015196</v>
      </c>
      <c r="G50" s="16">
        <v>53.941963000000001</v>
      </c>
      <c r="H50" s="16">
        <v>545.000854</v>
      </c>
      <c r="I50" s="16">
        <v>72.334784999999997</v>
      </c>
      <c r="J50" s="16">
        <v>71.394767999999999</v>
      </c>
      <c r="K50" s="16">
        <v>14.39753</v>
      </c>
      <c r="L50" s="16">
        <v>2067.889893</v>
      </c>
    </row>
    <row r="51" spans="1:12" hidden="1" outlineLevel="1" x14ac:dyDescent="0.25">
      <c r="A51" s="15">
        <v>42036</v>
      </c>
      <c r="B51" s="16">
        <v>39.632201999999999</v>
      </c>
      <c r="C51" s="16">
        <v>118.835442</v>
      </c>
      <c r="D51" s="16">
        <v>380.16000400000001</v>
      </c>
      <c r="E51" s="16">
        <v>98.189468000000005</v>
      </c>
      <c r="F51" s="16">
        <v>25.742405000000002</v>
      </c>
      <c r="G51" s="16">
        <v>54.565269000000001</v>
      </c>
      <c r="H51" s="16">
        <v>555.34393299999999</v>
      </c>
      <c r="I51" s="16">
        <v>74.784415999999993</v>
      </c>
      <c r="J51" s="16">
        <v>74.174216999999999</v>
      </c>
      <c r="K51" s="16">
        <v>14.790445</v>
      </c>
      <c r="L51" s="16">
        <v>2104.5</v>
      </c>
    </row>
    <row r="52" spans="1:12" hidden="1" outlineLevel="1" x14ac:dyDescent="0.25">
      <c r="A52" s="15">
        <v>42005</v>
      </c>
      <c r="B52" s="16">
        <v>36.514049999999997</v>
      </c>
      <c r="C52" s="16">
        <v>108.382065</v>
      </c>
      <c r="D52" s="16">
        <v>354.52999899999998</v>
      </c>
      <c r="E52" s="16">
        <v>85.811995999999994</v>
      </c>
      <c r="F52" s="16">
        <v>22.846188000000001</v>
      </c>
      <c r="G52" s="16">
        <v>48.111832</v>
      </c>
      <c r="H52" s="16">
        <v>531.594604</v>
      </c>
      <c r="I52" s="16">
        <v>73.838408999999999</v>
      </c>
      <c r="J52" s="16">
        <v>72.923996000000002</v>
      </c>
      <c r="K52" s="16">
        <v>14.173007999999999</v>
      </c>
      <c r="L52" s="16">
        <v>1994.98999</v>
      </c>
    </row>
    <row r="53" spans="1:12" hidden="1" outlineLevel="1" x14ac:dyDescent="0.25">
      <c r="A53" s="15">
        <v>41974</v>
      </c>
      <c r="B53" s="16">
        <v>41.982117000000002</v>
      </c>
      <c r="C53" s="16">
        <v>102.110046</v>
      </c>
      <c r="D53" s="16">
        <v>310.35000600000001</v>
      </c>
      <c r="E53" s="16">
        <v>87.743988000000002</v>
      </c>
      <c r="F53" s="16">
        <v>24.102428</v>
      </c>
      <c r="G53" s="16">
        <v>55.366641999999999</v>
      </c>
      <c r="H53" s="16">
        <v>523.52142300000003</v>
      </c>
      <c r="I53" s="16">
        <v>78.086937000000006</v>
      </c>
      <c r="J53" s="16">
        <v>78.807052999999996</v>
      </c>
      <c r="K53" s="16">
        <v>16.687517</v>
      </c>
      <c r="L53" s="16">
        <v>2058.8999020000001</v>
      </c>
    </row>
    <row r="54" spans="1:12" hidden="1" outlineLevel="1" x14ac:dyDescent="0.25">
      <c r="A54" s="15">
        <v>41944</v>
      </c>
      <c r="B54" s="16">
        <v>42.940472</v>
      </c>
      <c r="C54" s="16">
        <v>109.544456</v>
      </c>
      <c r="D54" s="16">
        <v>338.64001500000001</v>
      </c>
      <c r="E54" s="16">
        <v>86.178946999999994</v>
      </c>
      <c r="F54" s="16">
        <v>23.946480000000001</v>
      </c>
      <c r="G54" s="16">
        <v>53.225589999999997</v>
      </c>
      <c r="H54" s="16">
        <v>538.86700399999995</v>
      </c>
      <c r="I54" s="16">
        <v>75.925522000000001</v>
      </c>
      <c r="J54" s="16">
        <v>78.236046000000002</v>
      </c>
      <c r="K54" s="16">
        <v>15.894648</v>
      </c>
      <c r="L54" s="16">
        <v>2067.5600589999999</v>
      </c>
    </row>
    <row r="55" spans="1:12" hidden="1" outlineLevel="1" x14ac:dyDescent="0.25">
      <c r="A55" s="15">
        <v>41913</v>
      </c>
      <c r="B55" s="16">
        <v>42.168056</v>
      </c>
      <c r="C55" s="16">
        <v>99.476996999999997</v>
      </c>
      <c r="D55" s="16">
        <v>305.459991</v>
      </c>
      <c r="E55" s="16">
        <v>85.126273999999995</v>
      </c>
      <c r="F55" s="16">
        <v>21.200087</v>
      </c>
      <c r="G55" s="16">
        <v>53.150607999999998</v>
      </c>
      <c r="H55" s="16">
        <v>556.02270499999997</v>
      </c>
      <c r="I55" s="16">
        <v>81.099602000000004</v>
      </c>
      <c r="J55" s="16">
        <v>74.927834000000004</v>
      </c>
      <c r="K55" s="16">
        <v>16.006589999999999</v>
      </c>
      <c r="L55" s="16">
        <v>2018.0500489999999</v>
      </c>
    </row>
    <row r="56" spans="1:12" hidden="1" outlineLevel="1" x14ac:dyDescent="0.25">
      <c r="A56" s="15">
        <v>41883</v>
      </c>
      <c r="B56" s="16">
        <v>41.638148999999999</v>
      </c>
      <c r="C56" s="16">
        <v>92.799132999999998</v>
      </c>
      <c r="D56" s="16">
        <v>322.44000199999999</v>
      </c>
      <c r="E56" s="16">
        <v>82.937088000000003</v>
      </c>
      <c r="F56" s="16">
        <v>21.641603</v>
      </c>
      <c r="G56" s="16">
        <v>52.939692999999998</v>
      </c>
      <c r="H56" s="16">
        <v>574.20269800000005</v>
      </c>
      <c r="I56" s="16">
        <v>78.868934999999993</v>
      </c>
      <c r="J56" s="16">
        <v>71.897086999999999</v>
      </c>
      <c r="K56" s="16">
        <v>15.855104000000001</v>
      </c>
      <c r="L56" s="16">
        <v>1972.290039</v>
      </c>
    </row>
    <row r="57" spans="1:12" hidden="1" outlineLevel="1" x14ac:dyDescent="0.25">
      <c r="A57" s="15">
        <v>41852</v>
      </c>
      <c r="B57" s="16">
        <v>40.549605999999997</v>
      </c>
      <c r="C57" s="16">
        <v>93.943755999999993</v>
      </c>
      <c r="D57" s="16">
        <v>339.040009</v>
      </c>
      <c r="E57" s="16">
        <v>83.728943000000001</v>
      </c>
      <c r="F57" s="16">
        <v>21.486840999999998</v>
      </c>
      <c r="G57" s="16">
        <v>52.245434000000003</v>
      </c>
      <c r="H57" s="16">
        <v>568.474243</v>
      </c>
      <c r="I57" s="16">
        <v>82.828682000000001</v>
      </c>
      <c r="J57" s="16">
        <v>71.356178</v>
      </c>
      <c r="K57" s="16">
        <v>14.962379</v>
      </c>
      <c r="L57" s="16">
        <v>2003.369995</v>
      </c>
    </row>
    <row r="58" spans="1:12" hidden="1" outlineLevel="1" x14ac:dyDescent="0.25">
      <c r="A58" s="15">
        <v>41821</v>
      </c>
      <c r="B58" s="16">
        <v>38.523479000000002</v>
      </c>
      <c r="C58" s="16">
        <v>87.619743</v>
      </c>
      <c r="D58" s="16">
        <v>312.98998999999998</v>
      </c>
      <c r="E58" s="16">
        <v>80.002678000000003</v>
      </c>
      <c r="F58" s="16">
        <v>21.528856000000001</v>
      </c>
      <c r="G58" s="16">
        <v>50.329315000000001</v>
      </c>
      <c r="H58" s="16">
        <v>568.474243</v>
      </c>
      <c r="I58" s="16">
        <v>82.395652999999996</v>
      </c>
      <c r="J58" s="16">
        <v>65.859229999999997</v>
      </c>
      <c r="K58" s="16">
        <v>14.181252000000001</v>
      </c>
      <c r="L58" s="16">
        <v>1930.670044</v>
      </c>
    </row>
    <row r="59" spans="1:12" hidden="1" outlineLevel="1" x14ac:dyDescent="0.25">
      <c r="A59" s="15">
        <v>41791</v>
      </c>
      <c r="B59" s="16">
        <v>37.220306000000001</v>
      </c>
      <c r="C59" s="16">
        <v>85.172629999999998</v>
      </c>
      <c r="D59" s="16">
        <v>324.77999899999998</v>
      </c>
      <c r="E59" s="16">
        <v>79.872260999999995</v>
      </c>
      <c r="F59" s="16">
        <v>21.204605000000001</v>
      </c>
      <c r="G59" s="16">
        <v>50.285682999999999</v>
      </c>
      <c r="H59" s="16">
        <v>572.134094</v>
      </c>
      <c r="I59" s="16">
        <v>83.844688000000005</v>
      </c>
      <c r="J59" s="16">
        <v>66.940987000000007</v>
      </c>
      <c r="K59" s="16">
        <v>14.283647999999999</v>
      </c>
      <c r="L59" s="16">
        <v>1960.2299800000001</v>
      </c>
    </row>
    <row r="60" spans="1:12" hidden="1" outlineLevel="1" x14ac:dyDescent="0.25">
      <c r="A60" s="15">
        <v>41760</v>
      </c>
      <c r="B60" s="16">
        <v>36.285972999999998</v>
      </c>
      <c r="C60" s="16">
        <v>79.657607999999996</v>
      </c>
      <c r="D60" s="16">
        <v>312.54998799999998</v>
      </c>
      <c r="E60" s="16">
        <v>78.260650999999996</v>
      </c>
      <c r="F60" s="16">
        <v>21.008341000000001</v>
      </c>
      <c r="G60" s="16">
        <v>48.496616000000003</v>
      </c>
      <c r="H60" s="16">
        <v>556.82824700000003</v>
      </c>
      <c r="I60" s="16">
        <v>83.155204999999995</v>
      </c>
      <c r="J60" s="16">
        <v>68.814873000000006</v>
      </c>
      <c r="K60" s="16">
        <v>14.069903</v>
      </c>
      <c r="L60" s="16">
        <v>1923.5699460000001</v>
      </c>
    </row>
    <row r="61" spans="1:12" collapsed="1" x14ac:dyDescent="0.25">
      <c r="A61" s="15">
        <v>41730</v>
      </c>
      <c r="B61" s="16">
        <v>35.807358000000001</v>
      </c>
      <c r="C61" s="16">
        <v>74.257758999999993</v>
      </c>
      <c r="D61" s="16">
        <v>304.13000499999998</v>
      </c>
      <c r="E61" s="16">
        <v>73.910247999999996</v>
      </c>
      <c r="F61" s="16">
        <v>19.552734000000001</v>
      </c>
      <c r="G61" s="16">
        <v>48.548431000000001</v>
      </c>
      <c r="H61" s="16">
        <v>523.77996800000005</v>
      </c>
      <c r="I61" s="16">
        <v>84.710296999999997</v>
      </c>
      <c r="J61" s="16">
        <v>69.757050000000007</v>
      </c>
      <c r="K61" s="16">
        <v>14.069903</v>
      </c>
      <c r="L61" s="16">
        <v>1883.9499510000001</v>
      </c>
    </row>
    <row r="62" spans="1:12" x14ac:dyDescent="0.25">
      <c r="A62" s="15">
        <v>41699</v>
      </c>
      <c r="B62" s="16">
        <v>36.330292</v>
      </c>
      <c r="C62" s="16">
        <v>67.544098000000005</v>
      </c>
      <c r="D62" s="16">
        <v>336.36999500000002</v>
      </c>
      <c r="E62" s="16">
        <v>74.590301999999994</v>
      </c>
      <c r="F62" s="16">
        <v>18.968945999999999</v>
      </c>
      <c r="G62" s="16">
        <v>52.650517000000001</v>
      </c>
      <c r="H62" s="16">
        <v>555.44500700000003</v>
      </c>
      <c r="I62" s="16">
        <v>80.797768000000005</v>
      </c>
      <c r="J62" s="16">
        <v>68.109252999999995</v>
      </c>
      <c r="K62" s="16">
        <v>15.974747000000001</v>
      </c>
      <c r="L62" s="16">
        <v>1872.339966</v>
      </c>
    </row>
    <row r="63" spans="1:12" x14ac:dyDescent="0.25">
      <c r="A63" s="15">
        <v>41671</v>
      </c>
      <c r="B63" s="16">
        <v>33.702232000000002</v>
      </c>
      <c r="C63" s="16">
        <v>63.464516000000003</v>
      </c>
      <c r="D63" s="16">
        <v>362.10000600000001</v>
      </c>
      <c r="E63" s="16">
        <v>75.279655000000005</v>
      </c>
      <c r="F63" s="16">
        <v>18.444378</v>
      </c>
      <c r="G63" s="16">
        <v>49.276932000000002</v>
      </c>
      <c r="H63" s="16">
        <v>603.89721699999996</v>
      </c>
      <c r="I63" s="16">
        <v>79.071433999999996</v>
      </c>
      <c r="J63" s="16">
        <v>66.469887</v>
      </c>
      <c r="K63" s="16">
        <v>15.35248</v>
      </c>
      <c r="L63" s="16">
        <v>1859.4499510000001</v>
      </c>
    </row>
    <row r="64" spans="1:12" x14ac:dyDescent="0.25">
      <c r="A64" s="15">
        <v>41640</v>
      </c>
      <c r="B64" s="16">
        <v>33.288746000000003</v>
      </c>
      <c r="C64" s="16">
        <v>60.372318</v>
      </c>
      <c r="D64" s="16">
        <v>358.69000199999999</v>
      </c>
      <c r="E64" s="16">
        <v>67.640839</v>
      </c>
      <c r="F64" s="16">
        <v>18.396946</v>
      </c>
      <c r="G64" s="16">
        <v>47.698771999999998</v>
      </c>
      <c r="H64" s="16">
        <v>586.66931199999999</v>
      </c>
      <c r="I64" s="16">
        <v>75.695694000000003</v>
      </c>
      <c r="J64" s="16">
        <v>64.260300000000001</v>
      </c>
      <c r="K64" s="16">
        <v>15.556805000000001</v>
      </c>
      <c r="L64" s="16">
        <v>1782.589966</v>
      </c>
    </row>
  </sheetData>
  <mergeCells count="1">
    <mergeCell ref="A1:L1"/>
  </mergeCells>
  <printOptions headings="1" gridLines="1"/>
  <pageMargins left="0.70866141732283505" right="0.70866141732283505" top="0.74803149606299202" bottom="0.74803149606299202" header="0.31496062992126" footer="0.31496062992126"/>
  <pageSetup orientation="portrait" cellComments="atEnd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142"/>
  <sheetViews>
    <sheetView topLeftCell="A68" zoomScale="120" zoomScaleNormal="120" workbookViewId="0">
      <selection activeCell="E135" sqref="E135"/>
    </sheetView>
  </sheetViews>
  <sheetFormatPr defaultColWidth="8.75" defaultRowHeight="15" outlineLevelRow="1" x14ac:dyDescent="0.25"/>
  <cols>
    <col min="1" max="1" width="7.75" style="20" bestFit="1" customWidth="1"/>
    <col min="2" max="11" width="7.25" style="14" customWidth="1"/>
    <col min="12" max="12" width="17.125" style="14" bestFit="1" customWidth="1"/>
    <col min="13" max="13" width="16.625" style="14" bestFit="1" customWidth="1"/>
    <col min="14" max="16384" width="8.75" style="14"/>
  </cols>
  <sheetData>
    <row r="1" spans="1:12" ht="18.75" x14ac:dyDescent="0.3">
      <c r="A1" s="44" t="s">
        <v>12</v>
      </c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</row>
    <row r="2" spans="1:12" x14ac:dyDescent="0.25">
      <c r="A2" s="4" t="s">
        <v>4</v>
      </c>
      <c r="B2" s="5" t="str">
        <f>'5y 10 stocks data'!B3</f>
        <v>MSFT</v>
      </c>
      <c r="C2" s="5" t="str">
        <f>'5y 10 stocks data'!C3</f>
        <v>AAPL</v>
      </c>
      <c r="D2" s="5" t="str">
        <f>'5y 10 stocks data'!D3</f>
        <v>AMZN</v>
      </c>
      <c r="E2" s="5" t="str">
        <f>'5y 10 stocks data'!E3</f>
        <v>DIS</v>
      </c>
      <c r="F2" s="5" t="str">
        <f>'5y 10 stocks data'!F3</f>
        <v>CSCO</v>
      </c>
      <c r="G2" s="5" t="str">
        <f>'5y 10 stocks data'!G3</f>
        <v>JPM</v>
      </c>
      <c r="H2" s="5" t="str">
        <f>'5y 10 stocks data'!H3</f>
        <v>GOOG</v>
      </c>
      <c r="I2" s="5" t="str">
        <f>'5y 10 stocks data'!I3</f>
        <v>XOM</v>
      </c>
      <c r="J2" s="5" t="str">
        <f>'5y 10 stocks data'!J3</f>
        <v>PG</v>
      </c>
      <c r="K2" s="5" t="str">
        <f>'5y 10 stocks data'!K3</f>
        <v>BAC</v>
      </c>
      <c r="L2" s="5" t="str">
        <f>'5y 10 stocks data'!L3</f>
        <v>^GSPC</v>
      </c>
    </row>
    <row r="3" spans="1:12" x14ac:dyDescent="0.25">
      <c r="A3" s="20">
        <f>'5y 10 stocks data'!A4</f>
        <v>43466</v>
      </c>
      <c r="B3" s="21">
        <f>LN('5y 10 stocks data'!B4/'5y 10 stocks data'!B5)</f>
        <v>2.7768755101483619E-2</v>
      </c>
      <c r="C3" s="21">
        <f>LN('5y 10 stocks data'!C4/'5y 10 stocks data'!C5)</f>
        <v>5.3686737131524026E-2</v>
      </c>
      <c r="D3" s="21">
        <f>LN('5y 10 stocks data'!D4/'5y 10 stocks data'!D5)</f>
        <v>0.13480807389925051</v>
      </c>
      <c r="E3" s="21">
        <f>LN('5y 10 stocks data'!E4/'5y 10 stocks data'!E5)</f>
        <v>2.4637228765707325E-2</v>
      </c>
      <c r="F3" s="21">
        <f>LN('5y 10 stocks data'!F4/'5y 10 stocks data'!F5)</f>
        <v>8.7453665946398418E-2</v>
      </c>
      <c r="G3" s="21">
        <f>LN('5y 10 stocks data'!G4/'5y 10 stocks data'!G5)</f>
        <v>5.84891836627369E-2</v>
      </c>
      <c r="H3" s="21">
        <f>LN('5y 10 stocks data'!H4/'5y 10 stocks data'!H5)</f>
        <v>7.5091735148973104E-2</v>
      </c>
      <c r="I3" s="21">
        <f>LN('5y 10 stocks data'!I4/'5y 10 stocks data'!I5)</f>
        <v>7.1989745105178291E-2</v>
      </c>
      <c r="J3" s="21">
        <f>LN('5y 10 stocks data'!J4/'5y 10 stocks data'!J5)</f>
        <v>4.8313517087927305E-2</v>
      </c>
      <c r="K3" s="21">
        <f>LN('5y 10 stocks data'!K4/'5y 10 stocks data'!K5)</f>
        <v>0.15005287056245065</v>
      </c>
      <c r="L3" s="21">
        <f>LN('5y 10 stocks data'!L4/'5y 10 stocks data'!L5)</f>
        <v>7.5742151976753658E-2</v>
      </c>
    </row>
    <row r="4" spans="1:12" x14ac:dyDescent="0.25">
      <c r="A4" s="20">
        <f>'5y 10 stocks data'!A5</f>
        <v>43435</v>
      </c>
      <c r="B4" s="21">
        <f>LN('5y 10 stocks data'!B5/'5y 10 stocks data'!B6)</f>
        <v>-8.3479711927557931E-2</v>
      </c>
      <c r="C4" s="21">
        <f>LN('5y 10 stocks data'!C5/'5y 10 stocks data'!C6)</f>
        <v>-0.12060541101283059</v>
      </c>
      <c r="D4" s="21">
        <f>LN('5y 10 stocks data'!D5/'5y 10 stocks data'!D6)</f>
        <v>-0.11805158115917956</v>
      </c>
      <c r="E4" s="21">
        <f>LN('5y 10 stocks data'!E5/'5y 10 stocks data'!E6)</f>
        <v>-5.1890423537517834E-2</v>
      </c>
      <c r="F4" s="21">
        <f>LN('5y 10 stocks data'!F5/'5y 10 stocks data'!F6)</f>
        <v>-9.9643735745620451E-2</v>
      </c>
      <c r="G4" s="21">
        <f>LN('5y 10 stocks data'!G5/'5y 10 stocks data'!G6)</f>
        <v>-0.13015804656847649</v>
      </c>
      <c r="H4" s="21">
        <f>LN('5y 10 stocks data'!H5/'5y 10 stocks data'!H6)</f>
        <v>-5.5243118529555484E-2</v>
      </c>
      <c r="I4" s="21">
        <f>LN('5y 10 stocks data'!I5/'5y 10 stocks data'!I6)</f>
        <v>-0.14337290953715212</v>
      </c>
      <c r="J4" s="21">
        <f>LN('5y 10 stocks data'!J5/'5y 10 stocks data'!J6)</f>
        <v>-2.7787090520592125E-2</v>
      </c>
      <c r="K4" s="21">
        <f>LN('5y 10 stocks data'!K5/'5y 10 stocks data'!K6)</f>
        <v>-0.14201806785790391</v>
      </c>
      <c r="L4" s="21">
        <f>LN('5y 10 stocks data'!L5/'5y 10 stocks data'!L6)</f>
        <v>-9.6265219766061866E-2</v>
      </c>
    </row>
    <row r="5" spans="1:12" x14ac:dyDescent="0.25">
      <c r="A5" s="20">
        <f>'5y 10 stocks data'!A6</f>
        <v>43405</v>
      </c>
      <c r="B5" s="21">
        <f>LN('5y 10 stocks data'!B6/'5y 10 stocks data'!B7)</f>
        <v>3.7487186210999092E-2</v>
      </c>
      <c r="C5" s="21">
        <f>LN('5y 10 stocks data'!C6/'5y 10 stocks data'!C7)</f>
        <v>-0.20339558332906979</v>
      </c>
      <c r="D5" s="21">
        <f>LN('5y 10 stocks data'!D6/'5y 10 stocks data'!D7)</f>
        <v>5.607003022027119E-2</v>
      </c>
      <c r="E5" s="21">
        <f>LN('5y 10 stocks data'!E6/'5y 10 stocks data'!E7)</f>
        <v>5.7311289585348741E-3</v>
      </c>
      <c r="F5" s="21">
        <f>LN('5y 10 stocks data'!F6/'5y 10 stocks data'!F7)</f>
        <v>5.2035315825285491E-2</v>
      </c>
      <c r="G5" s="21">
        <f>LN('5y 10 stocks data'!G6/'5y 10 stocks data'!G7)</f>
        <v>2.6687567005036605E-2</v>
      </c>
      <c r="H5" s="21">
        <f>LN('5y 10 stocks data'!H6/'5y 10 stocks data'!H7)</f>
        <v>1.6267891364498185E-2</v>
      </c>
      <c r="I5" s="21">
        <f>LN('5y 10 stocks data'!I6/'5y 10 stocks data'!I7)</f>
        <v>-2.2614905372070997E-3</v>
      </c>
      <c r="J5" s="21">
        <f>LN('5y 10 stocks data'!J6/'5y 10 stocks data'!J7)</f>
        <v>7.2471265335208479E-2</v>
      </c>
      <c r="K5" s="21">
        <f>LN('5y 10 stocks data'!K6/'5y 10 stocks data'!K7)</f>
        <v>3.2203177895256486E-2</v>
      </c>
      <c r="L5" s="21">
        <f>LN('5y 10 stocks data'!L6/'5y 10 stocks data'!L7)</f>
        <v>1.7701752187834409E-2</v>
      </c>
    </row>
    <row r="6" spans="1:12" x14ac:dyDescent="0.25">
      <c r="A6" s="20">
        <f>'5y 10 stocks data'!A7</f>
        <v>43374</v>
      </c>
      <c r="B6" s="21">
        <f>LN('5y 10 stocks data'!B7/'5y 10 stocks data'!B8)</f>
        <v>-6.8387318394534768E-2</v>
      </c>
      <c r="C6" s="21">
        <f>LN('5y 10 stocks data'!C7/'5y 10 stocks data'!C8)</f>
        <v>-3.0951724112478037E-2</v>
      </c>
      <c r="D6" s="21">
        <f>LN('5y 10 stocks data'!D7/'5y 10 stocks data'!D8)</f>
        <v>-0.22588694527911743</v>
      </c>
      <c r="E6" s="21">
        <f>LN('5y 10 stocks data'!E7/'5y 10 stocks data'!E8)</f>
        <v>-1.8208189116070337E-2</v>
      </c>
      <c r="F6" s="21">
        <f>LN('5y 10 stocks data'!F7/'5y 10 stocks data'!F8)</f>
        <v>-6.1459988745370717E-2</v>
      </c>
      <c r="G6" s="21">
        <f>LN('5y 10 stocks data'!G7/'5y 10 stocks data'!G8)</f>
        <v>-3.4439565961576872E-2</v>
      </c>
      <c r="H6" s="21">
        <f>LN('5y 10 stocks data'!H7/'5y 10 stocks data'!H8)</f>
        <v>-0.10289916826037319</v>
      </c>
      <c r="I6" s="21">
        <f>LN('5y 10 stocks data'!I7/'5y 10 stocks data'!I8)</f>
        <v>-6.4867904402383519E-2</v>
      </c>
      <c r="J6" s="21">
        <f>LN('5y 10 stocks data'!J7/'5y 10 stocks data'!J8)</f>
        <v>6.34264542951197E-2</v>
      </c>
      <c r="K6" s="21">
        <f>LN('5y 10 stocks data'!K7/'5y 10 stocks data'!K8)</f>
        <v>-6.4025001901034009E-2</v>
      </c>
      <c r="L6" s="21">
        <f>LN('5y 10 stocks data'!L7/'5y 10 stocks data'!L8)</f>
        <v>-7.1929345879864132E-2</v>
      </c>
    </row>
    <row r="7" spans="1:12" x14ac:dyDescent="0.25">
      <c r="A7" s="20">
        <f>'5y 10 stocks data'!A8</f>
        <v>43344</v>
      </c>
      <c r="B7" s="21">
        <f>LN('5y 10 stocks data'!B8/'5y 10 stocks data'!B9)</f>
        <v>2.1838662445722221E-2</v>
      </c>
      <c r="C7" s="21">
        <f>LN('5y 10 stocks data'!C8/'5y 10 stocks data'!C9)</f>
        <v>-4.8366154697142326E-3</v>
      </c>
      <c r="D7" s="21">
        <f>LN('5y 10 stocks data'!D8/'5y 10 stocks data'!D9)</f>
        <v>-4.8359966322712193E-3</v>
      </c>
      <c r="E7" s="21">
        <f>LN('5y 10 stocks data'!E8/'5y 10 stocks data'!E9)</f>
        <v>4.2983577563232317E-2</v>
      </c>
      <c r="F7" s="21">
        <f>LN('5y 10 stocks data'!F8/'5y 10 stocks data'!F9)</f>
        <v>1.8254017706717342E-2</v>
      </c>
      <c r="G7" s="21">
        <f>LN('5y 10 stocks data'!G8/'5y 10 stocks data'!G9)</f>
        <v>-1.5302462483284865E-2</v>
      </c>
      <c r="H7" s="21">
        <f>LN('5y 10 stocks data'!H8/'5y 10 stocks data'!H9)</f>
        <v>-2.0501096093571428E-2</v>
      </c>
      <c r="I7" s="21">
        <f>LN('5y 10 stocks data'!I8/'5y 10 stocks data'!I9)</f>
        <v>6.8998638783701008E-2</v>
      </c>
      <c r="J7" s="21">
        <f>LN('5y 10 stocks data'!J8/'5y 10 stocks data'!J9)</f>
        <v>3.369840733582524E-3</v>
      </c>
      <c r="K7" s="21">
        <f>LN('5y 10 stocks data'!K8/'5y 10 stocks data'!K9)</f>
        <v>-4.8693208297580434E-2</v>
      </c>
      <c r="L7" s="21">
        <f>LN('5y 10 stocks data'!L8/'5y 10 stocks data'!L9)</f>
        <v>4.2850929639178534E-3</v>
      </c>
    </row>
    <row r="8" spans="1:12" hidden="1" outlineLevel="1" x14ac:dyDescent="0.25">
      <c r="A8" s="20">
        <f>'5y 10 stocks data'!A9</f>
        <v>43313</v>
      </c>
      <c r="B8" s="21">
        <f>LN('5y 10 stocks data'!B9/'5y 10 stocks data'!B10)</f>
        <v>5.7247510625819661E-2</v>
      </c>
      <c r="C8" s="21">
        <f>LN('5y 10 stocks data'!C9/'5y 10 stocks data'!C10)</f>
        <v>0.17917236707741521</v>
      </c>
      <c r="D8" s="21">
        <f>LN('5y 10 stocks data'!D9/'5y 10 stocks data'!D10)</f>
        <v>0.12430795965848446</v>
      </c>
      <c r="E8" s="21">
        <f>LN('5y 10 stocks data'!E9/'5y 10 stocks data'!E10)</f>
        <v>-5.6477010157984855E-3</v>
      </c>
      <c r="F8" s="21">
        <f>LN('5y 10 stocks data'!F9/'5y 10 stocks data'!F10)</f>
        <v>0.12961087633800458</v>
      </c>
      <c r="G8" s="21">
        <f>LN('5y 10 stocks data'!G9/'5y 10 stocks data'!G10)</f>
        <v>2.1956057531413191E-3</v>
      </c>
      <c r="H8" s="21">
        <f>LN('5y 10 stocks data'!H9/'5y 10 stocks data'!H10)</f>
        <v>7.6366261997009254E-4</v>
      </c>
      <c r="I8" s="21">
        <f>LN('5y 10 stocks data'!I9/'5y 10 stocks data'!I10)</f>
        <v>-1.6576306061889246E-2</v>
      </c>
      <c r="J8" s="21">
        <f>LN('5y 10 stocks data'!J9/'5y 10 stocks data'!J10)</f>
        <v>3.4308702836033128E-2</v>
      </c>
      <c r="K8" s="21">
        <f>LN('5y 10 stocks data'!K9/'5y 10 stocks data'!K10)</f>
        <v>1.6178757996933369E-3</v>
      </c>
      <c r="L8" s="21">
        <f>LN('5y 10 stocks data'!L9/'5y 10 stocks data'!L10)</f>
        <v>2.9814314708128044E-2</v>
      </c>
    </row>
    <row r="9" spans="1:12" hidden="1" outlineLevel="1" x14ac:dyDescent="0.25">
      <c r="A9" s="20">
        <f>'5y 10 stocks data'!A10</f>
        <v>43282</v>
      </c>
      <c r="B9" s="21">
        <f>LN('5y 10 stocks data'!B10/'5y 10 stocks data'!B11)</f>
        <v>7.3020881392012155E-2</v>
      </c>
      <c r="C9" s="21">
        <f>LN('5y 10 stocks data'!C10/'5y 10 stocks data'!C11)</f>
        <v>2.7599030185097986E-2</v>
      </c>
      <c r="D9" s="21">
        <f>LN('5y 10 stocks data'!D10/'5y 10 stocks data'!D11)</f>
        <v>4.4663467748158651E-2</v>
      </c>
      <c r="E9" s="21">
        <f>LN('5y 10 stocks data'!E10/'5y 10 stocks data'!E11)</f>
        <v>8.0182122714708717E-2</v>
      </c>
      <c r="F9" s="21">
        <f>LN('5y 10 stocks data'!F10/'5y 10 stocks data'!F11)</f>
        <v>-1.7346805355109039E-2</v>
      </c>
      <c r="G9" s="21">
        <f>LN('5y 10 stocks data'!G10/'5y 10 stocks data'!G11)</f>
        <v>9.8185237300675479E-2</v>
      </c>
      <c r="H9" s="21">
        <f>LN('5y 10 stocks data'!H10/'5y 10 stocks data'!H11)</f>
        <v>8.716522329087098E-2</v>
      </c>
      <c r="I9" s="21">
        <f>LN('5y 10 stocks data'!I10/'5y 10 stocks data'!I11)</f>
        <v>-1.4856555529579131E-2</v>
      </c>
      <c r="J9" s="21">
        <f>LN('5y 10 stocks data'!J10/'5y 10 stocks data'!J11)</f>
        <v>3.5488660349331555E-2</v>
      </c>
      <c r="K9" s="21">
        <f>LN('5y 10 stocks data'!K10/'5y 10 stocks data'!K11)</f>
        <v>9.1141303420294709E-2</v>
      </c>
      <c r="L9" s="21">
        <f>LN('5y 10 stocks data'!L10/'5y 10 stocks data'!L11)</f>
        <v>3.5387950784307211E-2</v>
      </c>
    </row>
    <row r="10" spans="1:12" hidden="1" outlineLevel="1" x14ac:dyDescent="0.25">
      <c r="A10" s="20">
        <f>'5y 10 stocks data'!A11</f>
        <v>43252</v>
      </c>
      <c r="B10" s="21">
        <f>LN('5y 10 stocks data'!B11/'5y 10 stocks data'!B12)</f>
        <v>1.9953048782543879E-3</v>
      </c>
      <c r="C10" s="21">
        <f>LN('5y 10 stocks data'!C11/'5y 10 stocks data'!C12)</f>
        <v>-5.6142480473471796E-3</v>
      </c>
      <c r="D10" s="21">
        <f>LN('5y 10 stocks data'!D11/'5y 10 stocks data'!D12)</f>
        <v>4.2163770171944864E-2</v>
      </c>
      <c r="E10" s="21">
        <f>LN('5y 10 stocks data'!E11/'5y 10 stocks data'!E12)</f>
        <v>5.2293033050969516E-2</v>
      </c>
      <c r="F10" s="21">
        <f>LN('5y 10 stocks data'!F11/'5y 10 stocks data'!F12)</f>
        <v>7.4645699570576336E-3</v>
      </c>
      <c r="G10" s="21">
        <f>LN('5y 10 stocks data'!G11/'5y 10 stocks data'!G12)</f>
        <v>-2.6610258458796807E-2</v>
      </c>
      <c r="H10" s="21">
        <f>LN('5y 10 stocks data'!H11/'5y 10 stocks data'!H12)</f>
        <v>2.7866455067084607E-2</v>
      </c>
      <c r="I10" s="21">
        <f>LN('5y 10 stocks data'!I11/'5y 10 stocks data'!I12)</f>
        <v>2.8259500477553708E-2</v>
      </c>
      <c r="J10" s="21">
        <f>LN('5y 10 stocks data'!J11/'5y 10 stocks data'!J12)</f>
        <v>6.4692425645443016E-2</v>
      </c>
      <c r="K10" s="21">
        <f>LN('5y 10 stocks data'!K11/'5y 10 stocks data'!K12)</f>
        <v>-2.5629444754097879E-2</v>
      </c>
      <c r="L10" s="21">
        <f>LN('5y 10 stocks data'!L11/'5y 10 stocks data'!L12)</f>
        <v>4.830749144322073E-3</v>
      </c>
    </row>
    <row r="11" spans="1:12" hidden="1" outlineLevel="1" x14ac:dyDescent="0.25">
      <c r="A11" s="20">
        <f>'5y 10 stocks data'!A12</f>
        <v>43221</v>
      </c>
      <c r="B11" s="21">
        <f>LN('5y 10 stocks data'!B12/'5y 10 stocks data'!B13)</f>
        <v>5.5327095337165448E-2</v>
      </c>
      <c r="C11" s="21">
        <f>LN('5y 10 stocks data'!C12/'5y 10 stocks data'!C13)</f>
        <v>0.1228931411464287</v>
      </c>
      <c r="D11" s="21">
        <f>LN('5y 10 stocks data'!D12/'5y 10 stocks data'!D13)</f>
        <v>3.9739244373114081E-2</v>
      </c>
      <c r="E11" s="21">
        <f>LN('5y 10 stocks data'!E12/'5y 10 stocks data'!E13)</f>
        <v>-8.6086360108893877E-3</v>
      </c>
      <c r="F11" s="21">
        <f>LN('5y 10 stocks data'!F12/'5y 10 stocks data'!F13)</f>
        <v>-2.8319080040533667E-2</v>
      </c>
      <c r="G11" s="21">
        <f>LN('5y 10 stocks data'!G12/'5y 10 stocks data'!G13)</f>
        <v>-1.1347064620984523E-2</v>
      </c>
      <c r="H11" s="21">
        <f>LN('5y 10 stocks data'!H12/'5y 10 stocks data'!H13)</f>
        <v>6.4389196224245646E-2</v>
      </c>
      <c r="I11" s="21">
        <f>LN('5y 10 stocks data'!I12/'5y 10 stocks data'!I13)</f>
        <v>4.3909261900562435E-2</v>
      </c>
      <c r="J11" s="21">
        <f>LN('5y 10 stocks data'!J12/'5y 10 stocks data'!J13)</f>
        <v>2.0621821778231679E-2</v>
      </c>
      <c r="K11" s="21">
        <f>LN('5y 10 stocks data'!K12/'5y 10 stocks data'!K13)</f>
        <v>-2.9852866065278968E-2</v>
      </c>
      <c r="L11" s="21">
        <f>LN('5y 10 stocks data'!L12/'5y 10 stocks data'!L13)</f>
        <v>2.1378191291432879E-2</v>
      </c>
    </row>
    <row r="12" spans="1:12" hidden="1" outlineLevel="1" x14ac:dyDescent="0.25">
      <c r="A12" s="20">
        <f>'5y 10 stocks data'!A13</f>
        <v>43191</v>
      </c>
      <c r="B12" s="21">
        <f>LN('5y 10 stocks data'!B13/'5y 10 stocks data'!B14)</f>
        <v>2.4353158984806833E-2</v>
      </c>
      <c r="C12" s="21">
        <f>LN('5y 10 stocks data'!C13/'5y 10 stocks data'!C14)</f>
        <v>-1.5133547257349368E-2</v>
      </c>
      <c r="D12" s="21">
        <f>LN('5y 10 stocks data'!D13/'5y 10 stocks data'!D14)</f>
        <v>7.8880245905968011E-2</v>
      </c>
      <c r="E12" s="21">
        <f>LN('5y 10 stocks data'!E13/'5y 10 stocks data'!E14)</f>
        <v>-1.0957923187709306E-3</v>
      </c>
      <c r="F12" s="21">
        <f>LN('5y 10 stocks data'!F13/'5y 10 stocks data'!F14)</f>
        <v>3.2120233564483576E-2</v>
      </c>
      <c r="G12" s="21">
        <f>LN('5y 10 stocks data'!G13/'5y 10 stocks data'!G14)</f>
        <v>-1.0880016811743281E-2</v>
      </c>
      <c r="H12" s="21">
        <f>LN('5y 10 stocks data'!H13/'5y 10 stocks data'!H14)</f>
        <v>-1.4113630859930837E-2</v>
      </c>
      <c r="I12" s="21">
        <f>LN('5y 10 stocks data'!I13/'5y 10 stocks data'!I14)</f>
        <v>4.1223971936209684E-2</v>
      </c>
      <c r="J12" s="21">
        <f>LN('5y 10 stocks data'!J13/'5y 10 stocks data'!J14)</f>
        <v>-9.1608683707176397E-2</v>
      </c>
      <c r="K12" s="21">
        <f>LN('5y 10 stocks data'!K13/'5y 10 stocks data'!K14)</f>
        <v>1.4084757245664582E-3</v>
      </c>
      <c r="L12" s="21">
        <f>LN('5y 10 stocks data'!L13/'5y 10 stocks data'!L14)</f>
        <v>2.7150859477301889E-3</v>
      </c>
    </row>
    <row r="13" spans="1:12" hidden="1" outlineLevel="1" x14ac:dyDescent="0.25">
      <c r="A13" s="20">
        <f>'5y 10 stocks data'!A14</f>
        <v>43160</v>
      </c>
      <c r="B13" s="21">
        <f>LN('5y 10 stocks data'!B14/'5y 10 stocks data'!B15)</f>
        <v>-2.2336294564664794E-2</v>
      </c>
      <c r="C13" s="21">
        <f>LN('5y 10 stocks data'!C14/'5y 10 stocks data'!C15)</f>
        <v>-5.5735164168757505E-2</v>
      </c>
      <c r="D13" s="21">
        <f>LN('5y 10 stocks data'!D14/'5y 10 stocks data'!D15)</f>
        <v>-4.4003454669149025E-2</v>
      </c>
      <c r="E13" s="21">
        <f>LN('5y 10 stocks data'!E14/'5y 10 stocks data'!E15)</f>
        <v>-2.6720664281223678E-2</v>
      </c>
      <c r="F13" s="21">
        <f>LN('5y 10 stocks data'!F14/'5y 10 stocks data'!F15)</f>
        <v>-4.3122886379665604E-2</v>
      </c>
      <c r="G13" s="21">
        <f>LN('5y 10 stocks data'!G14/'5y 10 stocks data'!G15)</f>
        <v>-4.9062988400518634E-2</v>
      </c>
      <c r="H13" s="21">
        <f>LN('5y 10 stocks data'!H14/'5y 10 stocks data'!H15)</f>
        <v>-6.8305747338411327E-2</v>
      </c>
      <c r="I13" s="21">
        <f>LN('5y 10 stocks data'!I14/'5y 10 stocks data'!I15)</f>
        <v>-4.8581237166398878E-3</v>
      </c>
      <c r="J13" s="21">
        <f>LN('5y 10 stocks data'!J14/'5y 10 stocks data'!J15)</f>
        <v>9.6326309324265627E-3</v>
      </c>
      <c r="K13" s="21">
        <f>LN('5y 10 stocks data'!K14/'5y 10 stocks data'!K15)</f>
        <v>-6.799199975667454E-2</v>
      </c>
      <c r="L13" s="21">
        <f>LN('5y 10 stocks data'!L14/'5y 10 stocks data'!L15)</f>
        <v>-2.725249739187887E-2</v>
      </c>
    </row>
    <row r="14" spans="1:12" hidden="1" outlineLevel="1" x14ac:dyDescent="0.25">
      <c r="A14" s="20">
        <f>'5y 10 stocks data'!A15</f>
        <v>43132</v>
      </c>
      <c r="B14" s="21">
        <f>LN('5y 10 stocks data'!B15/'5y 10 stocks data'!B16)</f>
        <v>-1.3137210166844032E-2</v>
      </c>
      <c r="C14" s="21">
        <f>LN('5y 10 stocks data'!C15/'5y 10 stocks data'!C16)</f>
        <v>6.1892183781320206E-2</v>
      </c>
      <c r="D14" s="21">
        <f>LN('5y 10 stocks data'!D15/'5y 10 stocks data'!D16)</f>
        <v>4.1553648546959927E-2</v>
      </c>
      <c r="E14" s="21">
        <f>LN('5y 10 stocks data'!E15/'5y 10 stocks data'!E16)</f>
        <v>-5.2034503423955596E-2</v>
      </c>
      <c r="F14" s="21">
        <f>LN('5y 10 stocks data'!F15/'5y 10 stocks data'!F16)</f>
        <v>8.2535915429695225E-2</v>
      </c>
      <c r="G14" s="21">
        <f>LN('5y 10 stocks data'!G15/'5y 10 stocks data'!G16)</f>
        <v>3.7251380326802494E-3</v>
      </c>
      <c r="H14" s="21">
        <f>LN('5y 10 stocks data'!H15/'5y 10 stocks data'!H16)</f>
        <v>-5.7351471895965657E-2</v>
      </c>
      <c r="I14" s="21">
        <f>LN('5y 10 stocks data'!I15/'5y 10 stocks data'!I16)</f>
        <v>-0.14204401854562648</v>
      </c>
      <c r="J14" s="21">
        <f>LN('5y 10 stocks data'!J15/'5y 10 stocks data'!J16)</f>
        <v>-8.734959116657591E-2</v>
      </c>
      <c r="K14" s="21">
        <f>LN('5y 10 stocks data'!K15/'5y 10 stocks data'!K16)</f>
        <v>3.1201311228689034E-3</v>
      </c>
      <c r="L14" s="21">
        <f>LN('5y 10 stocks data'!L15/'5y 10 stocks data'!L16)</f>
        <v>-3.9726107788010244E-2</v>
      </c>
    </row>
    <row r="15" spans="1:12" hidden="1" outlineLevel="1" x14ac:dyDescent="0.25">
      <c r="A15" s="20">
        <f>'5y 10 stocks data'!A16</f>
        <v>43101</v>
      </c>
      <c r="B15" s="21">
        <f>LN('5y 10 stocks data'!B16/'5y 10 stocks data'!B17)</f>
        <v>0.10499808947812123</v>
      </c>
      <c r="C15" s="21">
        <f>LN('5y 10 stocks data'!C16/'5y 10 stocks data'!C17)</f>
        <v>-1.0693408838491927E-2</v>
      </c>
      <c r="D15" s="21">
        <f>LN('5y 10 stocks data'!D16/'5y 10 stocks data'!D17)</f>
        <v>0.21562654165297973</v>
      </c>
      <c r="E15" s="21">
        <f>LN('5y 10 stocks data'!E16/'5y 10 stocks data'!E17)</f>
        <v>1.8744034098510453E-2</v>
      </c>
      <c r="F15" s="21">
        <f>LN('5y 10 stocks data'!F16/'5y 10 stocks data'!F17)</f>
        <v>8.1206892810786371E-2</v>
      </c>
      <c r="G15" s="21">
        <f>LN('5y 10 stocks data'!G16/'5y 10 stocks data'!G17)</f>
        <v>7.8473251702493696E-2</v>
      </c>
      <c r="H15" s="21">
        <f>LN('5y 10 stocks data'!H16/'5y 10 stocks data'!H17)</f>
        <v>0.11159669035689881</v>
      </c>
      <c r="I15" s="21">
        <f>LN('5y 10 stocks data'!I16/'5y 10 stocks data'!I17)</f>
        <v>4.282858522195427E-2</v>
      </c>
      <c r="J15" s="21">
        <f>LN('5y 10 stocks data'!J16/'5y 10 stocks data'!J17)</f>
        <v>-6.2190296462294674E-2</v>
      </c>
      <c r="K15" s="21">
        <f>LN('5y 10 stocks data'!K16/'5y 10 stocks data'!K17)</f>
        <v>8.0667804072403926E-2</v>
      </c>
      <c r="L15" s="21">
        <f>LN('5y 10 stocks data'!L16/'5y 10 stocks data'!L17)</f>
        <v>5.4657398659986728E-2</v>
      </c>
    </row>
    <row r="16" spans="1:12" hidden="1" outlineLevel="1" x14ac:dyDescent="0.25">
      <c r="A16" s="20">
        <f>'5y 10 stocks data'!A17</f>
        <v>43070</v>
      </c>
      <c r="B16" s="21">
        <f>LN('5y 10 stocks data'!B17/'5y 10 stocks data'!B18)</f>
        <v>2.1154961358531132E-2</v>
      </c>
      <c r="C16" s="21">
        <f>LN('5y 10 stocks data'!C17/'5y 10 stocks data'!C18)</f>
        <v>-1.1774885185434176E-2</v>
      </c>
      <c r="D16" s="21">
        <f>LN('5y 10 stocks data'!D17/'5y 10 stocks data'!D18)</f>
        <v>-6.2057713716230263E-3</v>
      </c>
      <c r="E16" s="21">
        <f>LN('5y 10 stocks data'!E17/'5y 10 stocks data'!E18)</f>
        <v>2.5339332690062707E-2</v>
      </c>
      <c r="F16" s="21">
        <f>LN('5y 10 stocks data'!F17/'5y 10 stocks data'!F18)</f>
        <v>2.6456597112575173E-2</v>
      </c>
      <c r="G16" s="21">
        <f>LN('5y 10 stocks data'!G17/'5y 10 stocks data'!G18)</f>
        <v>2.2889616147062794E-2</v>
      </c>
      <c r="H16" s="21">
        <f>LN('5y 10 stocks data'!H17/'5y 10 stocks data'!H18)</f>
        <v>2.4171725423494207E-2</v>
      </c>
      <c r="I16" s="21">
        <f>LN('5y 10 stocks data'!I17/'5y 10 stocks data'!I18)</f>
        <v>1.3405714930946975E-2</v>
      </c>
      <c r="J16" s="21">
        <f>LN('5y 10 stocks data'!J17/'5y 10 stocks data'!J18)</f>
        <v>2.0784815590355055E-2</v>
      </c>
      <c r="K16" s="21">
        <f>LN('5y 10 stocks data'!K17/'5y 10 stocks data'!K18)</f>
        <v>5.1062706043282405E-2</v>
      </c>
      <c r="L16" s="21">
        <f>LN('5y 10 stocks data'!L17/'5y 10 stocks data'!L18)</f>
        <v>3.3766014609890378E-2</v>
      </c>
    </row>
    <row r="17" spans="1:12" hidden="1" outlineLevel="1" x14ac:dyDescent="0.25">
      <c r="A17" s="20">
        <f>'5y 10 stocks data'!A18</f>
        <v>43040</v>
      </c>
      <c r="B17" s="21">
        <f>LN('5y 10 stocks data'!B18/'5y 10 stocks data'!B19)</f>
        <v>1.183154092711514E-2</v>
      </c>
      <c r="C17" s="21">
        <f>LN('5y 10 stocks data'!C18/'5y 10 stocks data'!C19)</f>
        <v>1.6486647180623218E-2</v>
      </c>
      <c r="D17" s="21">
        <f>LN('5y 10 stocks data'!D18/'5y 10 stocks data'!D19)</f>
        <v>6.2657678525297536E-2</v>
      </c>
      <c r="E17" s="21">
        <f>LN('5y 10 stocks data'!E18/'5y 10 stocks data'!E19)</f>
        <v>6.9217827645680283E-2</v>
      </c>
      <c r="F17" s="21">
        <f>LN('5y 10 stocks data'!F18/'5y 10 stocks data'!F19)</f>
        <v>9.6834849203217555E-2</v>
      </c>
      <c r="G17" s="21">
        <f>LN('5y 10 stocks data'!G18/'5y 10 stocks data'!G19)</f>
        <v>4.395516561068985E-2</v>
      </c>
      <c r="H17" s="21">
        <f>LN('5y 10 stocks data'!H18/'5y 10 stocks data'!H19)</f>
        <v>4.6809123795830479E-3</v>
      </c>
      <c r="I17" s="21">
        <f>LN('5y 10 stocks data'!I18/'5y 10 stocks data'!I19)</f>
        <v>-7.2019906739141052E-4</v>
      </c>
      <c r="J17" s="21">
        <f>LN('5y 10 stocks data'!J18/'5y 10 stocks data'!J19)</f>
        <v>4.8866651312550594E-2</v>
      </c>
      <c r="K17" s="21">
        <f>LN('5y 10 stocks data'!K18/'5y 10 stocks data'!K19)</f>
        <v>2.807969369725978E-2</v>
      </c>
      <c r="L17" s="21">
        <f>LN('5y 10 stocks data'!L18/'5y 10 stocks data'!L19)</f>
        <v>3.7131407628128972E-3</v>
      </c>
    </row>
    <row r="18" spans="1:12" hidden="1" outlineLevel="1" x14ac:dyDescent="0.25">
      <c r="A18" s="20">
        <f>'5y 10 stocks data'!A19</f>
        <v>43009</v>
      </c>
      <c r="B18" s="21">
        <f>LN('5y 10 stocks data'!B19/'5y 10 stocks data'!B20)</f>
        <v>0.11034202973319564</v>
      </c>
      <c r="C18" s="21">
        <f>LN('5y 10 stocks data'!C19/'5y 10 stocks data'!C20)</f>
        <v>9.2403857069204273E-2</v>
      </c>
      <c r="D18" s="21">
        <f>LN('5y 10 stocks data'!D19/'5y 10 stocks data'!D20)</f>
        <v>0.13951548010250206</v>
      </c>
      <c r="E18" s="21">
        <f>LN('5y 10 stocks data'!E19/'5y 10 stocks data'!E20)</f>
        <v>-7.7401950235100759E-3</v>
      </c>
      <c r="F18" s="21">
        <f>LN('5y 10 stocks data'!F19/'5y 10 stocks data'!F20)</f>
        <v>1.5343952863247103E-2</v>
      </c>
      <c r="G18" s="21">
        <f>LN('5y 10 stocks data'!G19/'5y 10 stocks data'!G20)</f>
        <v>5.2020707436856238E-2</v>
      </c>
      <c r="H18" s="21">
        <f>LN('5y 10 stocks data'!H19/'5y 10 stocks data'!H20)</f>
        <v>5.8252610354129652E-2</v>
      </c>
      <c r="I18" s="21">
        <f>LN('5y 10 stocks data'!I19/'5y 10 stocks data'!I20)</f>
        <v>1.6573179940560897E-2</v>
      </c>
      <c r="J18" s="21">
        <f>LN('5y 10 stocks data'!J19/'5y 10 stocks data'!J20)</f>
        <v>-5.234667800583629E-2</v>
      </c>
      <c r="K18" s="21">
        <f>LN('5y 10 stocks data'!K19/'5y 10 stocks data'!K20)</f>
        <v>7.7793754901017906E-2</v>
      </c>
      <c r="L18" s="21">
        <f>LN('5y 10 stocks data'!L19/'5y 10 stocks data'!L20)</f>
        <v>2.1945560290305279E-2</v>
      </c>
    </row>
    <row r="19" spans="1:12" hidden="1" outlineLevel="1" x14ac:dyDescent="0.25">
      <c r="A19" s="20">
        <f>'5y 10 stocks data'!A20</f>
        <v>42979</v>
      </c>
      <c r="B19" s="21">
        <f>LN('5y 10 stocks data'!B20/'5y 10 stocks data'!B21)</f>
        <v>1.5622642533718121E-3</v>
      </c>
      <c r="C19" s="21">
        <f>LN('5y 10 stocks data'!C20/'5y 10 stocks data'!C21)</f>
        <v>-5.8215581268317329E-2</v>
      </c>
      <c r="D19" s="21">
        <f>LN('5y 10 stocks data'!D20/'5y 10 stocks data'!D21)</f>
        <v>-1.982608308886917E-2</v>
      </c>
      <c r="E19" s="21">
        <f>LN('5y 10 stocks data'!E20/'5y 10 stocks data'!E21)</f>
        <v>-2.6331773950443411E-2</v>
      </c>
      <c r="F19" s="21">
        <f>LN('5y 10 stocks data'!F20/'5y 10 stocks data'!F21)</f>
        <v>4.3141662997758123E-2</v>
      </c>
      <c r="G19" s="21">
        <f>LN('5y 10 stocks data'!G20/'5y 10 stocks data'!G21)</f>
        <v>4.9581044918052104E-2</v>
      </c>
      <c r="H19" s="21">
        <f>LN('5y 10 stocks data'!H20/'5y 10 stocks data'!H21)</f>
        <v>2.0838882215321337E-2</v>
      </c>
      <c r="I19" s="21">
        <f>LN('5y 10 stocks data'!I20/'5y 10 stocks data'!I21)</f>
        <v>8.1055615897580258E-2</v>
      </c>
      <c r="J19" s="21">
        <f>LN('5y 10 stocks data'!J20/'5y 10 stocks data'!J21)</f>
        <v>-1.4079179411544473E-2</v>
      </c>
      <c r="K19" s="21">
        <f>LN('5y 10 stocks data'!K20/'5y 10 stocks data'!K21)</f>
        <v>6.4026320716774346E-2</v>
      </c>
      <c r="L19" s="21">
        <f>LN('5y 10 stocks data'!L20/'5y 10 stocks data'!L21)</f>
        <v>1.911903932397916E-2</v>
      </c>
    </row>
    <row r="20" spans="1:12" hidden="1" outlineLevel="1" x14ac:dyDescent="0.25">
      <c r="A20" s="20">
        <f>'5y 10 stocks data'!A21</f>
        <v>42948</v>
      </c>
      <c r="B20" s="21">
        <f>LN('5y 10 stocks data'!B21/'5y 10 stocks data'!B22)</f>
        <v>2.8075224752178034E-2</v>
      </c>
      <c r="C20" s="21">
        <f>LN('5y 10 stocks data'!C21/'5y 10 stocks data'!C22)</f>
        <v>9.7733906417343447E-2</v>
      </c>
      <c r="D20" s="21">
        <f>LN('5y 10 stocks data'!D21/'5y 10 stocks data'!D22)</f>
        <v>-7.2954255044278991E-3</v>
      </c>
      <c r="E20" s="21">
        <f>LN('5y 10 stocks data'!E21/'5y 10 stocks data'!E22)</f>
        <v>-7.5333409479809529E-2</v>
      </c>
      <c r="F20" s="21">
        <f>LN('5y 10 stocks data'!F21/'5y 10 stocks data'!F22)</f>
        <v>3.3177436277490722E-2</v>
      </c>
      <c r="G20" s="21">
        <f>LN('5y 10 stocks data'!G21/'5y 10 stocks data'!G22)</f>
        <v>-4.4769227427931702E-3</v>
      </c>
      <c r="H20" s="21">
        <f>LN('5y 10 stocks data'!H21/'5y 10 stocks data'!H22)</f>
        <v>9.444797183880204E-3</v>
      </c>
      <c r="I20" s="21">
        <f>LN('5y 10 stocks data'!I21/'5y 10 stocks data'!I22)</f>
        <v>-4.746057721454288E-2</v>
      </c>
      <c r="J20" s="21">
        <f>LN('5y 10 stocks data'!J21/'5y 10 stocks data'!J22)</f>
        <v>2.3649569501977483E-2</v>
      </c>
      <c r="K20" s="21">
        <f>LN('5y 10 stocks data'!K21/'5y 10 stocks data'!K22)</f>
        <v>-9.5814361081151198E-3</v>
      </c>
      <c r="L20" s="21">
        <f>LN('5y 10 stocks data'!L21/'5y 10 stocks data'!L22)</f>
        <v>5.4628357104102084E-4</v>
      </c>
    </row>
    <row r="21" spans="1:12" hidden="1" outlineLevel="1" x14ac:dyDescent="0.25">
      <c r="A21" s="20">
        <f>'5y 10 stocks data'!A22</f>
        <v>42917</v>
      </c>
      <c r="B21" s="21">
        <f>LN('5y 10 stocks data'!B22/'5y 10 stocks data'!B23)</f>
        <v>5.3249852248017628E-2</v>
      </c>
      <c r="C21" s="21">
        <f>LN('5y 10 stocks data'!C22/'5y 10 stocks data'!C23)</f>
        <v>3.218036312738784E-2</v>
      </c>
      <c r="D21" s="21">
        <f>LN('5y 10 stocks data'!D22/'5y 10 stocks data'!D23)</f>
        <v>2.0227942970172167E-2</v>
      </c>
      <c r="E21" s="21">
        <f>LN('5y 10 stocks data'!E22/'5y 10 stocks data'!E23)</f>
        <v>3.4048977531394305E-2</v>
      </c>
      <c r="F21" s="21">
        <f>LN('5y 10 stocks data'!F22/'5y 10 stocks data'!F23)</f>
        <v>4.780952063209068E-3</v>
      </c>
      <c r="G21" s="21">
        <f>LN('5y 10 stocks data'!G22/'5y 10 stocks data'!G23)</f>
        <v>4.3668218467382775E-3</v>
      </c>
      <c r="H21" s="21">
        <f>LN('5y 10 stocks data'!H22/'5y 10 stocks data'!H23)</f>
        <v>2.3674077738594191E-2</v>
      </c>
      <c r="I21" s="21">
        <f>LN('5y 10 stocks data'!I22/'5y 10 stocks data'!I23)</f>
        <v>-8.5838885642812932E-3</v>
      </c>
      <c r="J21" s="21">
        <f>LN('5y 10 stocks data'!J22/'5y 10 stocks data'!J23)</f>
        <v>4.1248669918651788E-2</v>
      </c>
      <c r="K21" s="21">
        <f>LN('5y 10 stocks data'!K22/'5y 10 stocks data'!K23)</f>
        <v>-5.7875840277312757E-3</v>
      </c>
      <c r="L21" s="21">
        <f>LN('5y 10 stocks data'!L22/'5y 10 stocks data'!L23)</f>
        <v>1.916401766181007E-2</v>
      </c>
    </row>
    <row r="22" spans="1:12" hidden="1" outlineLevel="1" x14ac:dyDescent="0.25">
      <c r="A22" s="20">
        <f>'5y 10 stocks data'!A23</f>
        <v>42887</v>
      </c>
      <c r="B22" s="21">
        <f>LN('5y 10 stocks data'!B23/'5y 10 stocks data'!B24)</f>
        <v>-7.3998070597756987E-3</v>
      </c>
      <c r="C22" s="21">
        <f>LN('5y 10 stocks data'!C23/'5y 10 stocks data'!C24)</f>
        <v>-5.4796863654728974E-2</v>
      </c>
      <c r="D22" s="21">
        <f>LN('5y 10 stocks data'!D23/'5y 10 stocks data'!D24)</f>
        <v>-2.7128662361207066E-2</v>
      </c>
      <c r="E22" s="21">
        <f>LN('5y 10 stocks data'!E23/'5y 10 stocks data'!E24)</f>
        <v>-1.5780826630051977E-2</v>
      </c>
      <c r="F22" s="21">
        <f>LN('5y 10 stocks data'!F23/'5y 10 stocks data'!F24)</f>
        <v>-7.3214574180236868E-3</v>
      </c>
      <c r="G22" s="21">
        <f>LN('5y 10 stocks data'!G23/'5y 10 stocks data'!G24)</f>
        <v>0.10669876880547675</v>
      </c>
      <c r="H22" s="21">
        <f>LN('5y 10 stocks data'!H23/'5y 10 stocks data'!H24)</f>
        <v>-5.9934999203980044E-2</v>
      </c>
      <c r="I22" s="21">
        <f>LN('5y 10 stocks data'!I23/'5y 10 stocks data'!I24)</f>
        <v>1.2252202666831982E-2</v>
      </c>
      <c r="J22" s="21">
        <f>LN('5y 10 stocks data'!J23/'5y 10 stocks data'!J24)</f>
        <v>-1.072805984773826E-2</v>
      </c>
      <c r="K22" s="21">
        <f>LN('5y 10 stocks data'!K23/'5y 10 stocks data'!K24)</f>
        <v>8.260069082351261E-2</v>
      </c>
      <c r="L22" s="21">
        <f>LN('5y 10 stocks data'!L23/'5y 10 stocks data'!L24)</f>
        <v>4.8022259241070758E-3</v>
      </c>
    </row>
    <row r="23" spans="1:12" hidden="1" outlineLevel="1" x14ac:dyDescent="0.25">
      <c r="A23" s="20">
        <f>'5y 10 stocks data'!A24</f>
        <v>42856</v>
      </c>
      <c r="B23" s="21">
        <f>LN('5y 10 stocks data'!B24/'5y 10 stocks data'!B25)</f>
        <v>1.9957198271562115E-2</v>
      </c>
      <c r="C23" s="21">
        <f>LN('5y 10 stocks data'!C24/'5y 10 stocks data'!C25)</f>
        <v>6.1488367077123969E-2</v>
      </c>
      <c r="D23" s="21">
        <f>LN('5y 10 stocks data'!D24/'5y 10 stocks data'!D25)</f>
        <v>7.2577833805534647E-2</v>
      </c>
      <c r="E23" s="21">
        <f>LN('5y 10 stocks data'!E24/'5y 10 stocks data'!E25)</f>
        <v>-6.8560359071511437E-2</v>
      </c>
      <c r="F23" s="21">
        <f>LN('5y 10 stocks data'!F24/'5y 10 stocks data'!F25)</f>
        <v>-6.8804161662577495E-2</v>
      </c>
      <c r="G23" s="21">
        <f>LN('5y 10 stocks data'!G24/'5y 10 stocks data'!G25)</f>
        <v>-4.588880398730321E-2</v>
      </c>
      <c r="H23" s="21">
        <f>LN('5y 10 stocks data'!H24/'5y 10 stocks data'!H25)</f>
        <v>6.2987818306099549E-2</v>
      </c>
      <c r="I23" s="21">
        <f>LN('5y 10 stocks data'!I24/'5y 10 stocks data'!I25)</f>
        <v>-1.4184726427729773E-2</v>
      </c>
      <c r="J23" s="21">
        <f>LN('5y 10 stocks data'!J24/'5y 10 stocks data'!J25)</f>
        <v>1.628855829578614E-2</v>
      </c>
      <c r="K23" s="21">
        <f>LN('5y 10 stocks data'!K24/'5y 10 stocks data'!K25)</f>
        <v>-4.0661356584819161E-2</v>
      </c>
      <c r="L23" s="21">
        <f>LN('5y 10 stocks data'!L24/'5y 10 stocks data'!L25)</f>
        <v>1.1509759254333795E-2</v>
      </c>
    </row>
    <row r="24" spans="1:12" hidden="1" outlineLevel="1" x14ac:dyDescent="0.25">
      <c r="A24" s="20">
        <f>'5y 10 stocks data'!A25</f>
        <v>42826</v>
      </c>
      <c r="B24" s="21">
        <f>LN('5y 10 stocks data'!B25/'5y 10 stocks data'!B26)</f>
        <v>3.8718507853569673E-2</v>
      </c>
      <c r="C24" s="21">
        <f>LN('5y 10 stocks data'!C25/'5y 10 stocks data'!C26)</f>
        <v>-6.9608209905310556E-5</v>
      </c>
      <c r="D24" s="21">
        <f>LN('5y 10 stocks data'!D25/'5y 10 stocks data'!D26)</f>
        <v>4.245669488810043E-2</v>
      </c>
      <c r="E24" s="21">
        <f>LN('5y 10 stocks data'!E25/'5y 10 stocks data'!E26)</f>
        <v>1.9302806495983076E-2</v>
      </c>
      <c r="F24" s="21">
        <f>LN('5y 10 stocks data'!F25/'5y 10 stocks data'!F26)</f>
        <v>7.9563965411238828E-3</v>
      </c>
      <c r="G24" s="21">
        <f>LN('5y 10 stocks data'!G25/'5y 10 stocks data'!G26)</f>
        <v>-9.6087083214920974E-3</v>
      </c>
      <c r="H24" s="21">
        <f>LN('5y 10 stocks data'!H25/'5y 10 stocks data'!H26)</f>
        <v>8.809974190733455E-2</v>
      </c>
      <c r="I24" s="21">
        <f>LN('5y 10 stocks data'!I25/'5y 10 stocks data'!I26)</f>
        <v>-4.399517058079905E-3</v>
      </c>
      <c r="J24" s="21">
        <f>LN('5y 10 stocks data'!J25/'5y 10 stocks data'!J26)</f>
        <v>-2.8447533425919724E-2</v>
      </c>
      <c r="K24" s="21">
        <f>LN('5y 10 stocks data'!K25/'5y 10 stocks data'!K26)</f>
        <v>-7.6107004253155334E-3</v>
      </c>
      <c r="L24" s="21">
        <f>LN('5y 10 stocks data'!L25/'5y 10 stocks data'!L26)</f>
        <v>9.0501322804594966E-3</v>
      </c>
    </row>
    <row r="25" spans="1:12" hidden="1" outlineLevel="1" x14ac:dyDescent="0.25">
      <c r="A25" s="20">
        <f>'5y 10 stocks data'!A26</f>
        <v>42795</v>
      </c>
      <c r="B25" s="21">
        <f>LN('5y 10 stocks data'!B26/'5y 10 stocks data'!B27)</f>
        <v>3.5004729121912576E-2</v>
      </c>
      <c r="C25" s="21">
        <f>LN('5y 10 stocks data'!C26/'5y 10 stocks data'!C27)</f>
        <v>5.1867522925044617E-2</v>
      </c>
      <c r="D25" s="21">
        <f>LN('5y 10 stocks data'!D26/'5y 10 stocks data'!D27)</f>
        <v>4.7942283463512946E-2</v>
      </c>
      <c r="E25" s="21">
        <f>LN('5y 10 stocks data'!E26/'5y 10 stocks data'!E27)</f>
        <v>2.9535004670668035E-2</v>
      </c>
      <c r="F25" s="21">
        <f>LN('5y 10 stocks data'!F26/'5y 10 stocks data'!F27)</f>
        <v>-1.1179754986293615E-2</v>
      </c>
      <c r="G25" s="21">
        <f>LN('5y 10 stocks data'!G26/'5y 10 stocks data'!G27)</f>
        <v>-3.1158225624235661E-2</v>
      </c>
      <c r="H25" s="21">
        <f>LN('5y 10 stocks data'!H26/'5y 10 stocks data'!H27)</f>
        <v>7.6840784473203453E-3</v>
      </c>
      <c r="I25" s="21">
        <f>LN('5y 10 stocks data'!I26/'5y 10 stocks data'!I27)</f>
        <v>1.7552122296093646E-2</v>
      </c>
      <c r="J25" s="21">
        <f>LN('5y 10 stocks data'!J26/'5y 10 stocks data'!J27)</f>
        <v>-1.3486888935332562E-2</v>
      </c>
      <c r="K25" s="21">
        <f>LN('5y 10 stocks data'!K26/'5y 10 stocks data'!K27)</f>
        <v>-4.517033931768303E-2</v>
      </c>
      <c r="L25" s="21">
        <f>LN('5y 10 stocks data'!L26/'5y 10 stocks data'!L27)</f>
        <v>-3.8927294496698804E-4</v>
      </c>
    </row>
    <row r="26" spans="1:12" hidden="1" outlineLevel="1" x14ac:dyDescent="0.25">
      <c r="A26" s="20">
        <f>'5y 10 stocks data'!A27</f>
        <v>42767</v>
      </c>
      <c r="B26" s="21">
        <f>LN('5y 10 stocks data'!B27/'5y 10 stocks data'!B28)</f>
        <v>-1.0417585558622837E-2</v>
      </c>
      <c r="C26" s="21">
        <f>LN('5y 10 stocks data'!C27/'5y 10 stocks data'!C28)</f>
        <v>0.12122912225301252</v>
      </c>
      <c r="D26" s="21">
        <f>LN('5y 10 stocks data'!D27/'5y 10 stocks data'!D28)</f>
        <v>2.5844699026700214E-2</v>
      </c>
      <c r="E26" s="21">
        <f>LN('5y 10 stocks data'!E27/'5y 10 stocks data'!E28)</f>
        <v>-5.0739452584739045E-3</v>
      </c>
      <c r="F26" s="21">
        <f>LN('5y 10 stocks data'!F27/'5y 10 stocks data'!F28)</f>
        <v>0.11527661268155724</v>
      </c>
      <c r="G26" s="21">
        <f>LN('5y 10 stocks data'!G27/'5y 10 stocks data'!G28)</f>
        <v>7.3903859323945331E-2</v>
      </c>
      <c r="H26" s="21">
        <f>LN('5y 10 stocks data'!H27/'5y 10 stocks data'!H28)</f>
        <v>3.2620230506894866E-2</v>
      </c>
      <c r="I26" s="21">
        <f>LN('5y 10 stocks data'!I27/'5y 10 stocks data'!I28)</f>
        <v>-3.1114349225965007E-2</v>
      </c>
      <c r="J26" s="21">
        <f>LN('5y 10 stocks data'!J27/'5y 10 stocks data'!J28)</f>
        <v>4.6735561386834379E-2</v>
      </c>
      <c r="K26" s="21">
        <f>LN('5y 10 stocks data'!K27/'5y 10 stocks data'!K28)</f>
        <v>8.6274959174733268E-2</v>
      </c>
      <c r="L26" s="21">
        <f>LN('5y 10 stocks data'!L27/'5y 10 stocks data'!L28)</f>
        <v>3.6523000999039816E-2</v>
      </c>
    </row>
    <row r="27" spans="1:12" hidden="1" outlineLevel="1" x14ac:dyDescent="0.25">
      <c r="A27" s="20">
        <f>'5y 10 stocks data'!A28</f>
        <v>42736</v>
      </c>
      <c r="B27" s="21">
        <f>LN('5y 10 stocks data'!B28/'5y 10 stocks data'!B29)</f>
        <v>3.9598346960542062E-2</v>
      </c>
      <c r="C27" s="21">
        <f>LN('5y 10 stocks data'!C28/'5y 10 stocks data'!C29)</f>
        <v>4.6641706156807447E-2</v>
      </c>
      <c r="D27" s="21">
        <f>LN('5y 10 stocks data'!D28/'5y 10 stocks data'!D29)</f>
        <v>6.8890534483602384E-2</v>
      </c>
      <c r="E27" s="21">
        <f>LN('5y 10 stocks data'!E28/'5y 10 stocks data'!E29)</f>
        <v>6.7545306093209717E-2</v>
      </c>
      <c r="F27" s="21">
        <f>LN('5y 10 stocks data'!F28/'5y 10 stocks data'!F29)</f>
        <v>1.640992688260539E-2</v>
      </c>
      <c r="G27" s="21">
        <f>LN('5y 10 stocks data'!G28/'5y 10 stocks data'!G29)</f>
        <v>-1.0110212228803983E-2</v>
      </c>
      <c r="H27" s="21">
        <f>LN('5y 10 stocks data'!H28/'5y 10 stocks data'!H29)</f>
        <v>3.1839757093719195E-2</v>
      </c>
      <c r="I27" s="21">
        <f>LN('5y 10 stocks data'!I28/'5y 10 stocks data'!I29)</f>
        <v>-7.318818466546273E-2</v>
      </c>
      <c r="J27" s="21">
        <f>LN('5y 10 stocks data'!J28/'5y 10 stocks data'!J29)</f>
        <v>4.1012232343690856E-2</v>
      </c>
      <c r="K27" s="21">
        <f>LN('5y 10 stocks data'!K28/'5y 10 stocks data'!K29)</f>
        <v>-1.9681542735076739E-2</v>
      </c>
      <c r="L27" s="21">
        <f>LN('5y 10 stocks data'!L28/'5y 10 stocks data'!L29)</f>
        <v>1.7726314594617782E-2</v>
      </c>
    </row>
    <row r="28" spans="1:12" hidden="1" outlineLevel="1" x14ac:dyDescent="0.25">
      <c r="A28" s="20">
        <f>'5y 10 stocks data'!A29</f>
        <v>42705</v>
      </c>
      <c r="B28" s="21">
        <f>LN('5y 10 stocks data'!B29/'5y 10 stocks data'!B30)</f>
        <v>3.7454146838764309E-2</v>
      </c>
      <c r="C28" s="21">
        <f>LN('5y 10 stocks data'!C29/'5y 10 stocks data'!C30)</f>
        <v>5.1961820821880868E-2</v>
      </c>
      <c r="D28" s="21">
        <f>LN('5y 10 stocks data'!D29/'5y 10 stocks data'!D30)</f>
        <v>2.3815776767489815E-2</v>
      </c>
      <c r="E28" s="21">
        <f>LN('5y 10 stocks data'!E29/'5y 10 stocks data'!E30)</f>
        <v>5.0172775888980135E-2</v>
      </c>
      <c r="F28" s="21">
        <f>LN('5y 10 stocks data'!F29/'5y 10 stocks data'!F30)</f>
        <v>1.3324823263930318E-2</v>
      </c>
      <c r="G28" s="21">
        <f>LN('5y 10 stocks data'!G29/'5y 10 stocks data'!G30)</f>
        <v>6.4249996923462518E-2</v>
      </c>
      <c r="H28" s="21">
        <f>LN('5y 10 stocks data'!H29/'5y 10 stocks data'!H30)</f>
        <v>1.801524560992928E-2</v>
      </c>
      <c r="I28" s="21">
        <f>LN('5y 10 stocks data'!I29/'5y 10 stocks data'!I30)</f>
        <v>4.2159675629096713E-2</v>
      </c>
      <c r="J28" s="21">
        <f>LN('5y 10 stocks data'!J29/'5y 10 stocks data'!J30)</f>
        <v>1.9455281347224251E-2</v>
      </c>
      <c r="K28" s="21">
        <f>LN('5y 10 stocks data'!K29/'5y 10 stocks data'!K30)</f>
        <v>9.288248770225177E-2</v>
      </c>
      <c r="L28" s="21">
        <f>LN('5y 10 stocks data'!L29/'5y 10 stocks data'!L30)</f>
        <v>1.8037111058687334E-2</v>
      </c>
    </row>
    <row r="29" spans="1:12" hidden="1" outlineLevel="1" x14ac:dyDescent="0.25">
      <c r="A29" s="20">
        <f>'5y 10 stocks data'!A30</f>
        <v>42675</v>
      </c>
      <c r="B29" s="21">
        <f>LN('5y 10 stocks data'!B30/'5y 10 stocks data'!B31)</f>
        <v>5.6581116448023152E-3</v>
      </c>
      <c r="C29" s="21">
        <f>LN('5y 10 stocks data'!C30/'5y 10 stocks data'!C31)</f>
        <v>-2.6958717024270256E-2</v>
      </c>
      <c r="D29" s="21">
        <f>LN('5y 10 stocks data'!D30/'5y 10 stocks data'!D31)</f>
        <v>-5.0972153058414578E-2</v>
      </c>
      <c r="E29" s="21">
        <f>LN('5y 10 stocks data'!E30/'5y 10 stocks data'!E31)</f>
        <v>6.7070708658138564E-2</v>
      </c>
      <c r="F29" s="21">
        <f>LN('5y 10 stocks data'!F30/'5y 10 stocks data'!F31)</f>
        <v>-2.0201328849509599E-2</v>
      </c>
      <c r="G29" s="21">
        <f>LN('5y 10 stocks data'!G30/'5y 10 stocks data'!G31)</f>
        <v>0.15352467864957731</v>
      </c>
      <c r="H29" s="21">
        <f>LN('5y 10 stocks data'!H30/'5y 10 stocks data'!H31)</f>
        <v>-3.4361405045320988E-2</v>
      </c>
      <c r="I29" s="21">
        <f>LN('5y 10 stocks data'!I30/'5y 10 stocks data'!I31)</f>
        <v>4.6661827272361747E-2</v>
      </c>
      <c r="J29" s="21">
        <f>LN('5y 10 stocks data'!J30/'5y 10 stocks data'!J31)</f>
        <v>-4.3607849676974605E-2</v>
      </c>
      <c r="K29" s="21">
        <f>LN('5y 10 stocks data'!K30/'5y 10 stocks data'!K31)</f>
        <v>0.24685993759692168</v>
      </c>
      <c r="L29" s="21">
        <f>LN('5y 10 stocks data'!L30/'5y 10 stocks data'!L31)</f>
        <v>3.3603545390870432E-2</v>
      </c>
    </row>
    <row r="30" spans="1:12" hidden="1" outlineLevel="1" x14ac:dyDescent="0.25">
      <c r="A30" s="20">
        <f>'5y 10 stocks data'!A31</f>
        <v>42644</v>
      </c>
      <c r="B30" s="21">
        <f>LN('5y 10 stocks data'!B31/'5y 10 stocks data'!B32)</f>
        <v>3.9487780436315553E-2</v>
      </c>
      <c r="C30" s="21">
        <f>LN('5y 10 stocks data'!C31/'5y 10 stocks data'!C32)</f>
        <v>4.3248877545664782E-3</v>
      </c>
      <c r="D30" s="21">
        <f>LN('5y 10 stocks data'!D31/'5y 10 stocks data'!D32)</f>
        <v>-5.8389289639810826E-2</v>
      </c>
      <c r="E30" s="21">
        <f>LN('5y 10 stocks data'!E31/'5y 10 stocks data'!E32)</f>
        <v>-1.8325167163699555E-3</v>
      </c>
      <c r="F30" s="21">
        <f>LN('5y 10 stocks data'!F31/'5y 10 stocks data'!F32)</f>
        <v>-3.3336480326230371E-2</v>
      </c>
      <c r="G30" s="21">
        <f>LN('5y 10 stocks data'!G31/'5y 10 stocks data'!G32)</f>
        <v>3.9313218739630028E-2</v>
      </c>
      <c r="H30" s="21">
        <f>LN('5y 10 stocks data'!H31/'5y 10 stocks data'!H32)</f>
        <v>9.2840479174319864E-3</v>
      </c>
      <c r="I30" s="21">
        <f>LN('5y 10 stocks data'!I31/'5y 10 stocks data'!I32)</f>
        <v>-4.6432433175506382E-2</v>
      </c>
      <c r="J30" s="21">
        <f>LN('5y 10 stocks data'!J31/'5y 10 stocks data'!J32)</f>
        <v>-3.3421401629968761E-2</v>
      </c>
      <c r="K30" s="21">
        <f>LN('5y 10 stocks data'!K31/'5y 10 stocks data'!K32)</f>
        <v>5.2889691052409794E-2</v>
      </c>
      <c r="L30" s="21">
        <f>LN('5y 10 stocks data'!L31/'5y 10 stocks data'!L32)</f>
        <v>-1.9616837421336072E-2</v>
      </c>
    </row>
    <row r="31" spans="1:12" hidden="1" outlineLevel="1" x14ac:dyDescent="0.25">
      <c r="A31" s="20">
        <f>'5y 10 stocks data'!A32</f>
        <v>42614</v>
      </c>
      <c r="B31" s="21">
        <f>LN('5y 10 stocks data'!B32/'5y 10 stocks data'!B33)</f>
        <v>8.6468357821425576E-3</v>
      </c>
      <c r="C31" s="21">
        <f>LN('5y 10 stocks data'!C32/'5y 10 stocks data'!C33)</f>
        <v>6.8850915785179739E-2</v>
      </c>
      <c r="D31" s="21">
        <f>LN('5y 10 stocks data'!D32/'5y 10 stocks data'!D33)</f>
        <v>8.4895394721912362E-2</v>
      </c>
      <c r="E31" s="21">
        <f>LN('5y 10 stocks data'!E32/'5y 10 stocks data'!E33)</f>
        <v>-1.7083376112012355E-2</v>
      </c>
      <c r="F31" s="21">
        <f>LN('5y 10 stocks data'!F32/'5y 10 stocks data'!F33)</f>
        <v>8.8664650087735553E-3</v>
      </c>
      <c r="G31" s="21">
        <f>LN('5y 10 stocks data'!G32/'5y 10 stocks data'!G33)</f>
        <v>-1.3573212959008167E-2</v>
      </c>
      <c r="H31" s="21">
        <f>LN('5y 10 stocks data'!H32/'5y 10 stocks data'!H33)</f>
        <v>1.3261510157852166E-2</v>
      </c>
      <c r="I31" s="21">
        <f>LN('5y 10 stocks data'!I32/'5y 10 stocks data'!I33)</f>
        <v>1.0096529702083808E-2</v>
      </c>
      <c r="J31" s="21">
        <f>LN('5y 10 stocks data'!J32/'5y 10 stocks data'!J33)</f>
        <v>2.7563133441429851E-2</v>
      </c>
      <c r="K31" s="21">
        <f>LN('5y 10 stocks data'!K32/'5y 10 stocks data'!K33)</f>
        <v>-2.6186488666843435E-2</v>
      </c>
      <c r="L31" s="21">
        <f>LN('5y 10 stocks data'!L32/'5y 10 stocks data'!L33)</f>
        <v>-1.2352134063971093E-3</v>
      </c>
    </row>
    <row r="32" spans="1:12" hidden="1" outlineLevel="1" x14ac:dyDescent="0.25">
      <c r="A32" s="20">
        <f>'5y 10 stocks data'!A33</f>
        <v>42583</v>
      </c>
      <c r="B32" s="21">
        <f>LN('5y 10 stocks data'!B33/'5y 10 stocks data'!B34)</f>
        <v>1.3667693073487096E-2</v>
      </c>
      <c r="C32" s="21">
        <f>LN('5y 10 stocks data'!C33/'5y 10 stocks data'!C34)</f>
        <v>1.7973973391415998E-2</v>
      </c>
      <c r="D32" s="21">
        <f>LN('5y 10 stocks data'!D33/'5y 10 stocks data'!D34)</f>
        <v>1.354756113762587E-2</v>
      </c>
      <c r="E32" s="21">
        <f>LN('5y 10 stocks data'!E33/'5y 10 stocks data'!E34)</f>
        <v>-8.4128366926886251E-3</v>
      </c>
      <c r="F32" s="21">
        <f>LN('5y 10 stocks data'!F33/'5y 10 stocks data'!F34)</f>
        <v>3.8439862255461865E-2</v>
      </c>
      <c r="G32" s="21">
        <f>LN('5y 10 stocks data'!G33/'5y 10 stocks data'!G34)</f>
        <v>6.1467951675039316E-2</v>
      </c>
      <c r="H32" s="21">
        <f>LN('5y 10 stocks data'!H33/'5y 10 stocks data'!H34)</f>
        <v>-2.2658490245801139E-3</v>
      </c>
      <c r="I32" s="21">
        <f>LN('5y 10 stocks data'!I33/'5y 10 stocks data'!I34)</f>
        <v>-2.0558275531738231E-2</v>
      </c>
      <c r="J32" s="21">
        <f>LN('5y 10 stocks data'!J33/'5y 10 stocks data'!J34)</f>
        <v>2.7696357272158877E-2</v>
      </c>
      <c r="K32" s="21">
        <f>LN('5y 10 stocks data'!K33/'5y 10 stocks data'!K34)</f>
        <v>0.10784195923127221</v>
      </c>
      <c r="L32" s="21">
        <f>LN('5y 10 stocks data'!L33/'5y 10 stocks data'!L34)</f>
        <v>-1.2199870176702919E-3</v>
      </c>
    </row>
    <row r="33" spans="1:12" hidden="1" outlineLevel="1" x14ac:dyDescent="0.25">
      <c r="A33" s="20">
        <f>'5y 10 stocks data'!A34</f>
        <v>42552</v>
      </c>
      <c r="B33" s="21">
        <f>LN('5y 10 stocks data'!B34/'5y 10 stocks data'!B35)</f>
        <v>0.10226799949355682</v>
      </c>
      <c r="C33" s="21">
        <f>LN('5y 10 stocks data'!C34/'5y 10 stocks data'!C35)</f>
        <v>8.6235098275332878E-2</v>
      </c>
      <c r="D33" s="21">
        <f>LN('5y 10 stocks data'!D34/'5y 10 stocks data'!D35)</f>
        <v>5.8602121209846161E-2</v>
      </c>
      <c r="E33" s="21">
        <f>LN('5y 10 stocks data'!E34/'5y 10 stocks data'!E35)</f>
        <v>-1.9301887744877184E-2</v>
      </c>
      <c r="F33" s="21">
        <f>LN('5y 10 stocks data'!F34/'5y 10 stocks data'!F35)</f>
        <v>6.2161335072799417E-2</v>
      </c>
      <c r="G33" s="21">
        <f>LN('5y 10 stocks data'!G34/'5y 10 stocks data'!G35)</f>
        <v>2.9024322759167023E-2</v>
      </c>
      <c r="H33" s="21">
        <f>LN('5y 10 stocks data'!H34/'5y 10 stocks data'!H35)</f>
        <v>0.10508740250026335</v>
      </c>
      <c r="I33" s="21">
        <f>LN('5y 10 stocks data'!I34/'5y 10 stocks data'!I35)</f>
        <v>-5.245075704134862E-2</v>
      </c>
      <c r="J33" s="21">
        <f>LN('5y 10 stocks data'!J34/'5y 10 stocks data'!J35)</f>
        <v>1.0807046941407364E-2</v>
      </c>
      <c r="K33" s="21">
        <f>LN('5y 10 stocks data'!K34/'5y 10 stocks data'!K35)</f>
        <v>9.1339212438813003E-2</v>
      </c>
      <c r="L33" s="21">
        <f>LN('5y 10 stocks data'!L34/'5y 10 stocks data'!L35)</f>
        <v>3.4990433050203752E-2</v>
      </c>
    </row>
    <row r="34" spans="1:12" hidden="1" outlineLevel="1" x14ac:dyDescent="0.25">
      <c r="A34" s="20">
        <f>'5y 10 stocks data'!A35</f>
        <v>42522</v>
      </c>
      <c r="B34" s="21">
        <f>LN('5y 10 stocks data'!B35/'5y 10 stocks data'!B36)</f>
        <v>-2.816835647618952E-2</v>
      </c>
      <c r="C34" s="21">
        <f>LN('5y 10 stocks data'!C35/'5y 10 stocks data'!C36)</f>
        <v>-3.7526502588994197E-2</v>
      </c>
      <c r="D34" s="21">
        <f>LN('5y 10 stocks data'!D35/'5y 10 stocks data'!D36)</f>
        <v>-9.9694002672957097E-3</v>
      </c>
      <c r="E34" s="21">
        <f>LN('5y 10 stocks data'!E35/'5y 10 stocks data'!E36)</f>
        <v>-1.4210440617537505E-2</v>
      </c>
      <c r="F34" s="21">
        <f>LN('5y 10 stocks data'!F35/'5y 10 stocks data'!F36)</f>
        <v>-1.2469730111198007E-2</v>
      </c>
      <c r="G34" s="21">
        <f>LN('5y 10 stocks data'!G35/'5y 10 stocks data'!G36)</f>
        <v>-4.9142678377946183E-2</v>
      </c>
      <c r="H34" s="21">
        <f>LN('5y 10 stocks data'!H35/'5y 10 stocks data'!H36)</f>
        <v>-6.1119152974679292E-2</v>
      </c>
      <c r="I34" s="21">
        <f>LN('5y 10 stocks data'!I35/'5y 10 stocks data'!I36)</f>
        <v>6.0033254465928963E-2</v>
      </c>
      <c r="J34" s="21">
        <f>LN('5y 10 stocks data'!J35/'5y 10 stocks data'!J36)</f>
        <v>4.3818525504050479E-2</v>
      </c>
      <c r="K34" s="21">
        <f>LN('5y 10 stocks data'!K35/'5y 10 stocks data'!K36)</f>
        <v>-0.10844561673927364</v>
      </c>
      <c r="L34" s="21">
        <f>LN('5y 10 stocks data'!L35/'5y 10 stocks data'!L36)</f>
        <v>9.1050648411568206E-4</v>
      </c>
    </row>
    <row r="35" spans="1:12" hidden="1" outlineLevel="1" x14ac:dyDescent="0.25">
      <c r="A35" s="20">
        <f>'5y 10 stocks data'!A36</f>
        <v>42491</v>
      </c>
      <c r="B35" s="21">
        <f>LN('5y 10 stocks data'!B36/'5y 10 stocks data'!B37)</f>
        <v>6.0872252821212593E-2</v>
      </c>
      <c r="C35" s="21">
        <f>LN('5y 10 stocks data'!C36/'5y 10 stocks data'!C37)</f>
        <v>6.3244341840116305E-2</v>
      </c>
      <c r="D35" s="21">
        <f>LN('5y 10 stocks data'!D36/'5y 10 stocks data'!D37)</f>
        <v>9.1500222297398293E-2</v>
      </c>
      <c r="E35" s="21">
        <f>LN('5y 10 stocks data'!E36/'5y 10 stocks data'!E37)</f>
        <v>-3.9910488328585181E-2</v>
      </c>
      <c r="F35" s="21">
        <f>LN('5y 10 stocks data'!F36/'5y 10 stocks data'!F37)</f>
        <v>6.4299858741073496E-2</v>
      </c>
      <c r="G35" s="21">
        <f>LN('5y 10 stocks data'!G36/'5y 10 stocks data'!G37)</f>
        <v>3.9604576565522936E-2</v>
      </c>
      <c r="H35" s="21">
        <f>LN('5y 10 stocks data'!H36/'5y 10 stocks data'!H37)</f>
        <v>5.9805128615398918E-2</v>
      </c>
      <c r="I35" s="21">
        <f>LN('5y 10 stocks data'!I36/'5y 10 stocks data'!I37)</f>
        <v>6.9888650790855423E-3</v>
      </c>
      <c r="J35" s="21">
        <f>LN('5y 10 stocks data'!J36/'5y 10 stocks data'!J37)</f>
        <v>1.9569437190636096E-2</v>
      </c>
      <c r="K35" s="21">
        <f>LN('5y 10 stocks data'!K36/'5y 10 stocks data'!K37)</f>
        <v>1.5673361657907565E-2</v>
      </c>
      <c r="L35" s="21">
        <f>LN('5y 10 stocks data'!L36/'5y 10 stocks data'!L37)</f>
        <v>1.5208366645339389E-2</v>
      </c>
    </row>
    <row r="36" spans="1:12" hidden="1" outlineLevel="1" x14ac:dyDescent="0.25">
      <c r="A36" s="20">
        <f>'5y 10 stocks data'!A37</f>
        <v>42461</v>
      </c>
      <c r="B36" s="21">
        <f>LN('5y 10 stocks data'!B37/'5y 10 stocks data'!B38)</f>
        <v>-0.1020868106167368</v>
      </c>
      <c r="C36" s="21">
        <f>LN('5y 10 stocks data'!C37/'5y 10 stocks data'!C38)</f>
        <v>-0.15073120784337654</v>
      </c>
      <c r="D36" s="21">
        <f>LN('5y 10 stocks data'!D37/'5y 10 stocks data'!D38)</f>
        <v>0.10534537050612541</v>
      </c>
      <c r="E36" s="21">
        <f>LN('5y 10 stocks data'!E37/'5y 10 stocks data'!E38)</f>
        <v>3.900369334491384E-2</v>
      </c>
      <c r="F36" s="21">
        <f>LN('5y 10 stocks data'!F37/'5y 10 stocks data'!F38)</f>
        <v>-3.5028688281639631E-2</v>
      </c>
      <c r="G36" s="21">
        <f>LN('5y 10 stocks data'!G37/'5y 10 stocks data'!G38)</f>
        <v>6.5045023697400145E-2</v>
      </c>
      <c r="H36" s="21">
        <f>LN('5y 10 stocks data'!H37/'5y 10 stocks data'!H38)</f>
        <v>-7.2272674611784049E-2</v>
      </c>
      <c r="I36" s="21">
        <f>LN('5y 10 stocks data'!I37/'5y 10 stocks data'!I38)</f>
        <v>5.5948207484098712E-2</v>
      </c>
      <c r="J36" s="21">
        <f>LN('5y 10 stocks data'!J37/'5y 10 stocks data'!J38)</f>
        <v>-2.6966989001458157E-2</v>
      </c>
      <c r="K36" s="21">
        <f>LN('5y 10 stocks data'!K37/'5y 10 stocks data'!K38)</f>
        <v>7.7905891259944127E-2</v>
      </c>
      <c r="L36" s="21">
        <f>LN('5y 10 stocks data'!L37/'5y 10 stocks data'!L38)</f>
        <v>2.6957616481642385E-3</v>
      </c>
    </row>
    <row r="37" spans="1:12" hidden="1" outlineLevel="1" x14ac:dyDescent="0.25">
      <c r="A37" s="20">
        <f>'5y 10 stocks data'!A38</f>
        <v>42430</v>
      </c>
      <c r="B37" s="21">
        <f>LN('5y 10 stocks data'!B38/'5y 10 stocks data'!B39)</f>
        <v>8.9190787838824878E-2</v>
      </c>
      <c r="C37" s="21">
        <f>LN('5y 10 stocks data'!C38/'5y 10 stocks data'!C39)</f>
        <v>0.12515794470182226</v>
      </c>
      <c r="D37" s="21">
        <f>LN('5y 10 stocks data'!D38/'5y 10 stocks data'!D39)</f>
        <v>7.178343226591305E-2</v>
      </c>
      <c r="E37" s="21">
        <f>LN('5y 10 stocks data'!E38/'5y 10 stocks data'!E39)</f>
        <v>3.8910767751321601E-2</v>
      </c>
      <c r="F37" s="21">
        <f>LN('5y 10 stocks data'!F38/'5y 10 stocks data'!F39)</f>
        <v>8.3855149962530712E-2</v>
      </c>
      <c r="G37" s="21">
        <f>LN('5y 10 stocks data'!G38/'5y 10 stocks data'!G39)</f>
        <v>5.0564845258038074E-2</v>
      </c>
      <c r="H37" s="21">
        <f>LN('5y 10 stocks data'!H38/'5y 10 stocks data'!H39)</f>
        <v>6.5427553911985223E-2</v>
      </c>
      <c r="I37" s="21">
        <f>LN('5y 10 stocks data'!I38/'5y 10 stocks data'!I39)</f>
        <v>5.1059327318006886E-2</v>
      </c>
      <c r="J37" s="21">
        <f>LN('5y 10 stocks data'!J38/'5y 10 stocks data'!J39)</f>
        <v>2.484740674021128E-2</v>
      </c>
      <c r="K37" s="21">
        <f>LN('5y 10 stocks data'!K38/'5y 10 stocks data'!K39)</f>
        <v>7.6842694461803793E-2</v>
      </c>
      <c r="L37" s="21">
        <f>LN('5y 10 stocks data'!L38/'5y 10 stocks data'!L39)</f>
        <v>6.3904990415635493E-2</v>
      </c>
    </row>
    <row r="38" spans="1:12" hidden="1" outlineLevel="1" x14ac:dyDescent="0.25">
      <c r="A38" s="20">
        <f>'5y 10 stocks data'!A39</f>
        <v>42401</v>
      </c>
      <c r="B38" s="21">
        <f>LN('5y 10 stocks data'!B39/'5y 10 stocks data'!B40)</f>
        <v>-7.9498408951904728E-2</v>
      </c>
      <c r="C38" s="21">
        <f>LN('5y 10 stocks data'!C39/'5y 10 stocks data'!C40)</f>
        <v>-6.699895675983043E-3</v>
      </c>
      <c r="D38" s="21">
        <f>LN('5y 10 stocks data'!D39/'5y 10 stocks data'!D40)</f>
        <v>-6.0535151798553274E-2</v>
      </c>
      <c r="E38" s="21">
        <f>LN('5y 10 stocks data'!E39/'5y 10 stocks data'!E40)</f>
        <v>-3.1358590227043414E-3</v>
      </c>
      <c r="F38" s="21">
        <f>LN('5y 10 stocks data'!F39/'5y 10 stocks data'!F40)</f>
        <v>0.1034922775170844</v>
      </c>
      <c r="G38" s="21">
        <f>LN('5y 10 stocks data'!G39/'5y 10 stocks data'!G40)</f>
        <v>-4.8596020503727855E-2</v>
      </c>
      <c r="H38" s="21">
        <f>LN('5y 10 stocks data'!H39/'5y 10 stocks data'!H40)</f>
        <v>-6.2739199624356853E-2</v>
      </c>
      <c r="I38" s="21">
        <f>LN('5y 10 stocks data'!I39/'5y 10 stocks data'!I40)</f>
        <v>2.9116132021073229E-2</v>
      </c>
      <c r="J38" s="21">
        <f>LN('5y 10 stocks data'!J39/'5y 10 stocks data'!J40)</f>
        <v>-8.609665086033504E-3</v>
      </c>
      <c r="K38" s="21">
        <f>LN('5y 10 stocks data'!K39/'5y 10 stocks data'!K40)</f>
        <v>-0.12168024719436674</v>
      </c>
      <c r="L38" s="21">
        <f>LN('5y 10 stocks data'!L39/'5y 10 stocks data'!L40)</f>
        <v>-4.1369056367907874E-3</v>
      </c>
    </row>
    <row r="39" spans="1:12" hidden="1" outlineLevel="1" x14ac:dyDescent="0.25">
      <c r="A39" s="20">
        <f>'5y 10 stocks data'!A40</f>
        <v>42370</v>
      </c>
      <c r="B39" s="21">
        <f>LN('5y 10 stocks data'!B40/'5y 10 stocks data'!B41)</f>
        <v>-7.0544599414097469E-3</v>
      </c>
      <c r="C39" s="21">
        <f>LN('5y 10 stocks data'!C40/'5y 10 stocks data'!C41)</f>
        <v>-7.8223725040940995E-2</v>
      </c>
      <c r="D39" s="21">
        <f>LN('5y 10 stocks data'!D40/'5y 10 stocks data'!D41)</f>
        <v>-0.14100554327369297</v>
      </c>
      <c r="E39" s="21">
        <f>LN('5y 10 stocks data'!E40/'5y 10 stocks data'!E41)</f>
        <v>-8.5860807616864585E-2</v>
      </c>
      <c r="F39" s="21">
        <f>LN('5y 10 stocks data'!F40/'5y 10 stocks data'!F41)</f>
        <v>-0.13247980953926153</v>
      </c>
      <c r="G39" s="21">
        <f>LN('5y 10 stocks data'!G40/'5y 10 stocks data'!G41)</f>
        <v>-0.10413282683585232</v>
      </c>
      <c r="H39" s="21">
        <f>LN('5y 10 stocks data'!H40/'5y 10 stocks data'!H41)</f>
        <v>-2.1214904863745037E-2</v>
      </c>
      <c r="I39" s="21">
        <f>LN('5y 10 stocks data'!I40/'5y 10 stocks data'!I41)</f>
        <v>-1.2838380626936112E-3</v>
      </c>
      <c r="J39" s="21">
        <f>LN('5y 10 stocks data'!J40/'5y 10 stocks data'!J41)</f>
        <v>2.8307546921708324E-2</v>
      </c>
      <c r="K39" s="21">
        <f>LN('5y 10 stocks data'!K40/'5y 10 stocks data'!K41)</f>
        <v>-0.17134387727964845</v>
      </c>
      <c r="L39" s="21">
        <f>LN('5y 10 stocks data'!L40/'5y 10 stocks data'!L41)</f>
        <v>-5.2067617227535473E-2</v>
      </c>
    </row>
    <row r="40" spans="1:12" hidden="1" outlineLevel="1" x14ac:dyDescent="0.25">
      <c r="A40" s="20">
        <f>'5y 10 stocks data'!A41</f>
        <v>42339</v>
      </c>
      <c r="B40" s="21">
        <f>LN('5y 10 stocks data'!B41/'5y 10 stocks data'!B42)</f>
        <v>2.7295889469147166E-2</v>
      </c>
      <c r="C40" s="21">
        <f>LN('5y 10 stocks data'!C41/'5y 10 stocks data'!C42)</f>
        <v>-0.11251895163474272</v>
      </c>
      <c r="D40" s="21">
        <f>LN('5y 10 stocks data'!D41/'5y 10 stocks data'!D42)</f>
        <v>1.6544137611092583E-2</v>
      </c>
      <c r="E40" s="21">
        <f>LN('5y 10 stocks data'!E41/'5y 10 stocks data'!E42)</f>
        <v>-7.6816423824405053E-2</v>
      </c>
      <c r="F40" s="21">
        <f>LN('5y 10 stocks data'!F41/'5y 10 stocks data'!F42)</f>
        <v>-3.3083442396193556E-3</v>
      </c>
      <c r="G40" s="21">
        <f>LN('5y 10 stocks data'!G41/'5y 10 stocks data'!G42)</f>
        <v>-9.7958438656949674E-3</v>
      </c>
      <c r="H40" s="21">
        <f>LN('5y 10 stocks data'!H41/'5y 10 stocks data'!H42)</f>
        <v>2.1686159293828937E-2</v>
      </c>
      <c r="I40" s="21">
        <f>LN('5y 10 stocks data'!I41/'5y 10 stocks data'!I42)</f>
        <v>-3.7817044282234084E-2</v>
      </c>
      <c r="J40" s="21">
        <f>LN('5y 10 stocks data'!J41/'5y 10 stocks data'!J42)</f>
        <v>5.9271651373479499E-2</v>
      </c>
      <c r="K40" s="21">
        <f>LN('5y 10 stocks data'!K41/'5y 10 stocks data'!K42)</f>
        <v>-3.5029759055626414E-2</v>
      </c>
      <c r="L40" s="21">
        <f>LN('5y 10 stocks data'!L41/'5y 10 stocks data'!L42)</f>
        <v>-1.7685658536441762E-2</v>
      </c>
    </row>
    <row r="41" spans="1:12" hidden="1" outlineLevel="1" x14ac:dyDescent="0.25">
      <c r="A41" s="20">
        <f>'5y 10 stocks data'!A42</f>
        <v>42309</v>
      </c>
      <c r="B41" s="21">
        <f>LN('5y 10 stocks data'!B42/'5y 10 stocks data'!B43)</f>
        <v>3.1968231416945173E-2</v>
      </c>
      <c r="C41" s="21">
        <f>LN('5y 10 stocks data'!C42/'5y 10 stocks data'!C43)</f>
        <v>-1.0092636970345589E-2</v>
      </c>
      <c r="D41" s="21">
        <f>LN('5y 10 stocks data'!D42/'5y 10 stocks data'!D43)</f>
        <v>6.0295573215258073E-2</v>
      </c>
      <c r="E41" s="21">
        <f>LN('5y 10 stocks data'!E42/'5y 10 stocks data'!E43)</f>
        <v>-2.3766066301358934E-3</v>
      </c>
      <c r="F41" s="21">
        <f>LN('5y 10 stocks data'!F42/'5y 10 stocks data'!F43)</f>
        <v>-4.9024209163779121E-2</v>
      </c>
      <c r="G41" s="21">
        <f>LN('5y 10 stocks data'!G42/'5y 10 stocks data'!G43)</f>
        <v>4.4312852587256701E-2</v>
      </c>
      <c r="H41" s="21">
        <f>LN('5y 10 stocks data'!H42/'5y 10 stocks data'!H43)</f>
        <v>4.3752347401220817E-2</v>
      </c>
      <c r="I41" s="21">
        <f>LN('5y 10 stocks data'!I42/'5y 10 stocks data'!I43)</f>
        <v>-1.3138658647392916E-2</v>
      </c>
      <c r="J41" s="21">
        <f>LN('5y 10 stocks data'!J42/'5y 10 stocks data'!J43)</f>
        <v>-1.142198264222488E-2</v>
      </c>
      <c r="K41" s="21">
        <f>LN('5y 10 stocks data'!K42/'5y 10 stocks data'!K43)</f>
        <v>3.8005058231951973E-2</v>
      </c>
      <c r="L41" s="21">
        <f>LN('5y 10 stocks data'!L42/'5y 10 stocks data'!L43)</f>
        <v>5.0474185711855491E-4</v>
      </c>
    </row>
    <row r="42" spans="1:12" hidden="1" outlineLevel="1" x14ac:dyDescent="0.25">
      <c r="A42" s="20">
        <f>'5y 10 stocks data'!A43</f>
        <v>42278</v>
      </c>
      <c r="B42" s="21">
        <f>LN('5y 10 stocks data'!B43/'5y 10 stocks data'!B44)</f>
        <v>0.17339513696177311</v>
      </c>
      <c r="C42" s="21">
        <f>LN('5y 10 stocks data'!C43/'5y 10 stocks data'!C44)</f>
        <v>8.011251366458956E-2</v>
      </c>
      <c r="D42" s="21">
        <f>LN('5y 10 stocks data'!D43/'5y 10 stocks data'!D44)</f>
        <v>0.20108086476498516</v>
      </c>
      <c r="E42" s="21">
        <f>LN('5y 10 stocks data'!E43/'5y 10 stocks data'!E44)</f>
        <v>0.10698346183164914</v>
      </c>
      <c r="F42" s="21">
        <f>LN('5y 10 stocks data'!F43/'5y 10 stocks data'!F44)</f>
        <v>9.4444033432991195E-2</v>
      </c>
      <c r="G42" s="21">
        <f>LN('5y 10 stocks data'!G43/'5y 10 stocks data'!G44)</f>
        <v>5.2399742966774826E-2</v>
      </c>
      <c r="H42" s="21">
        <f>LN('5y 10 stocks data'!H43/'5y 10 stocks data'!H44)</f>
        <v>0.15553975700947875</v>
      </c>
      <c r="I42" s="21">
        <f>LN('5y 10 stocks data'!I43/'5y 10 stocks data'!I44)</f>
        <v>0.10691941910402829</v>
      </c>
      <c r="J42" s="21">
        <f>LN('5y 10 stocks data'!J43/'5y 10 stocks data'!J44)</f>
        <v>5.9888348652446001E-2</v>
      </c>
      <c r="K42" s="21">
        <f>LN('5y 10 stocks data'!K43/'5y 10 stocks data'!K44)</f>
        <v>7.741405205274382E-2</v>
      </c>
      <c r="L42" s="21">
        <f>LN('5y 10 stocks data'!L43/'5y 10 stocks data'!L44)</f>
        <v>7.9719379495131665E-2</v>
      </c>
    </row>
    <row r="43" spans="1:12" hidden="1" outlineLevel="1" x14ac:dyDescent="0.25">
      <c r="A43" s="20">
        <f>'5y 10 stocks data'!A44</f>
        <v>42248</v>
      </c>
      <c r="B43" s="21">
        <f>LN('5y 10 stocks data'!B44/'5y 10 stocks data'!B45)</f>
        <v>2.3433337678948406E-2</v>
      </c>
      <c r="C43" s="21">
        <f>LN('5y 10 stocks data'!C44/'5y 10 stocks data'!C45)</f>
        <v>-1.895946514548413E-2</v>
      </c>
      <c r="D43" s="21">
        <f>LN('5y 10 stocks data'!D44/'5y 10 stocks data'!D45)</f>
        <v>-1.9516389627689909E-3</v>
      </c>
      <c r="E43" s="21">
        <f>LN('5y 10 stocks data'!E44/'5y 10 stocks data'!E45)</f>
        <v>3.1360798285119808E-3</v>
      </c>
      <c r="F43" s="21">
        <f>LN('5y 10 stocks data'!F44/'5y 10 stocks data'!F45)</f>
        <v>1.4195522745171637E-2</v>
      </c>
      <c r="G43" s="21">
        <f>LN('5y 10 stocks data'!G44/'5y 10 stocks data'!G45)</f>
        <v>-5.0062319683712241E-2</v>
      </c>
      <c r="H43" s="21">
        <f>LN('5y 10 stocks data'!H44/'5y 10 stocks data'!H45)</f>
        <v>-4.6861382628566602E-2</v>
      </c>
      <c r="I43" s="21">
        <f>LN('5y 10 stocks data'!I44/'5y 10 stocks data'!I45)</f>
        <v>-2.5862341432199678E-3</v>
      </c>
      <c r="J43" s="21">
        <f>LN('5y 10 stocks data'!J44/'5y 10 stocks data'!J45)</f>
        <v>1.7811608023284731E-2</v>
      </c>
      <c r="K43" s="21">
        <f>LN('5y 10 stocks data'!K44/'5y 10 stocks data'!K45)</f>
        <v>-5.3729425340257216E-2</v>
      </c>
      <c r="L43" s="21">
        <f>LN('5y 10 stocks data'!L44/'5y 10 stocks data'!L45)</f>
        <v>-2.6798731264652844E-2</v>
      </c>
    </row>
    <row r="44" spans="1:12" hidden="1" outlineLevel="1" x14ac:dyDescent="0.25">
      <c r="A44" s="20">
        <f>'5y 10 stocks data'!A45</f>
        <v>42217</v>
      </c>
      <c r="B44" s="21">
        <f>LN('5y 10 stocks data'!B45/'5y 10 stocks data'!B46)</f>
        <v>-7.0523659560539201E-2</v>
      </c>
      <c r="C44" s="21">
        <f>LN('5y 10 stocks data'!C45/'5y 10 stocks data'!C46)</f>
        <v>-7.1587094627726888E-2</v>
      </c>
      <c r="D44" s="21">
        <f>LN('5y 10 stocks data'!D45/'5y 10 stocks data'!D46)</f>
        <v>-4.435259095652358E-2</v>
      </c>
      <c r="E44" s="21">
        <f>LN('5y 10 stocks data'!E45/'5y 10 stocks data'!E46)</f>
        <v>-0.15789703284018819</v>
      </c>
      <c r="F44" s="21">
        <f>LN('5y 10 stocks data'!F45/'5y 10 stocks data'!F46)</f>
        <v>-8.5945809257341271E-2</v>
      </c>
      <c r="G44" s="21">
        <f>LN('5y 10 stocks data'!G45/'5y 10 stocks data'!G46)</f>
        <v>-6.0312616338459642E-2</v>
      </c>
      <c r="H44" s="21">
        <f>LN('5y 10 stocks data'!H45/'5y 10 stocks data'!H46)</f>
        <v>1.8999637860486106E-2</v>
      </c>
      <c r="I44" s="21">
        <f>LN('5y 10 stocks data'!I45/'5y 10 stocks data'!I46)</f>
        <v>-5.1419553822687744E-2</v>
      </c>
      <c r="J44" s="21">
        <f>LN('5y 10 stocks data'!J45/'5y 10 stocks data'!J46)</f>
        <v>-7.3727043266385336E-2</v>
      </c>
      <c r="K44" s="21">
        <f>LN('5y 10 stocks data'!K45/'5y 10 stocks data'!K46)</f>
        <v>-8.3965073913456478E-2</v>
      </c>
      <c r="L44" s="21">
        <f>LN('5y 10 stocks data'!L45/'5y 10 stocks data'!L46)</f>
        <v>-6.4624730898542204E-2</v>
      </c>
    </row>
    <row r="45" spans="1:12" hidden="1" outlineLevel="1" x14ac:dyDescent="0.25">
      <c r="A45" s="20">
        <f>'5y 10 stocks data'!A46</f>
        <v>42186</v>
      </c>
      <c r="B45" s="21">
        <f>LN('5y 10 stocks data'!B46/'5y 10 stocks data'!B47)</f>
        <v>5.615138950863606E-2</v>
      </c>
      <c r="C45" s="21">
        <f>LN('5y 10 stocks data'!C46/'5y 10 stocks data'!C47)</f>
        <v>-3.3481272359727109E-2</v>
      </c>
      <c r="D45" s="21">
        <f>LN('5y 10 stocks data'!D46/'5y 10 stocks data'!D47)</f>
        <v>0.21116214077099557</v>
      </c>
      <c r="E45" s="21">
        <f>LN('5y 10 stocks data'!E46/'5y 10 stocks data'!E47)</f>
        <v>5.0065888212511303E-2</v>
      </c>
      <c r="F45" s="21">
        <f>LN('5y 10 stocks data'!F46/'5y 10 stocks data'!F47)</f>
        <v>3.4362595825190106E-2</v>
      </c>
      <c r="G45" s="21">
        <f>LN('5y 10 stocks data'!G46/'5y 10 stocks data'!G47)</f>
        <v>1.1299758009413369E-2</v>
      </c>
      <c r="H45" s="21">
        <f>LN('5y 10 stocks data'!H46/'5y 10 stocks data'!H47)</f>
        <v>0.18391803040321489</v>
      </c>
      <c r="I45" s="21">
        <f>LN('5y 10 stocks data'!I46/'5y 10 stocks data'!I47)</f>
        <v>-4.9144760587851326E-2</v>
      </c>
      <c r="J45" s="21">
        <f>LN('5y 10 stocks data'!J46/'5y 10 stocks data'!J47)</f>
        <v>-1.987907409059032E-2</v>
      </c>
      <c r="K45" s="21">
        <f>LN('5y 10 stocks data'!K46/'5y 10 stocks data'!K47)</f>
        <v>5.2288266051541799E-2</v>
      </c>
      <c r="L45" s="21">
        <f>LN('5y 10 stocks data'!L46/'5y 10 stocks data'!L47)</f>
        <v>1.954968324649287E-2</v>
      </c>
    </row>
    <row r="46" spans="1:12" hidden="1" outlineLevel="1" x14ac:dyDescent="0.25">
      <c r="A46" s="20">
        <f>'5y 10 stocks data'!A47</f>
        <v>42156</v>
      </c>
      <c r="B46" s="21">
        <f>LN('5y 10 stocks data'!B47/'5y 10 stocks data'!B48)</f>
        <v>-5.3093689293059229E-2</v>
      </c>
      <c r="C46" s="21">
        <f>LN('5y 10 stocks data'!C47/'5y 10 stocks data'!C48)</f>
        <v>-3.3769417824387027E-2</v>
      </c>
      <c r="D46" s="21">
        <f>LN('5y 10 stocks data'!D47/'5y 10 stocks data'!D48)</f>
        <v>1.1258945233946025E-2</v>
      </c>
      <c r="E46" s="21">
        <f>LN('5y 10 stocks data'!E47/'5y 10 stocks data'!E48)</f>
        <v>3.3587491495348384E-2</v>
      </c>
      <c r="F46" s="21">
        <f>LN('5y 10 stocks data'!F47/'5y 10 stocks data'!F48)</f>
        <v>-6.5198043203181441E-2</v>
      </c>
      <c r="G46" s="21">
        <f>LN('5y 10 stocks data'!G47/'5y 10 stocks data'!G48)</f>
        <v>2.9656018615170927E-2</v>
      </c>
      <c r="H46" s="21">
        <f>LN('5y 10 stocks data'!H47/'5y 10 stocks data'!H48)</f>
        <v>-2.2041087317678777E-2</v>
      </c>
      <c r="I46" s="21">
        <f>LN('5y 10 stocks data'!I47/'5y 10 stocks data'!I48)</f>
        <v>-1.5517252102805941E-2</v>
      </c>
      <c r="J46" s="21">
        <f>LN('5y 10 stocks data'!J47/'5y 10 stocks data'!J48)</f>
        <v>-1.9155329083835686E-3</v>
      </c>
      <c r="K46" s="21">
        <f>LN('5y 10 stocks data'!K47/'5y 10 stocks data'!K48)</f>
        <v>3.1028906159832025E-2</v>
      </c>
      <c r="L46" s="21">
        <f>LN('5y 10 stocks data'!L47/'5y 10 stocks data'!L48)</f>
        <v>-2.1235559276432083E-2</v>
      </c>
    </row>
    <row r="47" spans="1:12" hidden="1" outlineLevel="1" x14ac:dyDescent="0.25">
      <c r="A47" s="20">
        <f>'5y 10 stocks data'!A48</f>
        <v>42125</v>
      </c>
      <c r="B47" s="21">
        <f>LN('5y 10 stocks data'!B48/'5y 10 stocks data'!B49)</f>
        <v>-3.7281890692137609E-2</v>
      </c>
      <c r="C47" s="21">
        <f>LN('5y 10 stocks data'!C48/'5y 10 stocks data'!C49)</f>
        <v>4.017262528978683E-2</v>
      </c>
      <c r="D47" s="21">
        <f>LN('5y 10 stocks data'!D48/'5y 10 stocks data'!D49)</f>
        <v>1.750908271209033E-2</v>
      </c>
      <c r="E47" s="21">
        <f>LN('5y 10 stocks data'!E48/'5y 10 stocks data'!E49)</f>
        <v>1.5062372477734507E-2</v>
      </c>
      <c r="F47" s="21">
        <f>LN('5y 10 stocks data'!F48/'5y 10 stocks data'!F49)</f>
        <v>1.6511968867305583E-2</v>
      </c>
      <c r="G47" s="21">
        <f>LN('5y 10 stocks data'!G48/'5y 10 stocks data'!G49)</f>
        <v>4.5687516000938684E-2</v>
      </c>
      <c r="H47" s="21">
        <f>LN('5y 10 stocks data'!H48/'5y 10 stocks data'!H49)</f>
        <v>-9.7808848209589953E-3</v>
      </c>
      <c r="I47" s="21">
        <f>LN('5y 10 stocks data'!I48/'5y 10 stocks data'!I49)</f>
        <v>-2.5150534453984495E-2</v>
      </c>
      <c r="J47" s="21">
        <f>LN('5y 10 stocks data'!J48/'5y 10 stocks data'!J49)</f>
        <v>-6.1761849933856545E-3</v>
      </c>
      <c r="K47" s="21">
        <f>LN('5y 10 stocks data'!K48/'5y 10 stocks data'!K49)</f>
        <v>3.5156106779985374E-2</v>
      </c>
      <c r="L47" s="21">
        <f>LN('5y 10 stocks data'!L48/'5y 10 stocks data'!L49)</f>
        <v>1.0436729763142673E-2</v>
      </c>
    </row>
    <row r="48" spans="1:12" hidden="1" outlineLevel="1" x14ac:dyDescent="0.25">
      <c r="A48" s="20">
        <f>'5y 10 stocks data'!A49</f>
        <v>42095</v>
      </c>
      <c r="B48" s="21">
        <f>LN('5y 10 stocks data'!B49/'5y 10 stocks data'!B50)</f>
        <v>0.1792015343686334</v>
      </c>
      <c r="C48" s="21">
        <f>LN('5y 10 stocks data'!C49/'5y 10 stocks data'!C50)</f>
        <v>5.769852184719519E-3</v>
      </c>
      <c r="D48" s="21">
        <f>LN('5y 10 stocks data'!D49/'5y 10 stocks data'!D50)</f>
        <v>0.12532119723543961</v>
      </c>
      <c r="E48" s="21">
        <f>LN('5y 10 stocks data'!E49/'5y 10 stocks data'!E50)</f>
        <v>3.5863729989297134E-2</v>
      </c>
      <c r="F48" s="21">
        <f>LN('5y 10 stocks data'!F49/'5y 10 stocks data'!F50)</f>
        <v>5.3764226838134789E-2</v>
      </c>
      <c r="G48" s="21">
        <f>LN('5y 10 stocks data'!G49/'5y 10 stocks data'!G50)</f>
        <v>4.3288310554342353E-2</v>
      </c>
      <c r="H48" s="21">
        <f>LN('5y 10 stocks data'!H49/'5y 10 stocks data'!H50)</f>
        <v>-1.4156270117590089E-2</v>
      </c>
      <c r="I48" s="21">
        <f>LN('5y 10 stocks data'!I49/'5y 10 stocks data'!I50)</f>
        <v>2.7500677399679891E-2</v>
      </c>
      <c r="J48" s="21">
        <f>LN('5y 10 stocks data'!J49/'5y 10 stocks data'!J50)</f>
        <v>-3.0104569978686994E-2</v>
      </c>
      <c r="K48" s="21">
        <f>LN('5y 10 stocks data'!K49/'5y 10 stocks data'!K50)</f>
        <v>3.7608347048366721E-2</v>
      </c>
      <c r="L48" s="21">
        <f>LN('5y 10 stocks data'!L49/'5y 10 stocks data'!L50)</f>
        <v>8.4847224530057719E-3</v>
      </c>
    </row>
    <row r="49" spans="1:12" hidden="1" outlineLevel="1" x14ac:dyDescent="0.25">
      <c r="A49" s="20">
        <f>'5y 10 stocks data'!A50</f>
        <v>42064</v>
      </c>
      <c r="B49" s="21">
        <f>LN('5y 10 stocks data'!B50/'5y 10 stocks data'!B51)</f>
        <v>-6.8438611238217303E-2</v>
      </c>
      <c r="C49" s="21">
        <f>LN('5y 10 stocks data'!C50/'5y 10 stocks data'!C51)</f>
        <v>-2.7935446788965736E-2</v>
      </c>
      <c r="D49" s="21">
        <f>LN('5y 10 stocks data'!D50/'5y 10 stocks data'!D51)</f>
        <v>-2.1429575778836519E-2</v>
      </c>
      <c r="E49" s="21">
        <f>LN('5y 10 stocks data'!E50/'5y 10 stocks data'!E51)</f>
        <v>7.7523065190286912E-3</v>
      </c>
      <c r="F49" s="21">
        <f>LN('5y 10 stocks data'!F50/'5y 10 stocks data'!F51)</f>
        <v>-6.9452835497528245E-2</v>
      </c>
      <c r="G49" s="21">
        <f>LN('5y 10 stocks data'!G50/'5y 10 stocks data'!G51)</f>
        <v>-1.1488872115892539E-2</v>
      </c>
      <c r="H49" s="21">
        <f>LN('5y 10 stocks data'!H50/'5y 10 stocks data'!H51)</f>
        <v>-1.8800259276843617E-2</v>
      </c>
      <c r="I49" s="21">
        <f>LN('5y 10 stocks data'!I50/'5y 10 stocks data'!I51)</f>
        <v>-3.3304387232789903E-2</v>
      </c>
      <c r="J49" s="21">
        <f>LN('5y 10 stocks data'!J50/'5y 10 stocks data'!J51)</f>
        <v>-3.8192020654178087E-2</v>
      </c>
      <c r="K49" s="21">
        <f>LN('5y 10 stocks data'!K50/'5y 10 stocks data'!K51)</f>
        <v>-2.6924700075699196E-2</v>
      </c>
      <c r="L49" s="21">
        <f>LN('5y 10 stocks data'!L50/'5y 10 stocks data'!L51)</f>
        <v>-1.7549197229950769E-2</v>
      </c>
    </row>
    <row r="50" spans="1:12" hidden="1" outlineLevel="1" x14ac:dyDescent="0.25">
      <c r="A50" s="20">
        <f>'5y 10 stocks data'!A51</f>
        <v>42036</v>
      </c>
      <c r="B50" s="21">
        <f>LN('5y 10 stocks data'!B51/'5y 10 stocks data'!B52)</f>
        <v>8.1944851597246349E-2</v>
      </c>
      <c r="C50" s="21">
        <f>LN('5y 10 stocks data'!C51/'5y 10 stocks data'!C52)</f>
        <v>9.2077072482009276E-2</v>
      </c>
      <c r="D50" s="21">
        <f>LN('5y 10 stocks data'!D51/'5y 10 stocks data'!D52)</f>
        <v>6.979926145102977E-2</v>
      </c>
      <c r="E50" s="21">
        <f>LN('5y 10 stocks data'!E51/'5y 10 stocks data'!E52)</f>
        <v>0.13474014885877733</v>
      </c>
      <c r="F50" s="21">
        <f>LN('5y 10 stocks data'!F51/'5y 10 stocks data'!F52)</f>
        <v>0.1193553558571581</v>
      </c>
      <c r="G50" s="21">
        <f>LN('5y 10 stocks data'!G51/'5y 10 stocks data'!G52)</f>
        <v>0.1258694470652881</v>
      </c>
      <c r="H50" s="21">
        <f>LN('5y 10 stocks data'!H51/'5y 10 stocks data'!H52)</f>
        <v>4.3706444612852974E-2</v>
      </c>
      <c r="I50" s="21">
        <f>LN('5y 10 stocks data'!I51/'5y 10 stocks data'!I52)</f>
        <v>1.2730477652931411E-2</v>
      </c>
      <c r="J50" s="21">
        <f>LN('5y 10 stocks data'!J51/'5y 10 stocks data'!J52)</f>
        <v>1.6998861914288479E-2</v>
      </c>
      <c r="K50" s="21">
        <f>LN('5y 10 stocks data'!K51/'5y 10 stocks data'!K52)</f>
        <v>4.2642053529157134E-2</v>
      </c>
      <c r="L50" s="21">
        <f>LN('5y 10 stocks data'!L51/'5y 10 stocks data'!L52)</f>
        <v>5.343887644310899E-2</v>
      </c>
    </row>
    <row r="51" spans="1:12" hidden="1" outlineLevel="1" x14ac:dyDescent="0.25">
      <c r="A51" s="20">
        <f>'5y 10 stocks data'!A52</f>
        <v>42005</v>
      </c>
      <c r="B51" s="21">
        <f>LN('5y 10 stocks data'!B52/'5y 10 stocks data'!B53)</f>
        <v>-0.13954662386843725</v>
      </c>
      <c r="C51" s="21">
        <f>LN('5y 10 stocks data'!C52/'5y 10 stocks data'!C53)</f>
        <v>5.9611509225418885E-2</v>
      </c>
      <c r="D51" s="21">
        <f>LN('5y 10 stocks data'!D52/'5y 10 stocks data'!D53)</f>
        <v>0.13309225361240848</v>
      </c>
      <c r="E51" s="21">
        <f>LN('5y 10 stocks data'!E52/'5y 10 stocks data'!E53)</f>
        <v>-2.2264536937621121E-2</v>
      </c>
      <c r="F51" s="21">
        <f>LN('5y 10 stocks data'!F52/'5y 10 stocks data'!F53)</f>
        <v>-5.3528306020408728E-2</v>
      </c>
      <c r="G51" s="21">
        <f>LN('5y 10 stocks data'!G52/'5y 10 stocks data'!G53)</f>
        <v>-0.14044914804855793</v>
      </c>
      <c r="H51" s="21">
        <f>LN('5y 10 stocks data'!H52/'5y 10 stocks data'!H53)</f>
        <v>1.5303224189097655E-2</v>
      </c>
      <c r="I51" s="21">
        <f>LN('5y 10 stocks data'!I52/'5y 10 stocks data'!I53)</f>
        <v>-5.5943739557713985E-2</v>
      </c>
      <c r="J51" s="21">
        <f>LN('5y 10 stocks data'!J52/'5y 10 stocks data'!J53)</f>
        <v>-7.7584749845044571E-2</v>
      </c>
      <c r="K51" s="21">
        <f>LN('5y 10 stocks data'!K52/'5y 10 stocks data'!K53)</f>
        <v>-0.16332164424839377</v>
      </c>
      <c r="L51" s="21">
        <f>LN('5y 10 stocks data'!L52/'5y 10 stocks data'!L53)</f>
        <v>-3.1532779216949261E-2</v>
      </c>
    </row>
    <row r="52" spans="1:12" hidden="1" outlineLevel="1" x14ac:dyDescent="0.25">
      <c r="A52" s="20">
        <f>'5y 10 stocks data'!A53</f>
        <v>41974</v>
      </c>
      <c r="B52" s="21">
        <f>LN('5y 10 stocks data'!B53/'5y 10 stocks data'!B54)</f>
        <v>-2.2571042575590863E-2</v>
      </c>
      <c r="C52" s="21">
        <f>LN('5y 10 stocks data'!C53/'5y 10 stocks data'!C54)</f>
        <v>-7.0279343670232891E-2</v>
      </c>
      <c r="D52" s="21">
        <f>LN('5y 10 stocks data'!D53/'5y 10 stocks data'!D54)</f>
        <v>-8.7236928314820938E-2</v>
      </c>
      <c r="E52" s="21">
        <f>LN('5y 10 stocks data'!E53/'5y 10 stocks data'!E54)</f>
        <v>1.7997433677514853E-2</v>
      </c>
      <c r="F52" s="21">
        <f>LN('5y 10 stocks data'!F53/'5y 10 stocks data'!F54)</f>
        <v>6.4912421147194791E-3</v>
      </c>
      <c r="G52" s="21">
        <f>LN('5y 10 stocks data'!G53/'5y 10 stocks data'!G54)</f>
        <v>3.9437986701745746E-2</v>
      </c>
      <c r="H52" s="21">
        <f>LN('5y 10 stocks data'!H53/'5y 10 stocks data'!H54)</f>
        <v>-2.8890842527247829E-2</v>
      </c>
      <c r="I52" s="21">
        <f>LN('5y 10 stocks data'!I53/'5y 10 stocks data'!I54)</f>
        <v>2.8069896818990428E-2</v>
      </c>
      <c r="J52" s="21">
        <f>LN('5y 10 stocks data'!J53/'5y 10 stocks data'!J54)</f>
        <v>7.2720102949167262E-3</v>
      </c>
      <c r="K52" s="21">
        <f>LN('5y 10 stocks data'!K53/'5y 10 stocks data'!K54)</f>
        <v>4.8678506097706298E-2</v>
      </c>
      <c r="L52" s="21">
        <f>LN('5y 10 stocks data'!L53/'5y 10 stocks data'!L54)</f>
        <v>-4.1973845845717124E-3</v>
      </c>
    </row>
    <row r="53" spans="1:12" hidden="1" outlineLevel="1" x14ac:dyDescent="0.25">
      <c r="A53" s="20">
        <f>'5y 10 stocks data'!A54</f>
        <v>41944</v>
      </c>
      <c r="B53" s="21">
        <f>LN('5y 10 stocks data'!B54/'5y 10 stocks data'!B55)</f>
        <v>1.815181689892496E-2</v>
      </c>
      <c r="C53" s="21">
        <f>LN('5y 10 stocks data'!C54/'5y 10 stocks data'!C55)</f>
        <v>9.6404026224830255E-2</v>
      </c>
      <c r="D53" s="21">
        <f>LN('5y 10 stocks data'!D54/'5y 10 stocks data'!D55)</f>
        <v>0.10311883282895394</v>
      </c>
      <c r="E53" s="21">
        <f>LN('5y 10 stocks data'!E54/'5y 10 stocks data'!E55)</f>
        <v>1.2290182917015485E-2</v>
      </c>
      <c r="F53" s="21">
        <f>LN('5y 10 stocks data'!F54/'5y 10 stocks data'!F55)</f>
        <v>0.12181605475209858</v>
      </c>
      <c r="G53" s="21">
        <f>LN('5y 10 stocks data'!G54/'5y 10 stocks data'!G55)</f>
        <v>1.4097516893444356E-3</v>
      </c>
      <c r="H53" s="21">
        <f>LN('5y 10 stocks data'!H54/'5y 10 stocks data'!H55)</f>
        <v>-3.1340335111102915E-2</v>
      </c>
      <c r="I53" s="21">
        <f>LN('5y 10 stocks data'!I54/'5y 10 stocks data'!I55)</f>
        <v>-6.5925167473773472E-2</v>
      </c>
      <c r="J53" s="21">
        <f>LN('5y 10 stocks data'!J54/'5y 10 stocks data'!J55)</f>
        <v>4.3205050661161669E-2</v>
      </c>
      <c r="K53" s="21">
        <f>LN('5y 10 stocks data'!K54/'5y 10 stocks data'!K55)</f>
        <v>-7.0180636537215688E-3</v>
      </c>
      <c r="L53" s="21">
        <f>LN('5y 10 stocks data'!L54/'5y 10 stocks data'!L55)</f>
        <v>2.4237473674625542E-2</v>
      </c>
    </row>
    <row r="54" spans="1:12" hidden="1" outlineLevel="1" x14ac:dyDescent="0.25">
      <c r="A54" s="20">
        <f>'5y 10 stocks data'!A55</f>
        <v>41913</v>
      </c>
      <c r="B54" s="21">
        <f>LN('5y 10 stocks data'!B55/'5y 10 stocks data'!B56)</f>
        <v>1.2646177264111347E-2</v>
      </c>
      <c r="C54" s="21">
        <f>LN('5y 10 stocks data'!C55/'5y 10 stocks data'!C56)</f>
        <v>6.9489134431214281E-2</v>
      </c>
      <c r="D54" s="21">
        <f>LN('5y 10 stocks data'!D55/'5y 10 stocks data'!D56)</f>
        <v>-5.4098270939564909E-2</v>
      </c>
      <c r="E54" s="21">
        <f>LN('5y 10 stocks data'!E55/'5y 10 stocks data'!E56)</f>
        <v>2.6053386099815293E-2</v>
      </c>
      <c r="F54" s="21">
        <f>LN('5y 10 stocks data'!F55/'5y 10 stocks data'!F56)</f>
        <v>-2.0612241577256246E-2</v>
      </c>
      <c r="G54" s="21">
        <f>LN('5y 10 stocks data'!G55/'5y 10 stocks data'!G56)</f>
        <v>3.9761462808152823E-3</v>
      </c>
      <c r="H54" s="21">
        <f>LN('5y 10 stocks data'!H55/'5y 10 stocks data'!H56)</f>
        <v>-3.2173336639437881E-2</v>
      </c>
      <c r="I54" s="21">
        <f>LN('5y 10 stocks data'!I55/'5y 10 stocks data'!I56)</f>
        <v>2.7890629502185689E-2</v>
      </c>
      <c r="J54" s="21">
        <f>LN('5y 10 stocks data'!J55/'5y 10 stocks data'!J56)</f>
        <v>4.1289687675910548E-2</v>
      </c>
      <c r="K54" s="21">
        <f>LN('5y 10 stocks data'!K55/'5y 10 stocks data'!K56)</f>
        <v>9.5090450287887724E-3</v>
      </c>
      <c r="L54" s="21">
        <f>LN('5y 10 stocks data'!L55/'5y 10 stocks data'!L56)</f>
        <v>2.2936398946422354E-2</v>
      </c>
    </row>
    <row r="55" spans="1:12" hidden="1" outlineLevel="1" x14ac:dyDescent="0.25">
      <c r="A55" s="20">
        <f>'5y 10 stocks data'!A56</f>
        <v>41883</v>
      </c>
      <c r="B55" s="21">
        <f>LN('5y 10 stocks data'!B56/'5y 10 stocks data'!B57)</f>
        <v>2.649072619445033E-2</v>
      </c>
      <c r="C55" s="21">
        <f>LN('5y 10 stocks data'!C56/'5y 10 stocks data'!C57)</f>
        <v>-1.2258965691305242E-2</v>
      </c>
      <c r="D55" s="21">
        <f>LN('5y 10 stocks data'!D56/'5y 10 stocks data'!D57)</f>
        <v>-5.0201042447424411E-2</v>
      </c>
      <c r="E55" s="21">
        <f>LN('5y 10 stocks data'!E56/'5y 10 stocks data'!E57)</f>
        <v>-9.5023677424643932E-3</v>
      </c>
      <c r="F55" s="21">
        <f>LN('5y 10 stocks data'!F56/'5y 10 stocks data'!F57)</f>
        <v>7.1768257753239686E-3</v>
      </c>
      <c r="G55" s="21">
        <f>LN('5y 10 stocks data'!G56/'5y 10 stocks data'!G57)</f>
        <v>1.3200898297788317E-2</v>
      </c>
      <c r="H55" s="21">
        <f>LN('5y 10 stocks data'!H56/'5y 10 stocks data'!H57)</f>
        <v>1.0026461171084243E-2</v>
      </c>
      <c r="I55" s="21">
        <f>LN('5y 10 stocks data'!I56/'5y 10 stocks data'!I57)</f>
        <v>-4.8986978288873183E-2</v>
      </c>
      <c r="J55" s="21">
        <f>LN('5y 10 stocks data'!J56/'5y 10 stocks data'!J57)</f>
        <v>7.5518218822893902E-3</v>
      </c>
      <c r="K55" s="21">
        <f>LN('5y 10 stocks data'!K56/'5y 10 stocks data'!K57)</f>
        <v>5.7952483446251389E-2</v>
      </c>
      <c r="L55" s="21">
        <f>LN('5y 10 stocks data'!L56/'5y 10 stocks data'!L57)</f>
        <v>-1.5635436078483781E-2</v>
      </c>
    </row>
    <row r="56" spans="1:12" hidden="1" outlineLevel="1" x14ac:dyDescent="0.25">
      <c r="A56" s="20">
        <f>'5y 10 stocks data'!A57</f>
        <v>41852</v>
      </c>
      <c r="B56" s="21">
        <f>LN('5y 10 stocks data'!B57/'5y 10 stocks data'!B58)</f>
        <v>5.1258164544507177E-2</v>
      </c>
      <c r="C56" s="21">
        <f>LN('5y 10 stocks data'!C57/'5y 10 stocks data'!C58)</f>
        <v>6.9689913506244552E-2</v>
      </c>
      <c r="D56" s="21">
        <f>LN('5y 10 stocks data'!D57/'5y 10 stocks data'!D58)</f>
        <v>7.994691186744439E-2</v>
      </c>
      <c r="E56" s="21">
        <f>LN('5y 10 stocks data'!E57/'5y 10 stocks data'!E58)</f>
        <v>4.5524603112864409E-2</v>
      </c>
      <c r="F56" s="21">
        <f>LN('5y 10 stocks data'!F57/'5y 10 stocks data'!F58)</f>
        <v>-1.9534735592440663E-3</v>
      </c>
      <c r="G56" s="21">
        <f>LN('5y 10 stocks data'!G57/'5y 10 stocks data'!G58)</f>
        <v>3.7364788943806383E-2</v>
      </c>
      <c r="H56" s="21">
        <f>LN('5y 10 stocks data'!H57/'5y 10 stocks data'!H58)</f>
        <v>0</v>
      </c>
      <c r="I56" s="21">
        <f>LN('5y 10 stocks data'!I57/'5y 10 stocks data'!I58)</f>
        <v>5.2417217049638689E-3</v>
      </c>
      <c r="J56" s="21">
        <f>LN('5y 10 stocks data'!J57/'5y 10 stocks data'!J58)</f>
        <v>8.0164342007231909E-2</v>
      </c>
      <c r="K56" s="21">
        <f>LN('5y 10 stocks data'!K57/'5y 10 stocks data'!K58)</f>
        <v>5.3618173390220021E-2</v>
      </c>
      <c r="L56" s="21">
        <f>LN('5y 10 stocks data'!L57/'5y 10 stocks data'!L58)</f>
        <v>3.6963644321168353E-2</v>
      </c>
    </row>
    <row r="57" spans="1:12" hidden="1" outlineLevel="1" x14ac:dyDescent="0.25">
      <c r="A57" s="20">
        <f>'5y 10 stocks data'!A58</f>
        <v>41821</v>
      </c>
      <c r="B57" s="21">
        <f>LN('5y 10 stocks data'!B58/'5y 10 stocks data'!B59)</f>
        <v>3.4413427003542552E-2</v>
      </c>
      <c r="C57" s="21">
        <f>LN('5y 10 stocks data'!C58/'5y 10 stocks data'!C59)</f>
        <v>2.8326211167293194E-2</v>
      </c>
      <c r="D57" s="21">
        <f>LN('5y 10 stocks data'!D58/'5y 10 stocks data'!D59)</f>
        <v>-3.697681775984954E-2</v>
      </c>
      <c r="E57" s="21">
        <f>LN('5y 10 stocks data'!E58/'5y 10 stocks data'!E59)</f>
        <v>1.6314880836721603E-3</v>
      </c>
      <c r="F57" s="21">
        <f>LN('5y 10 stocks data'!F58/'5y 10 stocks data'!F59)</f>
        <v>1.5175799733401357E-2</v>
      </c>
      <c r="G57" s="21">
        <f>LN('5y 10 stocks data'!G58/'5y 10 stocks data'!G59)</f>
        <v>8.6730613929089412E-4</v>
      </c>
      <c r="H57" s="21">
        <f>LN('5y 10 stocks data'!H58/'5y 10 stocks data'!H59)</f>
        <v>-6.4173887592019899E-3</v>
      </c>
      <c r="I57" s="21">
        <f>LN('5y 10 stocks data'!I58/'5y 10 stocks data'!I59)</f>
        <v>-1.7433454370552701E-2</v>
      </c>
      <c r="J57" s="21">
        <f>LN('5y 10 stocks data'!J58/'5y 10 stocks data'!J59)</f>
        <v>-1.6291854808711974E-2</v>
      </c>
      <c r="K57" s="21">
        <f>LN('5y 10 stocks data'!K58/'5y 10 stocks data'!K59)</f>
        <v>-7.194575894108211E-3</v>
      </c>
      <c r="L57" s="21">
        <f>LN('5y 10 stocks data'!L58/'5y 10 stocks data'!L59)</f>
        <v>-1.5194687370535838E-2</v>
      </c>
    </row>
    <row r="58" spans="1:12" collapsed="1" x14ac:dyDescent="0.25">
      <c r="A58" s="20">
        <f>'5y 10 stocks data'!A59</f>
        <v>41791</v>
      </c>
      <c r="B58" s="21">
        <f>LN('5y 10 stocks data'!B59/'5y 10 stocks data'!B60)</f>
        <v>2.5423224707595359E-2</v>
      </c>
      <c r="C58" s="21">
        <f>LN('5y 10 stocks data'!C59/'5y 10 stocks data'!C60)</f>
        <v>6.6942588408579057E-2</v>
      </c>
      <c r="D58" s="21">
        <f>LN('5y 10 stocks data'!D59/'5y 10 stocks data'!D60)</f>
        <v>3.8383608973970564E-2</v>
      </c>
      <c r="E58" s="21">
        <f>LN('5y 10 stocks data'!E59/'5y 10 stocks data'!E60)</f>
        <v>2.038368585650531E-2</v>
      </c>
      <c r="F58" s="21">
        <f>LN('5y 10 stocks data'!F59/'5y 10 stocks data'!F60)</f>
        <v>9.2988257305490329E-3</v>
      </c>
      <c r="G58" s="21">
        <f>LN('5y 10 stocks data'!G59/'5y 10 stocks data'!G60)</f>
        <v>3.6226382070200583E-2</v>
      </c>
      <c r="H58" s="21">
        <f>LN('5y 10 stocks data'!H59/'5y 10 stocks data'!H60)</f>
        <v>2.7116555279211019E-2</v>
      </c>
      <c r="I58" s="21">
        <f>LN('5y 10 stocks data'!I59/'5y 10 stocks data'!I60)</f>
        <v>8.25733364526904E-3</v>
      </c>
      <c r="J58" s="21">
        <f>LN('5y 10 stocks data'!J59/'5y 10 stocks data'!J60)</f>
        <v>-2.760845868009168E-2</v>
      </c>
      <c r="K58" s="21">
        <f>LN('5y 10 stocks data'!K59/'5y 10 stocks data'!K60)</f>
        <v>1.5077409469795135E-2</v>
      </c>
      <c r="L58" s="21">
        <f>LN('5y 10 stocks data'!L59/'5y 10 stocks data'!L60)</f>
        <v>1.8878996624704429E-2</v>
      </c>
    </row>
    <row r="59" spans="1:12" x14ac:dyDescent="0.25">
      <c r="A59" s="20">
        <f>'5y 10 stocks data'!A60</f>
        <v>41760</v>
      </c>
      <c r="B59" s="21">
        <f>LN('5y 10 stocks data'!B60/'5y 10 stocks data'!B61)</f>
        <v>1.3277844844699864E-2</v>
      </c>
      <c r="C59" s="21">
        <f>LN('5y 10 stocks data'!C60/'5y 10 stocks data'!C61)</f>
        <v>7.0195279145547879E-2</v>
      </c>
      <c r="D59" s="21">
        <f>LN('5y 10 stocks data'!D60/'5y 10 stocks data'!D61)</f>
        <v>2.7309159966781946E-2</v>
      </c>
      <c r="E59" s="21">
        <f>LN('5y 10 stocks data'!E60/'5y 10 stocks data'!E61)</f>
        <v>5.7193442949980397E-2</v>
      </c>
      <c r="F59" s="21">
        <f>LN('5y 10 stocks data'!F60/'5y 10 stocks data'!F61)</f>
        <v>7.1804426139284533E-2</v>
      </c>
      <c r="G59" s="21">
        <f>LN('5y 10 stocks data'!G60/'5y 10 stocks data'!G61)</f>
        <v>-1.0678547030592513E-3</v>
      </c>
      <c r="H59" s="21">
        <f>LN('5y 10 stocks data'!H60/'5y 10 stocks data'!H61)</f>
        <v>6.1185150958204787E-2</v>
      </c>
      <c r="I59" s="21">
        <f>LN('5y 10 stocks data'!I60/'5y 10 stocks data'!I61)</f>
        <v>-1.8528363122124508E-2</v>
      </c>
      <c r="J59" s="21">
        <f>LN('5y 10 stocks data'!J60/'5y 10 stocks data'!J61)</f>
        <v>-1.3598591960603175E-2</v>
      </c>
      <c r="K59" s="21">
        <f>LN('5y 10 stocks data'!K60/'5y 10 stocks data'!K61)</f>
        <v>0</v>
      </c>
      <c r="L59" s="21">
        <f>LN('5y 10 stocks data'!L60/'5y 10 stocks data'!L61)</f>
        <v>2.0812195954315483E-2</v>
      </c>
    </row>
    <row r="60" spans="1:12" x14ac:dyDescent="0.25">
      <c r="A60" s="20">
        <f>'5y 10 stocks data'!A61</f>
        <v>41730</v>
      </c>
      <c r="B60" s="21">
        <f>LN('5y 10 stocks data'!B61/'5y 10 stocks data'!B62)</f>
        <v>-1.4498480621072111E-2</v>
      </c>
      <c r="C60" s="21">
        <f>LN('5y 10 stocks data'!C61/'5y 10 stocks data'!C62)</f>
        <v>9.4761582267516131E-2</v>
      </c>
      <c r="D60" s="21">
        <f>LN('5y 10 stocks data'!D61/'5y 10 stocks data'!D62)</f>
        <v>-0.10075647169213836</v>
      </c>
      <c r="E60" s="21">
        <f>LN('5y 10 stocks data'!E61/'5y 10 stocks data'!E62)</f>
        <v>-9.1590065355342462E-3</v>
      </c>
      <c r="F60" s="21">
        <f>LN('5y 10 stocks data'!F61/'5y 10 stocks data'!F62)</f>
        <v>3.0311902210499342E-2</v>
      </c>
      <c r="G60" s="21">
        <f>LN('5y 10 stocks data'!G61/'5y 10 stocks data'!G62)</f>
        <v>-8.1114181078567951E-2</v>
      </c>
      <c r="H60" s="21">
        <f>LN('5y 10 stocks data'!H61/'5y 10 stocks data'!H62)</f>
        <v>-5.8697919141521511E-2</v>
      </c>
      <c r="I60" s="21">
        <f>LN('5y 10 stocks data'!I61/'5y 10 stocks data'!I62)</f>
        <v>4.7287823133748359E-2</v>
      </c>
      <c r="J60" s="21">
        <f>LN('5y 10 stocks data'!J61/'5y 10 stocks data'!J62)</f>
        <v>2.3905413221937212E-2</v>
      </c>
      <c r="K60" s="21">
        <f>LN('5y 10 stocks data'!K61/'5y 10 stocks data'!K62)</f>
        <v>-0.12697118589088233</v>
      </c>
      <c r="L60" s="21">
        <f>LN('5y 10 stocks data'!L61/'5y 10 stocks data'!L62)</f>
        <v>6.18164317838415E-3</v>
      </c>
    </row>
    <row r="61" spans="1:12" x14ac:dyDescent="0.25">
      <c r="A61" s="20">
        <f>'5y 10 stocks data'!A62</f>
        <v>41699</v>
      </c>
      <c r="B61" s="21">
        <f>LN('5y 10 stocks data'!B62/'5y 10 stocks data'!B63)</f>
        <v>7.5087817016321515E-2</v>
      </c>
      <c r="C61" s="21">
        <f>LN('5y 10 stocks data'!C62/'5y 10 stocks data'!C63)</f>
        <v>6.2299741711851264E-2</v>
      </c>
      <c r="D61" s="21">
        <f>LN('5y 10 stocks data'!D62/'5y 10 stocks data'!D63)</f>
        <v>-7.3708703632283726E-2</v>
      </c>
      <c r="E61" s="21">
        <f>LN('5y 10 stocks data'!E62/'5y 10 stocks data'!E63)</f>
        <v>-9.1994136170981088E-3</v>
      </c>
      <c r="F61" s="21">
        <f>LN('5y 10 stocks data'!F62/'5y 10 stocks data'!F63)</f>
        <v>2.8043612386376673E-2</v>
      </c>
      <c r="G61" s="21">
        <f>LN('5y 10 stocks data'!G62/'5y 10 stocks data'!G63)</f>
        <v>6.6219997301183775E-2</v>
      </c>
      <c r="H61" s="21">
        <f>LN('5y 10 stocks data'!H62/'5y 10 stocks data'!H63)</f>
        <v>-8.3634406044967413E-2</v>
      </c>
      <c r="I61" s="21">
        <f>LN('5y 10 stocks data'!I62/'5y 10 stocks data'!I63)</f>
        <v>2.1597669635734531E-2</v>
      </c>
      <c r="J61" s="21">
        <f>LN('5y 10 stocks data'!J62/'5y 10 stocks data'!J63)</f>
        <v>2.4364059603593228E-2</v>
      </c>
      <c r="K61" s="21">
        <f>LN('5y 10 stocks data'!K62/'5y 10 stocks data'!K63)</f>
        <v>3.973213839134971E-2</v>
      </c>
      <c r="L61" s="21">
        <f>LN('5y 10 stocks data'!L62/'5y 10 stocks data'!L63)</f>
        <v>6.9082486153468677E-3</v>
      </c>
    </row>
    <row r="62" spans="1:12" x14ac:dyDescent="0.25">
      <c r="A62" s="20">
        <f>'5y 10 stocks data'!A63</f>
        <v>41671</v>
      </c>
      <c r="B62" s="21">
        <f>LN('5y 10 stocks data'!B63/'5y 10 stocks data'!B64)</f>
        <v>1.2344684711336566E-2</v>
      </c>
      <c r="C62" s="21">
        <f>LN('5y 10 stocks data'!C63/'5y 10 stocks data'!C64)</f>
        <v>4.9950257934585178E-2</v>
      </c>
      <c r="D62" s="21">
        <f>LN('5y 10 stocks data'!D63/'5y 10 stocks data'!D64)</f>
        <v>9.4619220660906861E-3</v>
      </c>
      <c r="E62" s="21">
        <f>LN('5y 10 stocks data'!E63/'5y 10 stocks data'!E64)</f>
        <v>0.10699798451961316</v>
      </c>
      <c r="F62" s="21">
        <f>LN('5y 10 stocks data'!F63/'5y 10 stocks data'!F64)</f>
        <v>2.5749360260421427E-3</v>
      </c>
      <c r="G62" s="21">
        <f>LN('5y 10 stocks data'!G63/'5y 10 stocks data'!G64)</f>
        <v>3.2550407465635825E-2</v>
      </c>
      <c r="H62" s="21">
        <f>LN('5y 10 stocks data'!H63/'5y 10 stocks data'!H64)</f>
        <v>2.8942704479535238E-2</v>
      </c>
      <c r="I62" s="21">
        <f>LN('5y 10 stocks data'!I63/'5y 10 stocks data'!I64)</f>
        <v>4.36303953525067E-2</v>
      </c>
      <c r="J62" s="21">
        <f>LN('5y 10 stocks data'!J63/'5y 10 stocks data'!J64)</f>
        <v>3.3806995826105947E-2</v>
      </c>
      <c r="K62" s="21">
        <f>LN('5y 10 stocks data'!K63/'5y 10 stocks data'!K64)</f>
        <v>-1.3221138974921283E-2</v>
      </c>
      <c r="L62" s="21">
        <f>LN('5y 10 stocks data'!L63/'5y 10 stocks data'!L64)</f>
        <v>4.2213374879040998E-2</v>
      </c>
    </row>
    <row r="63" spans="1:12" x14ac:dyDescent="0.25">
      <c r="B63" s="21"/>
      <c r="C63" s="21"/>
      <c r="D63" s="21"/>
      <c r="E63" s="21"/>
      <c r="F63" s="21"/>
      <c r="G63" s="21"/>
      <c r="H63" s="21"/>
      <c r="I63" s="21"/>
      <c r="J63" s="21"/>
      <c r="K63" s="21"/>
    </row>
    <row r="64" spans="1:12" s="24" customFormat="1" x14ac:dyDescent="0.25">
      <c r="A64" s="4" t="s">
        <v>19</v>
      </c>
      <c r="B64" s="23">
        <f>AVERAGE(B3:B62)</f>
        <v>1.8922353342383531E-2</v>
      </c>
      <c r="C64" s="23">
        <f t="shared" ref="C64:K64" si="0">AVERAGE(C3:C62)</f>
        <v>1.6766349305032117E-2</v>
      </c>
      <c r="D64" s="23">
        <f t="shared" si="0"/>
        <v>2.6114706701192147E-2</v>
      </c>
      <c r="E64" s="23">
        <f t="shared" si="0"/>
        <v>8.3331998709123625E-3</v>
      </c>
      <c r="F64" s="23">
        <f t="shared" si="0"/>
        <v>1.5501496741628687E-2</v>
      </c>
      <c r="G64" s="23">
        <f t="shared" si="0"/>
        <v>1.2649250696365509E-2</v>
      </c>
      <c r="H64" s="23">
        <f t="shared" si="0"/>
        <v>1.0722938604810283E-2</v>
      </c>
      <c r="I64" s="23">
        <f t="shared" si="0"/>
        <v>-9.1452967287124361E-4</v>
      </c>
      <c r="J64" s="23">
        <f t="shared" si="0"/>
        <v>6.5229332188815065E-3</v>
      </c>
      <c r="K64" s="23">
        <f t="shared" si="0"/>
        <v>9.9876700045769921E-3</v>
      </c>
      <c r="L64" s="14" t="str">
        <f ca="1">"&lt;--"&amp;_xlfn.FORMULATEXT(K64)</f>
        <v>&lt;--=AVERAGE(K3:K62)</v>
      </c>
    </row>
    <row r="65" spans="1:12" x14ac:dyDescent="0.25">
      <c r="B65" s="21"/>
      <c r="C65" s="21"/>
      <c r="D65" s="21"/>
      <c r="E65" s="21"/>
      <c r="F65" s="21"/>
      <c r="G65" s="21"/>
      <c r="H65" s="21"/>
      <c r="I65" s="21"/>
      <c r="J65" s="21"/>
      <c r="K65" s="21"/>
      <c r="L65" s="21"/>
    </row>
    <row r="66" spans="1:12" ht="18" x14ac:dyDescent="0.35">
      <c r="A66" s="46" t="s">
        <v>23</v>
      </c>
      <c r="B66" s="46"/>
      <c r="C66" s="46"/>
      <c r="D66" s="46"/>
      <c r="E66" s="46"/>
      <c r="F66" s="46"/>
      <c r="G66" s="46"/>
      <c r="H66" s="46"/>
      <c r="I66" s="46"/>
      <c r="J66" s="46"/>
      <c r="K66" s="46"/>
    </row>
    <row r="67" spans="1:12" x14ac:dyDescent="0.25">
      <c r="A67" s="4" t="str">
        <f t="shared" ref="A67:A98" si="1">A2</f>
        <v>Date</v>
      </c>
      <c r="B67" s="4" t="str">
        <f t="shared" ref="B67:K67" si="2">B2</f>
        <v>MSFT</v>
      </c>
      <c r="C67" s="4" t="str">
        <f t="shared" si="2"/>
        <v>AAPL</v>
      </c>
      <c r="D67" s="4" t="str">
        <f t="shared" si="2"/>
        <v>AMZN</v>
      </c>
      <c r="E67" s="4" t="str">
        <f t="shared" si="2"/>
        <v>DIS</v>
      </c>
      <c r="F67" s="4" t="str">
        <f t="shared" si="2"/>
        <v>CSCO</v>
      </c>
      <c r="G67" s="4" t="str">
        <f t="shared" si="2"/>
        <v>JPM</v>
      </c>
      <c r="H67" s="4" t="str">
        <f t="shared" si="2"/>
        <v>GOOG</v>
      </c>
      <c r="I67" s="4" t="str">
        <f t="shared" si="2"/>
        <v>XOM</v>
      </c>
      <c r="J67" s="4" t="str">
        <f t="shared" si="2"/>
        <v>PG</v>
      </c>
      <c r="K67" s="4" t="str">
        <f t="shared" si="2"/>
        <v>BAC</v>
      </c>
    </row>
    <row r="68" spans="1:12" x14ac:dyDescent="0.25">
      <c r="A68" s="20">
        <f t="shared" si="1"/>
        <v>43466</v>
      </c>
      <c r="B68" s="25">
        <f t="shared" ref="B68:K68" si="3">B3-B$64</f>
        <v>8.8464017591000886E-3</v>
      </c>
      <c r="C68" s="25">
        <f t="shared" si="3"/>
        <v>3.6920387826491909E-2</v>
      </c>
      <c r="D68" s="25">
        <f t="shared" si="3"/>
        <v>0.10869336719805836</v>
      </c>
      <c r="E68" s="25">
        <f t="shared" si="3"/>
        <v>1.6304028894794962E-2</v>
      </c>
      <c r="F68" s="25">
        <f t="shared" si="3"/>
        <v>7.1952169204769725E-2</v>
      </c>
      <c r="G68" s="25">
        <f t="shared" si="3"/>
        <v>4.5839932966371393E-2</v>
      </c>
      <c r="H68" s="25">
        <f t="shared" si="3"/>
        <v>6.4368796544162818E-2</v>
      </c>
      <c r="I68" s="25">
        <f t="shared" si="3"/>
        <v>7.2904274778049533E-2</v>
      </c>
      <c r="J68" s="25">
        <f t="shared" si="3"/>
        <v>4.17905838690458E-2</v>
      </c>
      <c r="K68" s="25">
        <f t="shared" si="3"/>
        <v>0.14006520055787366</v>
      </c>
      <c r="L68" s="14" t="str">
        <f ca="1">"&lt;--"&amp;_xlfn.FORMULATEXT(K68)</f>
        <v>&lt;--=K3-K$64</v>
      </c>
    </row>
    <row r="69" spans="1:12" x14ac:dyDescent="0.25">
      <c r="A69" s="20">
        <f t="shared" si="1"/>
        <v>43435</v>
      </c>
      <c r="B69" s="25">
        <f t="shared" ref="B69:K69" si="4">B4-B$64</f>
        <v>-0.10240206526994146</v>
      </c>
      <c r="C69" s="25">
        <f t="shared" si="4"/>
        <v>-0.13737176031786272</v>
      </c>
      <c r="D69" s="25">
        <f t="shared" si="4"/>
        <v>-0.14416628786037172</v>
      </c>
      <c r="E69" s="25">
        <f t="shared" si="4"/>
        <v>-6.0223623408430196E-2</v>
      </c>
      <c r="F69" s="25">
        <f t="shared" si="4"/>
        <v>-0.11514523248724914</v>
      </c>
      <c r="G69" s="25">
        <f t="shared" si="4"/>
        <v>-0.14280729726484201</v>
      </c>
      <c r="H69" s="25">
        <f t="shared" si="4"/>
        <v>-6.5966057134365763E-2</v>
      </c>
      <c r="I69" s="25">
        <f t="shared" si="4"/>
        <v>-0.14245837986428087</v>
      </c>
      <c r="J69" s="25">
        <f t="shared" si="4"/>
        <v>-3.431002373947363E-2</v>
      </c>
      <c r="K69" s="25">
        <f t="shared" si="4"/>
        <v>-0.15200573786248089</v>
      </c>
      <c r="L69" s="14" t="str">
        <f ca="1">"&lt;--"&amp;_xlfn.FORMULATEXT(K69)</f>
        <v>&lt;--=K4-K$64</v>
      </c>
    </row>
    <row r="70" spans="1:12" x14ac:dyDescent="0.25">
      <c r="A70" s="20">
        <f t="shared" si="1"/>
        <v>43405</v>
      </c>
      <c r="B70" s="25">
        <f t="shared" ref="B70:K70" si="5">B5-B$64</f>
        <v>1.8564832868615561E-2</v>
      </c>
      <c r="C70" s="25">
        <f t="shared" si="5"/>
        <v>-0.22016193263410191</v>
      </c>
      <c r="D70" s="25">
        <f t="shared" si="5"/>
        <v>2.9955323519079043E-2</v>
      </c>
      <c r="E70" s="25">
        <f t="shared" si="5"/>
        <v>-2.6020709123774884E-3</v>
      </c>
      <c r="F70" s="25">
        <f t="shared" si="5"/>
        <v>3.6533819083656806E-2</v>
      </c>
      <c r="G70" s="25">
        <f t="shared" si="5"/>
        <v>1.4038316308671096E-2</v>
      </c>
      <c r="H70" s="25">
        <f t="shared" si="5"/>
        <v>5.5449527596879017E-3</v>
      </c>
      <c r="I70" s="25">
        <f t="shared" si="5"/>
        <v>-1.3469608643358561E-3</v>
      </c>
      <c r="J70" s="25">
        <f t="shared" si="5"/>
        <v>6.5948332116326974E-2</v>
      </c>
      <c r="K70" s="25">
        <f t="shared" si="5"/>
        <v>2.2215507890679494E-2</v>
      </c>
      <c r="L70" s="14" t="str">
        <f ca="1">"&lt;--"&amp;_xlfn.FORMULATEXT(K70)</f>
        <v>&lt;--=K5-K$64</v>
      </c>
    </row>
    <row r="71" spans="1:12" x14ac:dyDescent="0.25">
      <c r="A71" s="20">
        <f t="shared" si="1"/>
        <v>43374</v>
      </c>
      <c r="B71" s="25">
        <f t="shared" ref="B71:K71" si="6">B6-B$64</f>
        <v>-8.7309671736918296E-2</v>
      </c>
      <c r="C71" s="25">
        <f t="shared" si="6"/>
        <v>-4.7718073417510151E-2</v>
      </c>
      <c r="D71" s="25">
        <f t="shared" si="6"/>
        <v>-0.25200165198030955</v>
      </c>
      <c r="E71" s="25">
        <f t="shared" si="6"/>
        <v>-2.65413889869827E-2</v>
      </c>
      <c r="F71" s="25">
        <f t="shared" si="6"/>
        <v>-7.6961485486999409E-2</v>
      </c>
      <c r="G71" s="25">
        <f t="shared" si="6"/>
        <v>-4.708881665794238E-2</v>
      </c>
      <c r="H71" s="25">
        <f t="shared" si="6"/>
        <v>-0.11362210686518348</v>
      </c>
      <c r="I71" s="25">
        <f t="shared" si="6"/>
        <v>-6.3953374729512277E-2</v>
      </c>
      <c r="J71" s="25">
        <f t="shared" si="6"/>
        <v>5.6903521076238195E-2</v>
      </c>
      <c r="K71" s="25">
        <f t="shared" si="6"/>
        <v>-7.4012671905611005E-2</v>
      </c>
      <c r="L71" s="14" t="str">
        <f ca="1">"&lt;--"&amp;_xlfn.FORMULATEXT(K71)</f>
        <v>&lt;--=K6-K$64</v>
      </c>
    </row>
    <row r="72" spans="1:12" hidden="1" outlineLevel="1" x14ac:dyDescent="0.25">
      <c r="A72" s="20">
        <f t="shared" si="1"/>
        <v>43344</v>
      </c>
      <c r="B72" s="25">
        <f t="shared" ref="B72:K72" si="7">B7-B$64</f>
        <v>2.9163091033386906E-3</v>
      </c>
      <c r="C72" s="25">
        <f t="shared" si="7"/>
        <v>-2.1602964774746349E-2</v>
      </c>
      <c r="D72" s="25">
        <f t="shared" si="7"/>
        <v>-3.0950703333463368E-2</v>
      </c>
      <c r="E72" s="25">
        <f t="shared" si="7"/>
        <v>3.4650377692319954E-2</v>
      </c>
      <c r="F72" s="25">
        <f t="shared" si="7"/>
        <v>2.7525209650886544E-3</v>
      </c>
      <c r="G72" s="25">
        <f t="shared" si="7"/>
        <v>-2.7951713179650374E-2</v>
      </c>
      <c r="H72" s="25">
        <f t="shared" si="7"/>
        <v>-3.1224034698381711E-2</v>
      </c>
      <c r="I72" s="25">
        <f t="shared" si="7"/>
        <v>6.991316845657225E-2</v>
      </c>
      <c r="J72" s="25">
        <f t="shared" si="7"/>
        <v>-3.1530924852989826E-3</v>
      </c>
      <c r="K72" s="25">
        <f t="shared" si="7"/>
        <v>-5.868087830215743E-2</v>
      </c>
    </row>
    <row r="73" spans="1:12" hidden="1" outlineLevel="1" x14ac:dyDescent="0.25">
      <c r="A73" s="20">
        <f t="shared" si="1"/>
        <v>43313</v>
      </c>
      <c r="B73" s="25">
        <f t="shared" ref="B73:K73" si="8">B8-B$64</f>
        <v>3.8325157283436134E-2</v>
      </c>
      <c r="C73" s="25">
        <f t="shared" si="8"/>
        <v>0.16240601777238309</v>
      </c>
      <c r="D73" s="25">
        <f t="shared" si="8"/>
        <v>9.819325295729231E-2</v>
      </c>
      <c r="E73" s="25">
        <f t="shared" si="8"/>
        <v>-1.3980900886710848E-2</v>
      </c>
      <c r="F73" s="25">
        <f t="shared" si="8"/>
        <v>0.11410937959637589</v>
      </c>
      <c r="G73" s="25">
        <f t="shared" si="8"/>
        <v>-1.0453644943224191E-2</v>
      </c>
      <c r="H73" s="25">
        <f t="shared" si="8"/>
        <v>-9.9592759848401904E-3</v>
      </c>
      <c r="I73" s="25">
        <f t="shared" si="8"/>
        <v>-1.5661776389018004E-2</v>
      </c>
      <c r="J73" s="25">
        <f t="shared" si="8"/>
        <v>2.7785769617151623E-2</v>
      </c>
      <c r="K73" s="25">
        <f t="shared" si="8"/>
        <v>-8.369794204883655E-3</v>
      </c>
    </row>
    <row r="74" spans="1:12" hidden="1" outlineLevel="1" x14ac:dyDescent="0.25">
      <c r="A74" s="20">
        <f t="shared" si="1"/>
        <v>43282</v>
      </c>
      <c r="B74" s="25">
        <f t="shared" ref="B74:K74" si="9">B9-B$64</f>
        <v>5.4098528049628627E-2</v>
      </c>
      <c r="C74" s="25">
        <f t="shared" si="9"/>
        <v>1.0832680880065868E-2</v>
      </c>
      <c r="D74" s="25">
        <f t="shared" si="9"/>
        <v>1.8548761046966504E-2</v>
      </c>
      <c r="E74" s="25">
        <f t="shared" si="9"/>
        <v>7.1848922843796348E-2</v>
      </c>
      <c r="F74" s="25">
        <f t="shared" si="9"/>
        <v>-3.2848302096737725E-2</v>
      </c>
      <c r="G74" s="25">
        <f t="shared" si="9"/>
        <v>8.5535986604309971E-2</v>
      </c>
      <c r="H74" s="25">
        <f t="shared" si="9"/>
        <v>7.6442284686060694E-2</v>
      </c>
      <c r="I74" s="25">
        <f t="shared" si="9"/>
        <v>-1.3942025856707887E-2</v>
      </c>
      <c r="J74" s="25">
        <f t="shared" si="9"/>
        <v>2.896572713045005E-2</v>
      </c>
      <c r="K74" s="25">
        <f t="shared" si="9"/>
        <v>8.1153633415717713E-2</v>
      </c>
    </row>
    <row r="75" spans="1:12" hidden="1" outlineLevel="1" x14ac:dyDescent="0.25">
      <c r="A75" s="20">
        <f t="shared" si="1"/>
        <v>43252</v>
      </c>
      <c r="B75" s="25">
        <f t="shared" ref="B75:K75" si="10">B10-B$64</f>
        <v>-1.6927048464129141E-2</v>
      </c>
      <c r="C75" s="25">
        <f t="shared" si="10"/>
        <v>-2.2380597352379298E-2</v>
      </c>
      <c r="D75" s="25">
        <f t="shared" si="10"/>
        <v>1.6049063470752717E-2</v>
      </c>
      <c r="E75" s="25">
        <f t="shared" si="10"/>
        <v>4.3959833180057153E-2</v>
      </c>
      <c r="F75" s="25">
        <f t="shared" si="10"/>
        <v>-8.0369267845710538E-3</v>
      </c>
      <c r="G75" s="25">
        <f t="shared" si="10"/>
        <v>-3.9259509155162318E-2</v>
      </c>
      <c r="H75" s="25">
        <f t="shared" si="10"/>
        <v>1.7143516462274324E-2</v>
      </c>
      <c r="I75" s="25">
        <f t="shared" si="10"/>
        <v>2.917403015042495E-2</v>
      </c>
      <c r="J75" s="25">
        <f t="shared" si="10"/>
        <v>5.8169492426561512E-2</v>
      </c>
      <c r="K75" s="25">
        <f t="shared" si="10"/>
        <v>-3.5617114758674871E-2</v>
      </c>
    </row>
    <row r="76" spans="1:12" hidden="1" outlineLevel="1" x14ac:dyDescent="0.25">
      <c r="A76" s="20">
        <f t="shared" si="1"/>
        <v>43221</v>
      </c>
      <c r="B76" s="25">
        <f t="shared" ref="B76:K76" si="11">B11-B$64</f>
        <v>3.6404741994781914E-2</v>
      </c>
      <c r="C76" s="25">
        <f t="shared" si="11"/>
        <v>0.10612679184139659</v>
      </c>
      <c r="D76" s="25">
        <f t="shared" si="11"/>
        <v>1.3624537671921934E-2</v>
      </c>
      <c r="E76" s="25">
        <f t="shared" si="11"/>
        <v>-1.6941835881801752E-2</v>
      </c>
      <c r="F76" s="25">
        <f t="shared" si="11"/>
        <v>-4.3820576782162356E-2</v>
      </c>
      <c r="G76" s="25">
        <f t="shared" si="11"/>
        <v>-2.3996315317350032E-2</v>
      </c>
      <c r="H76" s="25">
        <f t="shared" si="11"/>
        <v>5.3666257619435359E-2</v>
      </c>
      <c r="I76" s="25">
        <f t="shared" si="11"/>
        <v>4.4823791573433677E-2</v>
      </c>
      <c r="J76" s="25">
        <f t="shared" si="11"/>
        <v>1.4098888559350172E-2</v>
      </c>
      <c r="K76" s="25">
        <f t="shared" si="11"/>
        <v>-3.9840536069855964E-2</v>
      </c>
    </row>
    <row r="77" spans="1:12" hidden="1" outlineLevel="1" x14ac:dyDescent="0.25">
      <c r="A77" s="20">
        <f t="shared" si="1"/>
        <v>43191</v>
      </c>
      <c r="B77" s="25">
        <f t="shared" ref="B77:K77" si="12">B12-B$64</f>
        <v>5.4308056424233024E-3</v>
      </c>
      <c r="C77" s="25">
        <f t="shared" si="12"/>
        <v>-3.1899896562381486E-2</v>
      </c>
      <c r="D77" s="25">
        <f t="shared" si="12"/>
        <v>5.2765539204775863E-2</v>
      </c>
      <c r="E77" s="25">
        <f t="shared" si="12"/>
        <v>-9.428992189683294E-3</v>
      </c>
      <c r="F77" s="25">
        <f t="shared" si="12"/>
        <v>1.661873682285489E-2</v>
      </c>
      <c r="G77" s="25">
        <f t="shared" si="12"/>
        <v>-2.3529267508108791E-2</v>
      </c>
      <c r="H77" s="25">
        <f t="shared" si="12"/>
        <v>-2.483656946474112E-2</v>
      </c>
      <c r="I77" s="25">
        <f t="shared" si="12"/>
        <v>4.2138501609080926E-2</v>
      </c>
      <c r="J77" s="25">
        <f t="shared" si="12"/>
        <v>-9.8131616926057902E-2</v>
      </c>
      <c r="K77" s="25">
        <f t="shared" si="12"/>
        <v>-8.5791942800105339E-3</v>
      </c>
    </row>
    <row r="78" spans="1:12" hidden="1" outlineLevel="1" x14ac:dyDescent="0.25">
      <c r="A78" s="20">
        <f t="shared" si="1"/>
        <v>43160</v>
      </c>
      <c r="B78" s="25">
        <f t="shared" ref="B78:K78" si="13">B13-B$64</f>
        <v>-4.1258647907048321E-2</v>
      </c>
      <c r="C78" s="25">
        <f t="shared" si="13"/>
        <v>-7.2501513473789622E-2</v>
      </c>
      <c r="D78" s="25">
        <f t="shared" si="13"/>
        <v>-7.0118161370341173E-2</v>
      </c>
      <c r="E78" s="25">
        <f t="shared" si="13"/>
        <v>-3.5053864152136044E-2</v>
      </c>
      <c r="F78" s="25">
        <f t="shared" si="13"/>
        <v>-5.8624383121294289E-2</v>
      </c>
      <c r="G78" s="25">
        <f t="shared" si="13"/>
        <v>-6.1712239096884142E-2</v>
      </c>
      <c r="H78" s="25">
        <f t="shared" si="13"/>
        <v>-7.9028685943221613E-2</v>
      </c>
      <c r="I78" s="25">
        <f t="shared" si="13"/>
        <v>-3.943594043768644E-3</v>
      </c>
      <c r="J78" s="25">
        <f t="shared" si="13"/>
        <v>3.1096977135450562E-3</v>
      </c>
      <c r="K78" s="25">
        <f t="shared" si="13"/>
        <v>-7.7979669761251535E-2</v>
      </c>
    </row>
    <row r="79" spans="1:12" hidden="1" outlineLevel="1" x14ac:dyDescent="0.25">
      <c r="A79" s="20">
        <f t="shared" si="1"/>
        <v>43132</v>
      </c>
      <c r="B79" s="25">
        <f t="shared" ref="B79:K79" si="14">B14-B$64</f>
        <v>-3.2059563509227562E-2</v>
      </c>
      <c r="C79" s="25">
        <f t="shared" si="14"/>
        <v>4.5125834476288089E-2</v>
      </c>
      <c r="D79" s="25">
        <f t="shared" si="14"/>
        <v>1.543894184576778E-2</v>
      </c>
      <c r="E79" s="25">
        <f t="shared" si="14"/>
        <v>-6.0367703294867958E-2</v>
      </c>
      <c r="F79" s="25">
        <f t="shared" si="14"/>
        <v>6.7034418688066533E-2</v>
      </c>
      <c r="G79" s="25">
        <f t="shared" si="14"/>
        <v>-8.9241126636852609E-3</v>
      </c>
      <c r="H79" s="25">
        <f t="shared" si="14"/>
        <v>-6.8074410500775936E-2</v>
      </c>
      <c r="I79" s="25">
        <f t="shared" si="14"/>
        <v>-0.14112948887275523</v>
      </c>
      <c r="J79" s="25">
        <f t="shared" si="14"/>
        <v>-9.3872524385457415E-2</v>
      </c>
      <c r="K79" s="25">
        <f t="shared" si="14"/>
        <v>-6.8675388817080888E-3</v>
      </c>
    </row>
    <row r="80" spans="1:12" hidden="1" outlineLevel="1" x14ac:dyDescent="0.25">
      <c r="A80" s="20">
        <f t="shared" si="1"/>
        <v>43101</v>
      </c>
      <c r="B80" s="25">
        <f t="shared" ref="B80:K80" si="15">B15-B$64</f>
        <v>8.6075736135737699E-2</v>
      </c>
      <c r="C80" s="25">
        <f t="shared" si="15"/>
        <v>-2.7459758143524044E-2</v>
      </c>
      <c r="D80" s="25">
        <f t="shared" si="15"/>
        <v>0.18951183495178758</v>
      </c>
      <c r="E80" s="25">
        <f t="shared" si="15"/>
        <v>1.041083422759809E-2</v>
      </c>
      <c r="F80" s="25">
        <f t="shared" si="15"/>
        <v>6.5705396069157679E-2</v>
      </c>
      <c r="G80" s="25">
        <f t="shared" si="15"/>
        <v>6.5824001006128188E-2</v>
      </c>
      <c r="H80" s="25">
        <f t="shared" si="15"/>
        <v>0.10087375175208853</v>
      </c>
      <c r="I80" s="25">
        <f t="shared" si="15"/>
        <v>4.3743114894825512E-2</v>
      </c>
      <c r="J80" s="25">
        <f t="shared" si="15"/>
        <v>-6.8713229681176186E-2</v>
      </c>
      <c r="K80" s="25">
        <f t="shared" si="15"/>
        <v>7.068013406782693E-2</v>
      </c>
    </row>
    <row r="81" spans="1:11" hidden="1" outlineLevel="1" x14ac:dyDescent="0.25">
      <c r="A81" s="20">
        <f t="shared" si="1"/>
        <v>43070</v>
      </c>
      <c r="B81" s="25">
        <f t="shared" ref="B81:K81" si="16">B16-B$64</f>
        <v>2.2326080161476011E-3</v>
      </c>
      <c r="C81" s="25">
        <f t="shared" si="16"/>
        <v>-2.8541234490466291E-2</v>
      </c>
      <c r="D81" s="25">
        <f t="shared" si="16"/>
        <v>-3.232047807281517E-2</v>
      </c>
      <c r="E81" s="25">
        <f t="shared" si="16"/>
        <v>1.7006132819150345E-2</v>
      </c>
      <c r="F81" s="25">
        <f t="shared" si="16"/>
        <v>1.0955100370946486E-2</v>
      </c>
      <c r="G81" s="25">
        <f t="shared" si="16"/>
        <v>1.0240365450697285E-2</v>
      </c>
      <c r="H81" s="25">
        <f t="shared" si="16"/>
        <v>1.3448786818683924E-2</v>
      </c>
      <c r="I81" s="25">
        <f t="shared" si="16"/>
        <v>1.4320244603818219E-2</v>
      </c>
      <c r="J81" s="25">
        <f t="shared" si="16"/>
        <v>1.4261882371473548E-2</v>
      </c>
      <c r="K81" s="25">
        <f t="shared" si="16"/>
        <v>4.1075036038705409E-2</v>
      </c>
    </row>
    <row r="82" spans="1:11" hidden="1" outlineLevel="1" x14ac:dyDescent="0.25">
      <c r="A82" s="20">
        <f t="shared" si="1"/>
        <v>43040</v>
      </c>
      <c r="B82" s="25">
        <f t="shared" ref="B82:K82" si="17">B17-B$64</f>
        <v>-7.090812415268391E-3</v>
      </c>
      <c r="C82" s="25">
        <f t="shared" si="17"/>
        <v>-2.7970212440889958E-4</v>
      </c>
      <c r="D82" s="25">
        <f t="shared" si="17"/>
        <v>3.6542971824105389E-2</v>
      </c>
      <c r="E82" s="25">
        <f t="shared" si="17"/>
        <v>6.088462777476792E-2</v>
      </c>
      <c r="F82" s="25">
        <f t="shared" si="17"/>
        <v>8.1333352461588862E-2</v>
      </c>
      <c r="G82" s="25">
        <f t="shared" si="17"/>
        <v>3.1305914914324343E-2</v>
      </c>
      <c r="H82" s="25">
        <f t="shared" si="17"/>
        <v>-6.0420262252272351E-3</v>
      </c>
      <c r="I82" s="25">
        <f t="shared" si="17"/>
        <v>1.9433060547983309E-4</v>
      </c>
      <c r="J82" s="25">
        <f t="shared" si="17"/>
        <v>4.2343718093669089E-2</v>
      </c>
      <c r="K82" s="25">
        <f t="shared" si="17"/>
        <v>1.8092023692682788E-2</v>
      </c>
    </row>
    <row r="83" spans="1:11" hidden="1" outlineLevel="1" x14ac:dyDescent="0.25">
      <c r="A83" s="20">
        <f t="shared" si="1"/>
        <v>43009</v>
      </c>
      <c r="B83" s="25">
        <f t="shared" ref="B83:K83" si="18">B18-B$64</f>
        <v>9.141967639081211E-2</v>
      </c>
      <c r="C83" s="25">
        <f t="shared" si="18"/>
        <v>7.5637507764172163E-2</v>
      </c>
      <c r="D83" s="25">
        <f t="shared" si="18"/>
        <v>0.11340077340130991</v>
      </c>
      <c r="E83" s="25">
        <f t="shared" si="18"/>
        <v>-1.6073394894422437E-2</v>
      </c>
      <c r="F83" s="25">
        <f t="shared" si="18"/>
        <v>-1.5754387838158405E-4</v>
      </c>
      <c r="G83" s="25">
        <f t="shared" si="18"/>
        <v>3.937145674049073E-2</v>
      </c>
      <c r="H83" s="25">
        <f t="shared" si="18"/>
        <v>4.7529671749319366E-2</v>
      </c>
      <c r="I83" s="25">
        <f t="shared" si="18"/>
        <v>1.7487709613432139E-2</v>
      </c>
      <c r="J83" s="25">
        <f t="shared" si="18"/>
        <v>-5.8869611224717795E-2</v>
      </c>
      <c r="K83" s="25">
        <f t="shared" si="18"/>
        <v>6.780608489644091E-2</v>
      </c>
    </row>
    <row r="84" spans="1:11" hidden="1" outlineLevel="1" x14ac:dyDescent="0.25">
      <c r="A84" s="20">
        <f t="shared" si="1"/>
        <v>42979</v>
      </c>
      <c r="B84" s="25">
        <f t="shared" ref="B84:K84" si="19">B19-B$64</f>
        <v>-1.7360089089011717E-2</v>
      </c>
      <c r="C84" s="25">
        <f t="shared" si="19"/>
        <v>-7.4981930573349453E-2</v>
      </c>
      <c r="D84" s="25">
        <f t="shared" si="19"/>
        <v>-4.5940789790061318E-2</v>
      </c>
      <c r="E84" s="25">
        <f t="shared" si="19"/>
        <v>-3.4664973821355777E-2</v>
      </c>
      <c r="F84" s="25">
        <f t="shared" si="19"/>
        <v>2.7640166256129438E-2</v>
      </c>
      <c r="G84" s="25">
        <f t="shared" si="19"/>
        <v>3.6931794221686597E-2</v>
      </c>
      <c r="H84" s="25">
        <f t="shared" si="19"/>
        <v>1.0115943610511054E-2</v>
      </c>
      <c r="I84" s="25">
        <f t="shared" si="19"/>
        <v>8.19701455704515E-2</v>
      </c>
      <c r="J84" s="25">
        <f t="shared" si="19"/>
        <v>-2.0602112630425981E-2</v>
      </c>
      <c r="K84" s="25">
        <f t="shared" si="19"/>
        <v>5.403865071219735E-2</v>
      </c>
    </row>
    <row r="85" spans="1:11" hidden="1" outlineLevel="1" x14ac:dyDescent="0.25">
      <c r="A85" s="20">
        <f t="shared" si="1"/>
        <v>42948</v>
      </c>
      <c r="B85" s="25">
        <f t="shared" ref="B85:K85" si="20">B20-B$64</f>
        <v>9.1528714097945038E-3</v>
      </c>
      <c r="C85" s="25">
        <f t="shared" si="20"/>
        <v>8.0967557112311322E-2</v>
      </c>
      <c r="D85" s="25">
        <f t="shared" si="20"/>
        <v>-3.3410132205620044E-2</v>
      </c>
      <c r="E85" s="25">
        <f t="shared" si="20"/>
        <v>-8.3666609350721899E-2</v>
      </c>
      <c r="F85" s="25">
        <f t="shared" si="20"/>
        <v>1.7675939535862037E-2</v>
      </c>
      <c r="G85" s="25">
        <f t="shared" si="20"/>
        <v>-1.712617343915868E-2</v>
      </c>
      <c r="H85" s="25">
        <f t="shared" si="20"/>
        <v>-1.278141420930079E-3</v>
      </c>
      <c r="I85" s="25">
        <f t="shared" si="20"/>
        <v>-4.6546047541671638E-2</v>
      </c>
      <c r="J85" s="25">
        <f t="shared" si="20"/>
        <v>1.7126636283095978E-2</v>
      </c>
      <c r="K85" s="25">
        <f t="shared" si="20"/>
        <v>-1.9569106112692112E-2</v>
      </c>
    </row>
    <row r="86" spans="1:11" hidden="1" outlineLevel="1" x14ac:dyDescent="0.25">
      <c r="A86" s="20">
        <f t="shared" si="1"/>
        <v>42917</v>
      </c>
      <c r="B86" s="25">
        <f t="shared" ref="B86:K86" si="21">B21-B$64</f>
        <v>3.4327498905634093E-2</v>
      </c>
      <c r="C86" s="25">
        <f t="shared" si="21"/>
        <v>1.5414013822355722E-2</v>
      </c>
      <c r="D86" s="25">
        <f t="shared" si="21"/>
        <v>-5.8867637310199804E-3</v>
      </c>
      <c r="E86" s="25">
        <f t="shared" si="21"/>
        <v>2.5715777660481942E-2</v>
      </c>
      <c r="F86" s="25">
        <f t="shared" si="21"/>
        <v>-1.0720544678419619E-2</v>
      </c>
      <c r="G86" s="25">
        <f t="shared" si="21"/>
        <v>-8.2824288496272311E-3</v>
      </c>
      <c r="H86" s="25">
        <f t="shared" si="21"/>
        <v>1.2951139133783908E-2</v>
      </c>
      <c r="I86" s="25">
        <f t="shared" si="21"/>
        <v>-7.6693588914100493E-3</v>
      </c>
      <c r="J86" s="25">
        <f t="shared" si="21"/>
        <v>3.4725736699770283E-2</v>
      </c>
      <c r="K86" s="25">
        <f t="shared" si="21"/>
        <v>-1.577525403230827E-2</v>
      </c>
    </row>
    <row r="87" spans="1:11" hidden="1" outlineLevel="1" x14ac:dyDescent="0.25">
      <c r="A87" s="20">
        <f t="shared" si="1"/>
        <v>42887</v>
      </c>
      <c r="B87" s="25">
        <f t="shared" ref="B87:K87" si="22">B22-B$64</f>
        <v>-2.632216040215923E-2</v>
      </c>
      <c r="C87" s="25">
        <f t="shared" si="22"/>
        <v>-7.1563212959761091E-2</v>
      </c>
      <c r="D87" s="25">
        <f t="shared" si="22"/>
        <v>-5.324336906239921E-2</v>
      </c>
      <c r="E87" s="25">
        <f t="shared" si="22"/>
        <v>-2.411402650096434E-2</v>
      </c>
      <c r="F87" s="25">
        <f t="shared" si="22"/>
        <v>-2.2822954159652374E-2</v>
      </c>
      <c r="G87" s="25">
        <f t="shared" si="22"/>
        <v>9.4049518109111246E-2</v>
      </c>
      <c r="H87" s="25">
        <f t="shared" si="22"/>
        <v>-7.065793780879033E-2</v>
      </c>
      <c r="I87" s="25">
        <f t="shared" si="22"/>
        <v>1.3166732339703226E-2</v>
      </c>
      <c r="J87" s="25">
        <f t="shared" si="22"/>
        <v>-1.7250993066619764E-2</v>
      </c>
      <c r="K87" s="25">
        <f t="shared" si="22"/>
        <v>7.2613020818935614E-2</v>
      </c>
    </row>
    <row r="88" spans="1:11" hidden="1" outlineLevel="1" x14ac:dyDescent="0.25">
      <c r="A88" s="20">
        <f t="shared" si="1"/>
        <v>42856</v>
      </c>
      <c r="B88" s="25">
        <f t="shared" ref="B88:K88" si="23">B23-B$64</f>
        <v>1.0348449291785848E-3</v>
      </c>
      <c r="C88" s="25">
        <f t="shared" si="23"/>
        <v>4.4722017772091852E-2</v>
      </c>
      <c r="D88" s="25">
        <f t="shared" si="23"/>
        <v>4.64631271043425E-2</v>
      </c>
      <c r="E88" s="25">
        <f t="shared" si="23"/>
        <v>-7.6893558942423806E-2</v>
      </c>
      <c r="F88" s="25">
        <f t="shared" si="23"/>
        <v>-8.4305658404206188E-2</v>
      </c>
      <c r="G88" s="25">
        <f t="shared" si="23"/>
        <v>-5.8538054683668718E-2</v>
      </c>
      <c r="H88" s="25">
        <f t="shared" si="23"/>
        <v>5.2264879701289263E-2</v>
      </c>
      <c r="I88" s="25">
        <f t="shared" si="23"/>
        <v>-1.327019675485853E-2</v>
      </c>
      <c r="J88" s="25">
        <f t="shared" si="23"/>
        <v>9.7656250769046337E-3</v>
      </c>
      <c r="K88" s="25">
        <f t="shared" si="23"/>
        <v>-5.0649026589396157E-2</v>
      </c>
    </row>
    <row r="89" spans="1:11" hidden="1" outlineLevel="1" x14ac:dyDescent="0.25">
      <c r="A89" s="20">
        <f t="shared" si="1"/>
        <v>42826</v>
      </c>
      <c r="B89" s="25">
        <f t="shared" ref="B89:K89" si="24">B24-B$64</f>
        <v>1.9796154511186142E-2</v>
      </c>
      <c r="C89" s="25">
        <f t="shared" si="24"/>
        <v>-1.6835957514937428E-2</v>
      </c>
      <c r="D89" s="25">
        <f t="shared" si="24"/>
        <v>1.6341988186908282E-2</v>
      </c>
      <c r="E89" s="25">
        <f t="shared" si="24"/>
        <v>1.0969606625070714E-2</v>
      </c>
      <c r="F89" s="25">
        <f t="shared" si="24"/>
        <v>-7.5451002005048045E-3</v>
      </c>
      <c r="G89" s="25">
        <f t="shared" si="24"/>
        <v>-2.2257959017857605E-2</v>
      </c>
      <c r="H89" s="25">
        <f t="shared" si="24"/>
        <v>7.7376803302524264E-2</v>
      </c>
      <c r="I89" s="25">
        <f t="shared" si="24"/>
        <v>-3.4849873852086611E-3</v>
      </c>
      <c r="J89" s="25">
        <f t="shared" si="24"/>
        <v>-3.4970466644801232E-2</v>
      </c>
      <c r="K89" s="25">
        <f t="shared" si="24"/>
        <v>-1.7598370429892526E-2</v>
      </c>
    </row>
    <row r="90" spans="1:11" hidden="1" outlineLevel="1" x14ac:dyDescent="0.25">
      <c r="A90" s="20">
        <f t="shared" si="1"/>
        <v>42795</v>
      </c>
      <c r="B90" s="25">
        <f t="shared" ref="B90:K90" si="25">B25-B$64</f>
        <v>1.6082375779529045E-2</v>
      </c>
      <c r="C90" s="25">
        <f t="shared" si="25"/>
        <v>3.5101173620012499E-2</v>
      </c>
      <c r="D90" s="25">
        <f t="shared" si="25"/>
        <v>2.1827576762320798E-2</v>
      </c>
      <c r="E90" s="25">
        <f t="shared" si="25"/>
        <v>2.1201804799755673E-2</v>
      </c>
      <c r="F90" s="25">
        <f t="shared" si="25"/>
        <v>-2.6681251727922302E-2</v>
      </c>
      <c r="G90" s="25">
        <f t="shared" si="25"/>
        <v>-4.3807476320601169E-2</v>
      </c>
      <c r="H90" s="25">
        <f t="shared" si="25"/>
        <v>-3.0388601574899378E-3</v>
      </c>
      <c r="I90" s="25">
        <f t="shared" si="25"/>
        <v>1.8466651968964888E-2</v>
      </c>
      <c r="J90" s="25">
        <f t="shared" si="25"/>
        <v>-2.0009822154214069E-2</v>
      </c>
      <c r="K90" s="25">
        <f t="shared" si="25"/>
        <v>-5.5158009322260018E-2</v>
      </c>
    </row>
    <row r="91" spans="1:11" hidden="1" outlineLevel="1" x14ac:dyDescent="0.25">
      <c r="A91" s="20">
        <f t="shared" si="1"/>
        <v>42767</v>
      </c>
      <c r="B91" s="25">
        <f t="shared" ref="B91:K91" si="26">B26-B$64</f>
        <v>-2.933993890100637E-2</v>
      </c>
      <c r="C91" s="25">
        <f t="shared" si="26"/>
        <v>0.1044627729479804</v>
      </c>
      <c r="D91" s="25">
        <f t="shared" si="26"/>
        <v>-2.7000767449193372E-4</v>
      </c>
      <c r="E91" s="25">
        <f t="shared" si="26"/>
        <v>-1.3407145129386268E-2</v>
      </c>
      <c r="F91" s="25">
        <f t="shared" si="26"/>
        <v>9.9775115939928549E-2</v>
      </c>
      <c r="G91" s="25">
        <f t="shared" si="26"/>
        <v>6.1254608627579823E-2</v>
      </c>
      <c r="H91" s="25">
        <f t="shared" si="26"/>
        <v>2.1897291902084583E-2</v>
      </c>
      <c r="I91" s="25">
        <f t="shared" si="26"/>
        <v>-3.0199819553093765E-2</v>
      </c>
      <c r="J91" s="25">
        <f t="shared" si="26"/>
        <v>4.0212628167952874E-2</v>
      </c>
      <c r="K91" s="25">
        <f t="shared" si="26"/>
        <v>7.6287289170156272E-2</v>
      </c>
    </row>
    <row r="92" spans="1:11" hidden="1" outlineLevel="1" x14ac:dyDescent="0.25">
      <c r="A92" s="20">
        <f t="shared" si="1"/>
        <v>42736</v>
      </c>
      <c r="B92" s="25">
        <f t="shared" ref="B92:K92" si="27">B27-B$64</f>
        <v>2.0675993618158531E-2</v>
      </c>
      <c r="C92" s="25">
        <f t="shared" si="27"/>
        <v>2.987535685177533E-2</v>
      </c>
      <c r="D92" s="25">
        <f t="shared" si="27"/>
        <v>4.2775827782410236E-2</v>
      </c>
      <c r="E92" s="25">
        <f t="shared" si="27"/>
        <v>5.9212106222297355E-2</v>
      </c>
      <c r="F92" s="25">
        <f t="shared" si="27"/>
        <v>9.0843014097670254E-4</v>
      </c>
      <c r="G92" s="25">
        <f t="shared" si="27"/>
        <v>-2.2759462925169491E-2</v>
      </c>
      <c r="H92" s="25">
        <f t="shared" si="27"/>
        <v>2.1116818488908912E-2</v>
      </c>
      <c r="I92" s="25">
        <f t="shared" si="27"/>
        <v>-7.2273654992591488E-2</v>
      </c>
      <c r="J92" s="25">
        <f t="shared" si="27"/>
        <v>3.4489299124809351E-2</v>
      </c>
      <c r="K92" s="25">
        <f t="shared" si="27"/>
        <v>-2.9669212739653731E-2</v>
      </c>
    </row>
    <row r="93" spans="1:11" hidden="1" outlineLevel="1" x14ac:dyDescent="0.25">
      <c r="A93" s="20">
        <f t="shared" si="1"/>
        <v>42705</v>
      </c>
      <c r="B93" s="25">
        <f t="shared" ref="B93:K93" si="28">B28-B$64</f>
        <v>1.8531793496380778E-2</v>
      </c>
      <c r="C93" s="25">
        <f t="shared" si="28"/>
        <v>3.519547151684875E-2</v>
      </c>
      <c r="D93" s="25">
        <f t="shared" si="28"/>
        <v>-2.2989299337023324E-3</v>
      </c>
      <c r="E93" s="25">
        <f t="shared" si="28"/>
        <v>4.1839576018067773E-2</v>
      </c>
      <c r="F93" s="25">
        <f t="shared" si="28"/>
        <v>-2.1766734776983692E-3</v>
      </c>
      <c r="G93" s="25">
        <f t="shared" si="28"/>
        <v>5.1600746227097011E-2</v>
      </c>
      <c r="H93" s="25">
        <f t="shared" si="28"/>
        <v>7.2923070051189968E-3</v>
      </c>
      <c r="I93" s="25">
        <f t="shared" si="28"/>
        <v>4.3074205301967955E-2</v>
      </c>
      <c r="J93" s="25">
        <f t="shared" si="28"/>
        <v>1.2932348128342744E-2</v>
      </c>
      <c r="K93" s="25">
        <f t="shared" si="28"/>
        <v>8.2894817697674775E-2</v>
      </c>
    </row>
    <row r="94" spans="1:11" hidden="1" outlineLevel="1" x14ac:dyDescent="0.25">
      <c r="A94" s="20">
        <f t="shared" si="1"/>
        <v>42675</v>
      </c>
      <c r="B94" s="25">
        <f t="shared" ref="B94:K94" si="29">B29-B$64</f>
        <v>-1.3264241697581215E-2</v>
      </c>
      <c r="C94" s="25">
        <f t="shared" si="29"/>
        <v>-4.372506632930237E-2</v>
      </c>
      <c r="D94" s="25">
        <f t="shared" si="29"/>
        <v>-7.7086859759606718E-2</v>
      </c>
      <c r="E94" s="25">
        <f t="shared" si="29"/>
        <v>5.8737508787226202E-2</v>
      </c>
      <c r="F94" s="25">
        <f t="shared" si="29"/>
        <v>-3.5702825591138285E-2</v>
      </c>
      <c r="G94" s="25">
        <f t="shared" si="29"/>
        <v>0.14087542795321178</v>
      </c>
      <c r="H94" s="25">
        <f t="shared" si="29"/>
        <v>-4.5084343650131267E-2</v>
      </c>
      <c r="I94" s="25">
        <f t="shared" si="29"/>
        <v>4.7576356945232989E-2</v>
      </c>
      <c r="J94" s="25">
        <f t="shared" si="29"/>
        <v>-5.013078289585611E-2</v>
      </c>
      <c r="K94" s="25">
        <f t="shared" si="29"/>
        <v>0.2368722675923447</v>
      </c>
    </row>
    <row r="95" spans="1:11" hidden="1" outlineLevel="1" x14ac:dyDescent="0.25">
      <c r="A95" s="20">
        <f t="shared" si="1"/>
        <v>42644</v>
      </c>
      <c r="B95" s="25">
        <f t="shared" ref="B95:K95" si="30">B30-B$64</f>
        <v>2.0565427093932023E-2</v>
      </c>
      <c r="C95" s="25">
        <f t="shared" si="30"/>
        <v>-1.2441461550465639E-2</v>
      </c>
      <c r="D95" s="25">
        <f t="shared" si="30"/>
        <v>-8.4503996341002974E-2</v>
      </c>
      <c r="E95" s="25">
        <f t="shared" si="30"/>
        <v>-1.0165716587282318E-2</v>
      </c>
      <c r="F95" s="25">
        <f t="shared" si="30"/>
        <v>-4.8837977067859056E-2</v>
      </c>
      <c r="G95" s="25">
        <f t="shared" si="30"/>
        <v>2.666396804326452E-2</v>
      </c>
      <c r="H95" s="25">
        <f t="shared" si="30"/>
        <v>-1.4388906873782966E-3</v>
      </c>
      <c r="I95" s="25">
        <f t="shared" si="30"/>
        <v>-4.551790350263514E-2</v>
      </c>
      <c r="J95" s="25">
        <f t="shared" si="30"/>
        <v>-3.9944334848850266E-2</v>
      </c>
      <c r="K95" s="25">
        <f t="shared" si="30"/>
        <v>4.2902021047832806E-2</v>
      </c>
    </row>
    <row r="96" spans="1:11" hidden="1" outlineLevel="1" x14ac:dyDescent="0.25">
      <c r="A96" s="20">
        <f t="shared" si="1"/>
        <v>42614</v>
      </c>
      <c r="B96" s="25">
        <f t="shared" ref="B96:K96" si="31">B31-B$64</f>
        <v>-1.0275517560240973E-2</v>
      </c>
      <c r="C96" s="25">
        <f t="shared" si="31"/>
        <v>5.2084566480147622E-2</v>
      </c>
      <c r="D96" s="25">
        <f t="shared" si="31"/>
        <v>5.8780688020720215E-2</v>
      </c>
      <c r="E96" s="25">
        <f t="shared" si="31"/>
        <v>-2.5416575982924718E-2</v>
      </c>
      <c r="F96" s="25">
        <f t="shared" si="31"/>
        <v>-6.6350317328551321E-3</v>
      </c>
      <c r="G96" s="25">
        <f t="shared" si="31"/>
        <v>-2.6222463655373677E-2</v>
      </c>
      <c r="H96" s="25">
        <f t="shared" si="31"/>
        <v>2.538571553041883E-3</v>
      </c>
      <c r="I96" s="25">
        <f t="shared" si="31"/>
        <v>1.1011059374955052E-2</v>
      </c>
      <c r="J96" s="25">
        <f t="shared" si="31"/>
        <v>2.1040200222548343E-2</v>
      </c>
      <c r="K96" s="25">
        <f t="shared" si="31"/>
        <v>-3.6174158671420431E-2</v>
      </c>
    </row>
    <row r="97" spans="1:11" hidden="1" outlineLevel="1" x14ac:dyDescent="0.25">
      <c r="A97" s="20">
        <f t="shared" si="1"/>
        <v>42583</v>
      </c>
      <c r="B97" s="25">
        <f t="shared" ref="B97:K97" si="32">B32-B$64</f>
        <v>-5.2546602688964342E-3</v>
      </c>
      <c r="C97" s="25">
        <f t="shared" si="32"/>
        <v>1.2076240863838801E-3</v>
      </c>
      <c r="D97" s="25">
        <f t="shared" si="32"/>
        <v>-1.2567145563566277E-2</v>
      </c>
      <c r="E97" s="25">
        <f t="shared" si="32"/>
        <v>-1.6746036563600988E-2</v>
      </c>
      <c r="F97" s="25">
        <f t="shared" si="32"/>
        <v>2.293836551383318E-2</v>
      </c>
      <c r="G97" s="25">
        <f t="shared" si="32"/>
        <v>4.8818700978673808E-2</v>
      </c>
      <c r="H97" s="25">
        <f t="shared" si="32"/>
        <v>-1.2988787629390397E-2</v>
      </c>
      <c r="I97" s="25">
        <f t="shared" si="32"/>
        <v>-1.9643745858866989E-2</v>
      </c>
      <c r="J97" s="25">
        <f t="shared" si="32"/>
        <v>2.1173424053277372E-2</v>
      </c>
      <c r="K97" s="25">
        <f t="shared" si="32"/>
        <v>9.7854289226695215E-2</v>
      </c>
    </row>
    <row r="98" spans="1:11" hidden="1" outlineLevel="1" x14ac:dyDescent="0.25">
      <c r="A98" s="20">
        <f t="shared" si="1"/>
        <v>42552</v>
      </c>
      <c r="B98" s="25">
        <f t="shared" ref="B98:K98" si="33">B33-B$64</f>
        <v>8.3345646151173292E-2</v>
      </c>
      <c r="C98" s="25">
        <f t="shared" si="33"/>
        <v>6.9468748970300753E-2</v>
      </c>
      <c r="D98" s="25">
        <f t="shared" si="33"/>
        <v>3.2487414508654014E-2</v>
      </c>
      <c r="E98" s="25">
        <f t="shared" si="33"/>
        <v>-2.7635087615789547E-2</v>
      </c>
      <c r="F98" s="25">
        <f t="shared" si="33"/>
        <v>4.6659838331170732E-2</v>
      </c>
      <c r="G98" s="25">
        <f t="shared" si="33"/>
        <v>1.6375072062801511E-2</v>
      </c>
      <c r="H98" s="25">
        <f t="shared" si="33"/>
        <v>9.4364463895453068E-2</v>
      </c>
      <c r="I98" s="25">
        <f t="shared" si="33"/>
        <v>-5.1536227368477378E-2</v>
      </c>
      <c r="J98" s="25">
        <f t="shared" si="33"/>
        <v>4.2841137225258577E-3</v>
      </c>
      <c r="K98" s="25">
        <f t="shared" si="33"/>
        <v>8.1351542434236007E-2</v>
      </c>
    </row>
    <row r="99" spans="1:11" hidden="1" outlineLevel="1" x14ac:dyDescent="0.25">
      <c r="A99" s="20">
        <f t="shared" ref="A99:A127" si="34">A34</f>
        <v>42522</v>
      </c>
      <c r="B99" s="25">
        <f t="shared" ref="B99:K99" si="35">B34-B$64</f>
        <v>-4.7090709818573051E-2</v>
      </c>
      <c r="C99" s="25">
        <f t="shared" si="35"/>
        <v>-5.4292851894026314E-2</v>
      </c>
      <c r="D99" s="25">
        <f t="shared" si="35"/>
        <v>-3.6084106968487857E-2</v>
      </c>
      <c r="E99" s="25">
        <f t="shared" si="35"/>
        <v>-2.2543640488449868E-2</v>
      </c>
      <c r="F99" s="25">
        <f t="shared" si="35"/>
        <v>-2.7971226852826693E-2</v>
      </c>
      <c r="G99" s="25">
        <f t="shared" si="35"/>
        <v>-6.1791929074311691E-2</v>
      </c>
      <c r="H99" s="25">
        <f t="shared" si="35"/>
        <v>-7.1842091579489578E-2</v>
      </c>
      <c r="I99" s="25">
        <f t="shared" si="35"/>
        <v>6.0947784138800205E-2</v>
      </c>
      <c r="J99" s="25">
        <f t="shared" si="35"/>
        <v>3.7295592285168974E-2</v>
      </c>
      <c r="K99" s="25">
        <f t="shared" si="35"/>
        <v>-0.11843328674385063</v>
      </c>
    </row>
    <row r="100" spans="1:11" hidden="1" outlineLevel="1" x14ac:dyDescent="0.25">
      <c r="A100" s="20">
        <f t="shared" si="34"/>
        <v>42491</v>
      </c>
      <c r="B100" s="25">
        <f t="shared" ref="B100:K100" si="36">B35-B$64</f>
        <v>4.1949899478829059E-2</v>
      </c>
      <c r="C100" s="25">
        <f t="shared" si="36"/>
        <v>4.6477992535084188E-2</v>
      </c>
      <c r="D100" s="25">
        <f t="shared" si="36"/>
        <v>6.5385515596206145E-2</v>
      </c>
      <c r="E100" s="25">
        <f t="shared" si="36"/>
        <v>-4.8243688199497543E-2</v>
      </c>
      <c r="F100" s="25">
        <f t="shared" si="36"/>
        <v>4.879836199944481E-2</v>
      </c>
      <c r="G100" s="25">
        <f t="shared" si="36"/>
        <v>2.6955325869157429E-2</v>
      </c>
      <c r="H100" s="25">
        <f t="shared" si="36"/>
        <v>4.9082190010588639E-2</v>
      </c>
      <c r="I100" s="25">
        <f t="shared" si="36"/>
        <v>7.9033947519567861E-3</v>
      </c>
      <c r="J100" s="25">
        <f t="shared" si="36"/>
        <v>1.3046503971754589E-2</v>
      </c>
      <c r="K100" s="25">
        <f t="shared" si="36"/>
        <v>5.6856916533305733E-3</v>
      </c>
    </row>
    <row r="101" spans="1:11" hidden="1" outlineLevel="1" x14ac:dyDescent="0.25">
      <c r="A101" s="20">
        <f t="shared" si="34"/>
        <v>42461</v>
      </c>
      <c r="B101" s="25">
        <f t="shared" ref="B101:K101" si="37">B36-B$64</f>
        <v>-0.12100916395912033</v>
      </c>
      <c r="C101" s="25">
        <f t="shared" si="37"/>
        <v>-0.16749755714840867</v>
      </c>
      <c r="D101" s="25">
        <f t="shared" si="37"/>
        <v>7.9230663804933266E-2</v>
      </c>
      <c r="E101" s="25">
        <f t="shared" si="37"/>
        <v>3.0670493474001477E-2</v>
      </c>
      <c r="F101" s="25">
        <f t="shared" si="37"/>
        <v>-5.0530185023268316E-2</v>
      </c>
      <c r="G101" s="25">
        <f t="shared" si="37"/>
        <v>5.2395773001034637E-2</v>
      </c>
      <c r="H101" s="25">
        <f t="shared" si="37"/>
        <v>-8.2995613216594336E-2</v>
      </c>
      <c r="I101" s="25">
        <f t="shared" si="37"/>
        <v>5.6862737156969954E-2</v>
      </c>
      <c r="J101" s="25">
        <f t="shared" si="37"/>
        <v>-3.3489922220339662E-2</v>
      </c>
      <c r="K101" s="25">
        <f t="shared" si="37"/>
        <v>6.7918221255367131E-2</v>
      </c>
    </row>
    <row r="102" spans="1:11" hidden="1" outlineLevel="1" x14ac:dyDescent="0.25">
      <c r="A102" s="20">
        <f t="shared" si="34"/>
        <v>42430</v>
      </c>
      <c r="B102" s="25">
        <f t="shared" ref="B102:K102" si="38">B37-B$64</f>
        <v>7.0268434496441351E-2</v>
      </c>
      <c r="C102" s="25">
        <f t="shared" si="38"/>
        <v>0.10839159539679014</v>
      </c>
      <c r="D102" s="25">
        <f t="shared" si="38"/>
        <v>4.5668725564720902E-2</v>
      </c>
      <c r="E102" s="25">
        <f t="shared" si="38"/>
        <v>3.0577567880409239E-2</v>
      </c>
      <c r="F102" s="25">
        <f t="shared" si="38"/>
        <v>6.8353653220902019E-2</v>
      </c>
      <c r="G102" s="25">
        <f t="shared" si="38"/>
        <v>3.7915594561672566E-2</v>
      </c>
      <c r="H102" s="25">
        <f t="shared" si="38"/>
        <v>5.4704615307174936E-2</v>
      </c>
      <c r="I102" s="25">
        <f t="shared" si="38"/>
        <v>5.1973856990878128E-2</v>
      </c>
      <c r="J102" s="25">
        <f t="shared" si="38"/>
        <v>1.8324473521329772E-2</v>
      </c>
      <c r="K102" s="25">
        <f t="shared" si="38"/>
        <v>6.6855024457226797E-2</v>
      </c>
    </row>
    <row r="103" spans="1:11" hidden="1" outlineLevel="1" x14ac:dyDescent="0.25">
      <c r="A103" s="20">
        <f t="shared" si="34"/>
        <v>42401</v>
      </c>
      <c r="B103" s="25">
        <f t="shared" ref="B103:K103" si="39">B38-B$64</f>
        <v>-9.8420762294288255E-2</v>
      </c>
      <c r="C103" s="25">
        <f t="shared" si="39"/>
        <v>-2.3466244981015162E-2</v>
      </c>
      <c r="D103" s="25">
        <f t="shared" si="39"/>
        <v>-8.6649858499745422E-2</v>
      </c>
      <c r="E103" s="25">
        <f t="shared" si="39"/>
        <v>-1.1469058893616704E-2</v>
      </c>
      <c r="F103" s="25">
        <f t="shared" si="39"/>
        <v>8.7990780775455704E-2</v>
      </c>
      <c r="G103" s="25">
        <f t="shared" si="39"/>
        <v>-6.1245271200093362E-2</v>
      </c>
      <c r="H103" s="25">
        <f t="shared" si="39"/>
        <v>-7.346213822916714E-2</v>
      </c>
      <c r="I103" s="25">
        <f t="shared" si="39"/>
        <v>3.0030661693944471E-2</v>
      </c>
      <c r="J103" s="25">
        <f t="shared" si="39"/>
        <v>-1.513259830491501E-2</v>
      </c>
      <c r="K103" s="25">
        <f t="shared" si="39"/>
        <v>-0.13166791719894372</v>
      </c>
    </row>
    <row r="104" spans="1:11" hidden="1" outlineLevel="1" x14ac:dyDescent="0.25">
      <c r="A104" s="20">
        <f t="shared" si="34"/>
        <v>42370</v>
      </c>
      <c r="B104" s="25">
        <f t="shared" ref="B104:K104" si="40">B39-B$64</f>
        <v>-2.5976813283793278E-2</v>
      </c>
      <c r="C104" s="25">
        <f t="shared" si="40"/>
        <v>-9.4990074345973119E-2</v>
      </c>
      <c r="D104" s="25">
        <f t="shared" si="40"/>
        <v>-0.16712024997488512</v>
      </c>
      <c r="E104" s="25">
        <f t="shared" si="40"/>
        <v>-9.4194007487776954E-2</v>
      </c>
      <c r="F104" s="25">
        <f t="shared" si="40"/>
        <v>-0.14798130628089021</v>
      </c>
      <c r="G104" s="25">
        <f t="shared" si="40"/>
        <v>-0.11678207753221782</v>
      </c>
      <c r="H104" s="25">
        <f t="shared" si="40"/>
        <v>-3.193784346855532E-2</v>
      </c>
      <c r="I104" s="25">
        <f t="shared" si="40"/>
        <v>-3.6930838982236758E-4</v>
      </c>
      <c r="J104" s="25">
        <f t="shared" si="40"/>
        <v>2.1784613702826819E-2</v>
      </c>
      <c r="K104" s="25">
        <f t="shared" si="40"/>
        <v>-0.18133154728422543</v>
      </c>
    </row>
    <row r="105" spans="1:11" hidden="1" outlineLevel="1" x14ac:dyDescent="0.25">
      <c r="A105" s="20">
        <f t="shared" si="34"/>
        <v>42339</v>
      </c>
      <c r="B105" s="25">
        <f t="shared" ref="B105:K105" si="41">B40-B$64</f>
        <v>8.3735361267636352E-3</v>
      </c>
      <c r="C105" s="25">
        <f t="shared" si="41"/>
        <v>-0.12928530093977483</v>
      </c>
      <c r="D105" s="25">
        <f t="shared" si="41"/>
        <v>-9.5705690900995642E-3</v>
      </c>
      <c r="E105" s="25">
        <f t="shared" si="41"/>
        <v>-8.5149623695317422E-2</v>
      </c>
      <c r="F105" s="25">
        <f t="shared" si="41"/>
        <v>-1.8809840981248042E-2</v>
      </c>
      <c r="G105" s="25">
        <f t="shared" si="41"/>
        <v>-2.2445094562060477E-2</v>
      </c>
      <c r="H105" s="25">
        <f t="shared" si="41"/>
        <v>1.0963220689018654E-2</v>
      </c>
      <c r="I105" s="25">
        <f t="shared" si="41"/>
        <v>-3.6902514609362842E-2</v>
      </c>
      <c r="J105" s="25">
        <f t="shared" si="41"/>
        <v>5.2748718154597994E-2</v>
      </c>
      <c r="K105" s="25">
        <f t="shared" si="41"/>
        <v>-4.5017429060203409E-2</v>
      </c>
    </row>
    <row r="106" spans="1:11" hidden="1" outlineLevel="1" x14ac:dyDescent="0.25">
      <c r="A106" s="20">
        <f t="shared" si="34"/>
        <v>42309</v>
      </c>
      <c r="B106" s="25">
        <f t="shared" ref="B106:K106" si="42">B41-B$64</f>
        <v>1.3045878074561642E-2</v>
      </c>
      <c r="C106" s="25">
        <f t="shared" si="42"/>
        <v>-2.6858986275377708E-2</v>
      </c>
      <c r="D106" s="25">
        <f t="shared" si="42"/>
        <v>3.4180866514065926E-2</v>
      </c>
      <c r="E106" s="25">
        <f t="shared" si="42"/>
        <v>-1.0709806501048256E-2</v>
      </c>
      <c r="F106" s="25">
        <f t="shared" si="42"/>
        <v>-6.4525705905407807E-2</v>
      </c>
      <c r="G106" s="25">
        <f t="shared" si="42"/>
        <v>3.1663601890891194E-2</v>
      </c>
      <c r="H106" s="25">
        <f t="shared" si="42"/>
        <v>3.3029408796410531E-2</v>
      </c>
      <c r="I106" s="25">
        <f t="shared" si="42"/>
        <v>-1.2224128974521672E-2</v>
      </c>
      <c r="J106" s="25">
        <f t="shared" si="42"/>
        <v>-1.7944915861106386E-2</v>
      </c>
      <c r="K106" s="25">
        <f t="shared" si="42"/>
        <v>2.8017388227374981E-2</v>
      </c>
    </row>
    <row r="107" spans="1:11" hidden="1" outlineLevel="1" x14ac:dyDescent="0.25">
      <c r="A107" s="20">
        <f t="shared" si="34"/>
        <v>42278</v>
      </c>
      <c r="B107" s="25">
        <f t="shared" ref="B107:K107" si="43">B42-B$64</f>
        <v>0.15447278361938957</v>
      </c>
      <c r="C107" s="25">
        <f t="shared" si="43"/>
        <v>6.334616435955745E-2</v>
      </c>
      <c r="D107" s="25">
        <f t="shared" si="43"/>
        <v>0.17496615806379301</v>
      </c>
      <c r="E107" s="25">
        <f t="shared" si="43"/>
        <v>9.8650261960736785E-2</v>
      </c>
      <c r="F107" s="25">
        <f t="shared" si="43"/>
        <v>7.8942536691362503E-2</v>
      </c>
      <c r="G107" s="25">
        <f t="shared" si="43"/>
        <v>3.9750492270409318E-2</v>
      </c>
      <c r="H107" s="25">
        <f t="shared" si="43"/>
        <v>0.14481681840466848</v>
      </c>
      <c r="I107" s="25">
        <f t="shared" si="43"/>
        <v>0.10783394877689953</v>
      </c>
      <c r="J107" s="25">
        <f t="shared" si="43"/>
        <v>5.3365415433564496E-2</v>
      </c>
      <c r="K107" s="25">
        <f t="shared" si="43"/>
        <v>6.7426382048166825E-2</v>
      </c>
    </row>
    <row r="108" spans="1:11" hidden="1" outlineLevel="1" x14ac:dyDescent="0.25">
      <c r="A108" s="20">
        <f t="shared" si="34"/>
        <v>42248</v>
      </c>
      <c r="B108" s="25">
        <f t="shared" ref="B108:K108" si="44">B43-B$64</f>
        <v>4.5109843365648758E-3</v>
      </c>
      <c r="C108" s="25">
        <f t="shared" si="44"/>
        <v>-3.5725814450516244E-2</v>
      </c>
      <c r="D108" s="25">
        <f t="shared" si="44"/>
        <v>-2.8066345663961139E-2</v>
      </c>
      <c r="E108" s="25">
        <f t="shared" si="44"/>
        <v>-5.1971200424003813E-3</v>
      </c>
      <c r="F108" s="25">
        <f t="shared" si="44"/>
        <v>-1.3059739964570508E-3</v>
      </c>
      <c r="G108" s="25">
        <f t="shared" si="44"/>
        <v>-6.2711570380077755E-2</v>
      </c>
      <c r="H108" s="25">
        <f t="shared" si="44"/>
        <v>-5.7584321233376881E-2</v>
      </c>
      <c r="I108" s="25">
        <f t="shared" si="44"/>
        <v>-1.6717044703487241E-3</v>
      </c>
      <c r="J108" s="25">
        <f t="shared" si="44"/>
        <v>1.1288674804403225E-2</v>
      </c>
      <c r="K108" s="25">
        <f t="shared" si="44"/>
        <v>-6.3717095344834204E-2</v>
      </c>
    </row>
    <row r="109" spans="1:11" hidden="1" outlineLevel="1" x14ac:dyDescent="0.25">
      <c r="A109" s="20">
        <f t="shared" si="34"/>
        <v>42217</v>
      </c>
      <c r="B109" s="25">
        <f t="shared" ref="B109:K109" si="45">B44-B$64</f>
        <v>-8.9446012902922728E-2</v>
      </c>
      <c r="C109" s="25">
        <f t="shared" si="45"/>
        <v>-8.8353443932759013E-2</v>
      </c>
      <c r="D109" s="25">
        <f t="shared" si="45"/>
        <v>-7.0467297657715727E-2</v>
      </c>
      <c r="E109" s="25">
        <f t="shared" si="45"/>
        <v>-0.16623023271110055</v>
      </c>
      <c r="F109" s="25">
        <f t="shared" si="45"/>
        <v>-0.10144730599896996</v>
      </c>
      <c r="G109" s="25">
        <f t="shared" si="45"/>
        <v>-7.2961867034825156E-2</v>
      </c>
      <c r="H109" s="25">
        <f t="shared" si="45"/>
        <v>8.2766992556758227E-3</v>
      </c>
      <c r="I109" s="25">
        <f t="shared" si="45"/>
        <v>-5.0505024149816502E-2</v>
      </c>
      <c r="J109" s="25">
        <f t="shared" si="45"/>
        <v>-8.0249976485266841E-2</v>
      </c>
      <c r="K109" s="25">
        <f t="shared" si="45"/>
        <v>-9.3952743918033474E-2</v>
      </c>
    </row>
    <row r="110" spans="1:11" hidden="1" outlineLevel="1" x14ac:dyDescent="0.25">
      <c r="A110" s="20">
        <f t="shared" si="34"/>
        <v>42186</v>
      </c>
      <c r="B110" s="25">
        <f t="shared" ref="B110:K110" si="46">B45-B$64</f>
        <v>3.7229036166252533E-2</v>
      </c>
      <c r="C110" s="25">
        <f t="shared" si="46"/>
        <v>-5.0247621664759226E-2</v>
      </c>
      <c r="D110" s="25">
        <f t="shared" si="46"/>
        <v>0.18504743406980342</v>
      </c>
      <c r="E110" s="25">
        <f t="shared" si="46"/>
        <v>4.1732688341598941E-2</v>
      </c>
      <c r="F110" s="25">
        <f t="shared" si="46"/>
        <v>1.8861099083561421E-2</v>
      </c>
      <c r="G110" s="25">
        <f t="shared" si="46"/>
        <v>-1.34949268695214E-3</v>
      </c>
      <c r="H110" s="25">
        <f t="shared" si="46"/>
        <v>0.17319509179840462</v>
      </c>
      <c r="I110" s="25">
        <f t="shared" si="46"/>
        <v>-4.8230230914980084E-2</v>
      </c>
      <c r="J110" s="25">
        <f t="shared" si="46"/>
        <v>-2.6402007309471828E-2</v>
      </c>
      <c r="K110" s="25">
        <f t="shared" si="46"/>
        <v>4.2300596046964803E-2</v>
      </c>
    </row>
    <row r="111" spans="1:11" hidden="1" outlineLevel="1" x14ac:dyDescent="0.25">
      <c r="A111" s="20">
        <f t="shared" si="34"/>
        <v>42156</v>
      </c>
      <c r="B111" s="25">
        <f t="shared" ref="B111:K111" si="47">B46-B$64</f>
        <v>-7.2016042635442756E-2</v>
      </c>
      <c r="C111" s="25">
        <f t="shared" si="47"/>
        <v>-5.0535767129419144E-2</v>
      </c>
      <c r="D111" s="25">
        <f t="shared" si="47"/>
        <v>-1.4855761467246122E-2</v>
      </c>
      <c r="E111" s="25">
        <f t="shared" si="47"/>
        <v>2.5254291624436022E-2</v>
      </c>
      <c r="F111" s="25">
        <f t="shared" si="47"/>
        <v>-8.0699539944810134E-2</v>
      </c>
      <c r="G111" s="25">
        <f t="shared" si="47"/>
        <v>1.700676791880542E-2</v>
      </c>
      <c r="H111" s="25">
        <f t="shared" si="47"/>
        <v>-3.276402592248906E-2</v>
      </c>
      <c r="I111" s="25">
        <f t="shared" si="47"/>
        <v>-1.4602722429934697E-2</v>
      </c>
      <c r="J111" s="25">
        <f t="shared" si="47"/>
        <v>-8.4384661272650756E-3</v>
      </c>
      <c r="K111" s="25">
        <f t="shared" si="47"/>
        <v>2.1041236155255032E-2</v>
      </c>
    </row>
    <row r="112" spans="1:11" hidden="1" outlineLevel="1" x14ac:dyDescent="0.25">
      <c r="A112" s="20">
        <f t="shared" si="34"/>
        <v>42125</v>
      </c>
      <c r="B112" s="25">
        <f t="shared" ref="B112:K112" si="48">B47-B$64</f>
        <v>-5.6204244034521136E-2</v>
      </c>
      <c r="C112" s="25">
        <f t="shared" si="48"/>
        <v>2.3406275984754712E-2</v>
      </c>
      <c r="D112" s="25">
        <f t="shared" si="48"/>
        <v>-8.6056239891018176E-3</v>
      </c>
      <c r="E112" s="25">
        <f t="shared" si="48"/>
        <v>6.7291726068221449E-3</v>
      </c>
      <c r="F112" s="25">
        <f t="shared" si="48"/>
        <v>1.0104721256768961E-3</v>
      </c>
      <c r="G112" s="25">
        <f t="shared" si="48"/>
        <v>3.3038265304573176E-2</v>
      </c>
      <c r="H112" s="25">
        <f t="shared" si="48"/>
        <v>-2.0503823425769278E-2</v>
      </c>
      <c r="I112" s="25">
        <f t="shared" si="48"/>
        <v>-2.4236004781113252E-2</v>
      </c>
      <c r="J112" s="25">
        <f t="shared" si="48"/>
        <v>-1.2699118212267161E-2</v>
      </c>
      <c r="K112" s="25">
        <f t="shared" si="48"/>
        <v>2.5168436775408382E-2</v>
      </c>
    </row>
    <row r="113" spans="1:11" hidden="1" outlineLevel="1" x14ac:dyDescent="0.25">
      <c r="A113" s="20">
        <f t="shared" si="34"/>
        <v>42095</v>
      </c>
      <c r="B113" s="25">
        <f t="shared" ref="B113:K113" si="49">B48-B$64</f>
        <v>0.16027918102624986</v>
      </c>
      <c r="C113" s="25">
        <f t="shared" si="49"/>
        <v>-1.0996497120312598E-2</v>
      </c>
      <c r="D113" s="25">
        <f t="shared" si="49"/>
        <v>9.920649053424746E-2</v>
      </c>
      <c r="E113" s="25">
        <f t="shared" si="49"/>
        <v>2.7530530118384772E-2</v>
      </c>
      <c r="F113" s="25">
        <f t="shared" si="49"/>
        <v>3.8262730096506103E-2</v>
      </c>
      <c r="G113" s="25">
        <f t="shared" si="49"/>
        <v>3.0639059857976846E-2</v>
      </c>
      <c r="H113" s="25">
        <f t="shared" si="49"/>
        <v>-2.4879208722400372E-2</v>
      </c>
      <c r="I113" s="25">
        <f t="shared" si="49"/>
        <v>2.8415207072551133E-2</v>
      </c>
      <c r="J113" s="25">
        <f t="shared" si="49"/>
        <v>-3.6627503197568502E-2</v>
      </c>
      <c r="K113" s="25">
        <f t="shared" si="49"/>
        <v>2.7620677043789729E-2</v>
      </c>
    </row>
    <row r="114" spans="1:11" hidden="1" outlineLevel="1" x14ac:dyDescent="0.25">
      <c r="A114" s="20">
        <f t="shared" si="34"/>
        <v>42064</v>
      </c>
      <c r="B114" s="25">
        <f t="shared" ref="B114:K114" si="50">B49-B$64</f>
        <v>-8.7360964580600831E-2</v>
      </c>
      <c r="C114" s="25">
        <f t="shared" si="50"/>
        <v>-4.4701796093997853E-2</v>
      </c>
      <c r="D114" s="25">
        <f t="shared" si="50"/>
        <v>-4.7544282480028663E-2</v>
      </c>
      <c r="E114" s="25">
        <f t="shared" si="50"/>
        <v>-5.8089335188367137E-4</v>
      </c>
      <c r="F114" s="25">
        <f t="shared" si="50"/>
        <v>-8.4954332239156938E-2</v>
      </c>
      <c r="G114" s="25">
        <f t="shared" si="50"/>
        <v>-2.413812281225805E-2</v>
      </c>
      <c r="H114" s="25">
        <f t="shared" si="50"/>
        <v>-2.95231978816539E-2</v>
      </c>
      <c r="I114" s="25">
        <f t="shared" si="50"/>
        <v>-3.2389857559918661E-2</v>
      </c>
      <c r="J114" s="25">
        <f t="shared" si="50"/>
        <v>-4.4714953873059592E-2</v>
      </c>
      <c r="K114" s="25">
        <f t="shared" si="50"/>
        <v>-3.6912370080276188E-2</v>
      </c>
    </row>
    <row r="115" spans="1:11" hidden="1" outlineLevel="1" x14ac:dyDescent="0.25">
      <c r="A115" s="20">
        <f t="shared" si="34"/>
        <v>42036</v>
      </c>
      <c r="B115" s="25">
        <f t="shared" ref="B115:K115" si="51">B50-B$64</f>
        <v>6.3022498254862822E-2</v>
      </c>
      <c r="C115" s="25">
        <f t="shared" si="51"/>
        <v>7.5310723176977151E-2</v>
      </c>
      <c r="D115" s="25">
        <f t="shared" si="51"/>
        <v>4.3684554749837623E-2</v>
      </c>
      <c r="E115" s="25">
        <f t="shared" si="51"/>
        <v>0.12640694898786498</v>
      </c>
      <c r="F115" s="25">
        <f t="shared" si="51"/>
        <v>0.10385385911552941</v>
      </c>
      <c r="G115" s="25">
        <f t="shared" si="51"/>
        <v>0.1132201963689226</v>
      </c>
      <c r="H115" s="25">
        <f t="shared" si="51"/>
        <v>3.2983506008042687E-2</v>
      </c>
      <c r="I115" s="25">
        <f t="shared" si="51"/>
        <v>1.3645007325802655E-2</v>
      </c>
      <c r="J115" s="25">
        <f t="shared" si="51"/>
        <v>1.0475928695406972E-2</v>
      </c>
      <c r="K115" s="25">
        <f t="shared" si="51"/>
        <v>3.2654383524580138E-2</v>
      </c>
    </row>
    <row r="116" spans="1:11" hidden="1" outlineLevel="1" x14ac:dyDescent="0.25">
      <c r="A116" s="20">
        <f t="shared" si="34"/>
        <v>42005</v>
      </c>
      <c r="B116" s="25">
        <f t="shared" ref="B116:K116" si="52">B51-B$64</f>
        <v>-0.15846897721082079</v>
      </c>
      <c r="C116" s="25">
        <f t="shared" si="52"/>
        <v>4.2845159920386768E-2</v>
      </c>
      <c r="D116" s="25">
        <f t="shared" si="52"/>
        <v>0.10697754691121633</v>
      </c>
      <c r="E116" s="25">
        <f t="shared" si="52"/>
        <v>-3.0597736808533484E-2</v>
      </c>
      <c r="F116" s="25">
        <f t="shared" si="52"/>
        <v>-6.902980276203742E-2</v>
      </c>
      <c r="G116" s="25">
        <f t="shared" si="52"/>
        <v>-0.15309839874492345</v>
      </c>
      <c r="H116" s="25">
        <f t="shared" si="52"/>
        <v>4.5802855842873719E-3</v>
      </c>
      <c r="I116" s="25">
        <f t="shared" si="52"/>
        <v>-5.5029209884842743E-2</v>
      </c>
      <c r="J116" s="25">
        <f t="shared" si="52"/>
        <v>-8.4107683063926075E-2</v>
      </c>
      <c r="K116" s="25">
        <f t="shared" si="52"/>
        <v>-0.17330931425297075</v>
      </c>
    </row>
    <row r="117" spans="1:11" hidden="1" outlineLevel="1" x14ac:dyDescent="0.25">
      <c r="A117" s="20">
        <f t="shared" si="34"/>
        <v>41974</v>
      </c>
      <c r="B117" s="25">
        <f t="shared" ref="B117:K117" si="53">B52-B$64</f>
        <v>-4.1493395917974393E-2</v>
      </c>
      <c r="C117" s="25">
        <f t="shared" si="53"/>
        <v>-8.7045692975265015E-2</v>
      </c>
      <c r="D117" s="25">
        <f t="shared" si="53"/>
        <v>-0.11335163501601309</v>
      </c>
      <c r="E117" s="25">
        <f t="shared" si="53"/>
        <v>9.6642338066024909E-3</v>
      </c>
      <c r="F117" s="25">
        <f t="shared" si="53"/>
        <v>-9.0102546269092074E-3</v>
      </c>
      <c r="G117" s="25">
        <f t="shared" si="53"/>
        <v>2.6788736005380238E-2</v>
      </c>
      <c r="H117" s="25">
        <f t="shared" si="53"/>
        <v>-3.9613781132058115E-2</v>
      </c>
      <c r="I117" s="25">
        <f t="shared" si="53"/>
        <v>2.898442649186167E-2</v>
      </c>
      <c r="J117" s="25">
        <f t="shared" si="53"/>
        <v>7.4907707603521969E-4</v>
      </c>
      <c r="K117" s="25">
        <f t="shared" si="53"/>
        <v>3.8690836093129302E-2</v>
      </c>
    </row>
    <row r="118" spans="1:11" hidden="1" outlineLevel="1" x14ac:dyDescent="0.25">
      <c r="A118" s="20">
        <f t="shared" si="34"/>
        <v>41944</v>
      </c>
      <c r="B118" s="25">
        <f t="shared" ref="B118:K118" si="54">B53-B$64</f>
        <v>-7.705364434585707E-4</v>
      </c>
      <c r="C118" s="25">
        <f t="shared" si="54"/>
        <v>7.9637676919798145E-2</v>
      </c>
      <c r="D118" s="25">
        <f t="shared" si="54"/>
        <v>7.7004126127761793E-2</v>
      </c>
      <c r="E118" s="25">
        <f t="shared" si="54"/>
        <v>3.956983046103122E-3</v>
      </c>
      <c r="F118" s="25">
        <f t="shared" si="54"/>
        <v>0.10631455801046989</v>
      </c>
      <c r="G118" s="25">
        <f t="shared" si="54"/>
        <v>-1.1239499007021075E-2</v>
      </c>
      <c r="H118" s="25">
        <f t="shared" si="54"/>
        <v>-4.2063273715913202E-2</v>
      </c>
      <c r="I118" s="25">
        <f t="shared" si="54"/>
        <v>-6.501063780090223E-2</v>
      </c>
      <c r="J118" s="25">
        <f t="shared" si="54"/>
        <v>3.6682117442280164E-2</v>
      </c>
      <c r="K118" s="25">
        <f t="shared" si="54"/>
        <v>-1.700573365829856E-2</v>
      </c>
    </row>
    <row r="119" spans="1:11" hidden="1" outlineLevel="1" x14ac:dyDescent="0.25">
      <c r="A119" s="20">
        <f t="shared" si="34"/>
        <v>41913</v>
      </c>
      <c r="B119" s="25">
        <f t="shared" ref="B119:K119" si="55">B54-B$64</f>
        <v>-6.2761760782721835E-3</v>
      </c>
      <c r="C119" s="25">
        <f t="shared" si="55"/>
        <v>5.2722785126182163E-2</v>
      </c>
      <c r="D119" s="25">
        <f t="shared" si="55"/>
        <v>-8.0212977640757049E-2</v>
      </c>
      <c r="E119" s="25">
        <f t="shared" si="55"/>
        <v>1.772018622890293E-2</v>
      </c>
      <c r="F119" s="25">
        <f t="shared" si="55"/>
        <v>-3.6113738318884932E-2</v>
      </c>
      <c r="G119" s="25">
        <f t="shared" si="55"/>
        <v>-8.6731044155502271E-3</v>
      </c>
      <c r="H119" s="25">
        <f t="shared" si="55"/>
        <v>-4.2896275244248161E-2</v>
      </c>
      <c r="I119" s="25">
        <f t="shared" si="55"/>
        <v>2.8805159175056931E-2</v>
      </c>
      <c r="J119" s="25">
        <f t="shared" si="55"/>
        <v>3.4766754457029043E-2</v>
      </c>
      <c r="K119" s="25">
        <f t="shared" si="55"/>
        <v>-4.7862497578821973E-4</v>
      </c>
    </row>
    <row r="120" spans="1:11" hidden="1" outlineLevel="1" x14ac:dyDescent="0.25">
      <c r="A120" s="20">
        <f t="shared" si="34"/>
        <v>41883</v>
      </c>
      <c r="B120" s="25">
        <f t="shared" ref="B120:K120" si="56">B55-B$64</f>
        <v>7.5683728520667994E-3</v>
      </c>
      <c r="C120" s="25">
        <f t="shared" si="56"/>
        <v>-2.902531499633736E-2</v>
      </c>
      <c r="D120" s="25">
        <f t="shared" si="56"/>
        <v>-7.6315749148616552E-2</v>
      </c>
      <c r="E120" s="25">
        <f t="shared" si="56"/>
        <v>-1.7835567613376756E-2</v>
      </c>
      <c r="F120" s="25">
        <f t="shared" si="56"/>
        <v>-8.3246709663047196E-3</v>
      </c>
      <c r="G120" s="25">
        <f t="shared" si="56"/>
        <v>5.5164760142280798E-4</v>
      </c>
      <c r="H120" s="25">
        <f t="shared" si="56"/>
        <v>-6.9647743372604036E-4</v>
      </c>
      <c r="I120" s="25">
        <f t="shared" si="56"/>
        <v>-4.8072448616001941E-2</v>
      </c>
      <c r="J120" s="25">
        <f t="shared" si="56"/>
        <v>1.0288886634078837E-3</v>
      </c>
      <c r="K120" s="25">
        <f t="shared" si="56"/>
        <v>4.79648134416744E-2</v>
      </c>
    </row>
    <row r="121" spans="1:11" hidden="1" outlineLevel="1" x14ac:dyDescent="0.25">
      <c r="A121" s="20">
        <f t="shared" si="34"/>
        <v>41852</v>
      </c>
      <c r="B121" s="25">
        <f t="shared" ref="B121:K121" si="57">B56-B$64</f>
        <v>3.2335811202123643E-2</v>
      </c>
      <c r="C121" s="25">
        <f t="shared" si="57"/>
        <v>5.2923564201212435E-2</v>
      </c>
      <c r="D121" s="25">
        <f t="shared" si="57"/>
        <v>5.3832205166252242E-2</v>
      </c>
      <c r="E121" s="25">
        <f t="shared" si="57"/>
        <v>3.7191403241952047E-2</v>
      </c>
      <c r="F121" s="25">
        <f t="shared" si="57"/>
        <v>-1.7454970300872754E-2</v>
      </c>
      <c r="G121" s="25">
        <f t="shared" si="57"/>
        <v>2.4715538247440876E-2</v>
      </c>
      <c r="H121" s="25">
        <f t="shared" si="57"/>
        <v>-1.0722938604810283E-2</v>
      </c>
      <c r="I121" s="25">
        <f t="shared" si="57"/>
        <v>6.1562513778351128E-3</v>
      </c>
      <c r="J121" s="25">
        <f t="shared" si="57"/>
        <v>7.3641408788350404E-2</v>
      </c>
      <c r="K121" s="25">
        <f t="shared" si="57"/>
        <v>4.3630503385643032E-2</v>
      </c>
    </row>
    <row r="122" spans="1:11" hidden="1" outlineLevel="1" x14ac:dyDescent="0.25">
      <c r="A122" s="20">
        <f t="shared" si="34"/>
        <v>41821</v>
      </c>
      <c r="B122" s="25">
        <f t="shared" ref="B122:K122" si="58">B57-B$64</f>
        <v>1.5491073661159021E-2</v>
      </c>
      <c r="C122" s="25">
        <f t="shared" si="58"/>
        <v>1.1559861862261076E-2</v>
      </c>
      <c r="D122" s="25">
        <f t="shared" si="58"/>
        <v>-6.3091524461041687E-2</v>
      </c>
      <c r="E122" s="25">
        <f t="shared" si="58"/>
        <v>-6.7017117872402027E-3</v>
      </c>
      <c r="F122" s="25">
        <f t="shared" si="58"/>
        <v>-3.2569700822733007E-4</v>
      </c>
      <c r="G122" s="25">
        <f t="shared" si="58"/>
        <v>-1.1781944557074615E-2</v>
      </c>
      <c r="H122" s="25">
        <f t="shared" si="58"/>
        <v>-1.7140327364012272E-2</v>
      </c>
      <c r="I122" s="25">
        <f t="shared" si="58"/>
        <v>-1.6518924697681459E-2</v>
      </c>
      <c r="J122" s="25">
        <f t="shared" si="58"/>
        <v>-2.2814788027593479E-2</v>
      </c>
      <c r="K122" s="25">
        <f t="shared" si="58"/>
        <v>-1.7182245898685201E-2</v>
      </c>
    </row>
    <row r="123" spans="1:11" hidden="1" outlineLevel="1" x14ac:dyDescent="0.25">
      <c r="A123" s="20">
        <f t="shared" si="34"/>
        <v>41791</v>
      </c>
      <c r="B123" s="25">
        <f t="shared" ref="B123:K123" si="59">B58-B$64</f>
        <v>6.5008713652118279E-3</v>
      </c>
      <c r="C123" s="25">
        <f t="shared" si="59"/>
        <v>5.0176239103546939E-2</v>
      </c>
      <c r="D123" s="25">
        <f t="shared" si="59"/>
        <v>1.2268902272778416E-2</v>
      </c>
      <c r="E123" s="25">
        <f t="shared" si="59"/>
        <v>1.2050485985592947E-2</v>
      </c>
      <c r="F123" s="25">
        <f t="shared" si="59"/>
        <v>-6.2026710110796544E-3</v>
      </c>
      <c r="G123" s="25">
        <f t="shared" si="59"/>
        <v>2.3577131373835075E-2</v>
      </c>
      <c r="H123" s="25">
        <f t="shared" si="59"/>
        <v>1.6393616674400736E-2</v>
      </c>
      <c r="I123" s="25">
        <f t="shared" si="59"/>
        <v>9.1718633181402838E-3</v>
      </c>
      <c r="J123" s="25">
        <f t="shared" si="59"/>
        <v>-3.4131391898973185E-2</v>
      </c>
      <c r="K123" s="25">
        <f t="shared" si="59"/>
        <v>5.0897394652181429E-3</v>
      </c>
    </row>
    <row r="124" spans="1:11" collapsed="1" x14ac:dyDescent="0.25">
      <c r="A124" s="20">
        <f t="shared" si="34"/>
        <v>41760</v>
      </c>
      <c r="B124" s="25">
        <f t="shared" ref="B124:K124" si="60">B59-B$64</f>
        <v>-5.6445084976836663E-3</v>
      </c>
      <c r="C124" s="25">
        <f t="shared" si="60"/>
        <v>5.3428929840515761E-2</v>
      </c>
      <c r="D124" s="25">
        <f t="shared" si="60"/>
        <v>1.1944532655897983E-3</v>
      </c>
      <c r="E124" s="25">
        <f t="shared" si="60"/>
        <v>4.8860243079068034E-2</v>
      </c>
      <c r="F124" s="25">
        <f t="shared" si="60"/>
        <v>5.6302929397655847E-2</v>
      </c>
      <c r="G124" s="25">
        <f t="shared" si="60"/>
        <v>-1.3717105399424761E-2</v>
      </c>
      <c r="H124" s="25">
        <f t="shared" si="60"/>
        <v>5.0462212353394501E-2</v>
      </c>
      <c r="I124" s="25">
        <f t="shared" si="60"/>
        <v>-1.7613833449253265E-2</v>
      </c>
      <c r="J124" s="25">
        <f t="shared" si="60"/>
        <v>-2.0121525179484682E-2</v>
      </c>
      <c r="K124" s="25">
        <f t="shared" si="60"/>
        <v>-9.9876700045769921E-3</v>
      </c>
    </row>
    <row r="125" spans="1:11" x14ac:dyDescent="0.25">
      <c r="A125" s="20">
        <f t="shared" si="34"/>
        <v>41730</v>
      </c>
      <c r="B125" s="25">
        <f t="shared" ref="B125:K125" si="61">B60-B$64</f>
        <v>-3.3420833963455646E-2</v>
      </c>
      <c r="C125" s="25">
        <f t="shared" si="61"/>
        <v>7.7995232962484007E-2</v>
      </c>
      <c r="D125" s="25">
        <f t="shared" si="61"/>
        <v>-0.12687117839333051</v>
      </c>
      <c r="E125" s="25">
        <f t="shared" si="61"/>
        <v>-1.7492206406446609E-2</v>
      </c>
      <c r="F125" s="25">
        <f t="shared" si="61"/>
        <v>1.4810405468870655E-2</v>
      </c>
      <c r="G125" s="25">
        <f t="shared" si="61"/>
        <v>-9.3763431774933459E-2</v>
      </c>
      <c r="H125" s="25">
        <f t="shared" si="61"/>
        <v>-6.9420857746331791E-2</v>
      </c>
      <c r="I125" s="25">
        <f t="shared" si="61"/>
        <v>4.8202352806619601E-2</v>
      </c>
      <c r="J125" s="25">
        <f t="shared" si="61"/>
        <v>1.7382480003055707E-2</v>
      </c>
      <c r="K125" s="25">
        <f t="shared" si="61"/>
        <v>-0.13695885589545931</v>
      </c>
    </row>
    <row r="126" spans="1:11" x14ac:dyDescent="0.25">
      <c r="A126" s="20">
        <f t="shared" si="34"/>
        <v>41699</v>
      </c>
      <c r="B126" s="25">
        <f t="shared" ref="B126:K126" si="62">B61-B$64</f>
        <v>5.6165463673937988E-2</v>
      </c>
      <c r="C126" s="25">
        <f t="shared" si="62"/>
        <v>4.5533392406819147E-2</v>
      </c>
      <c r="D126" s="25">
        <f t="shared" si="62"/>
        <v>-9.9823410333475873E-2</v>
      </c>
      <c r="E126" s="25">
        <f t="shared" si="62"/>
        <v>-1.7532613488010471E-2</v>
      </c>
      <c r="F126" s="25">
        <f t="shared" si="62"/>
        <v>1.2542115644747985E-2</v>
      </c>
      <c r="G126" s="25">
        <f t="shared" si="62"/>
        <v>5.3570746604818267E-2</v>
      </c>
      <c r="H126" s="25">
        <f t="shared" si="62"/>
        <v>-9.43573446497777E-2</v>
      </c>
      <c r="I126" s="25">
        <f t="shared" si="62"/>
        <v>2.2512199308605773E-2</v>
      </c>
      <c r="J126" s="25">
        <f t="shared" si="62"/>
        <v>1.784112638471172E-2</v>
      </c>
      <c r="K126" s="25">
        <f t="shared" si="62"/>
        <v>2.9744468386772718E-2</v>
      </c>
    </row>
    <row r="127" spans="1:11" x14ac:dyDescent="0.25">
      <c r="A127" s="20">
        <f t="shared" si="34"/>
        <v>41671</v>
      </c>
      <c r="B127" s="25">
        <f t="shared" ref="B127:K127" si="63">B62-B$64</f>
        <v>-6.5776686310469647E-3</v>
      </c>
      <c r="C127" s="25">
        <f t="shared" si="63"/>
        <v>3.3183908629553061E-2</v>
      </c>
      <c r="D127" s="25">
        <f t="shared" si="63"/>
        <v>-1.6652784635101461E-2</v>
      </c>
      <c r="E127" s="25">
        <f t="shared" si="63"/>
        <v>9.8664784648700793E-2</v>
      </c>
      <c r="F127" s="25">
        <f t="shared" si="63"/>
        <v>-1.2926560715586545E-2</v>
      </c>
      <c r="G127" s="25">
        <f t="shared" si="63"/>
        <v>1.9901156769270317E-2</v>
      </c>
      <c r="H127" s="25">
        <f t="shared" si="63"/>
        <v>1.8219765874724955E-2</v>
      </c>
      <c r="I127" s="25">
        <f t="shared" si="63"/>
        <v>4.4544925025377942E-2</v>
      </c>
      <c r="J127" s="25">
        <f t="shared" si="63"/>
        <v>2.7284062607224442E-2</v>
      </c>
      <c r="K127" s="25">
        <f t="shared" si="63"/>
        <v>-2.3208808979498275E-2</v>
      </c>
    </row>
    <row r="129" spans="1:11" x14ac:dyDescent="0.25">
      <c r="A129" s="46" t="s">
        <v>11</v>
      </c>
      <c r="B129" s="46"/>
      <c r="C129" s="46"/>
      <c r="D129" s="46"/>
      <c r="E129" s="46"/>
      <c r="F129" s="46"/>
      <c r="G129" s="46"/>
      <c r="H129" s="46"/>
      <c r="I129" s="46"/>
      <c r="J129" s="46"/>
      <c r="K129" s="46"/>
    </row>
    <row r="130" spans="1:11" x14ac:dyDescent="0.25">
      <c r="B130" s="5" t="str">
        <f>B67</f>
        <v>MSFT</v>
      </c>
      <c r="C130" s="5" t="str">
        <f t="shared" ref="C130:K130" si="64">C67</f>
        <v>AAPL</v>
      </c>
      <c r="D130" s="5" t="str">
        <f t="shared" si="64"/>
        <v>AMZN</v>
      </c>
      <c r="E130" s="5" t="str">
        <f t="shared" si="64"/>
        <v>DIS</v>
      </c>
      <c r="F130" s="5" t="str">
        <f t="shared" si="64"/>
        <v>CSCO</v>
      </c>
      <c r="G130" s="5" t="str">
        <f t="shared" si="64"/>
        <v>JPM</v>
      </c>
      <c r="H130" s="5" t="str">
        <f t="shared" si="64"/>
        <v>GOOG</v>
      </c>
      <c r="I130" s="5" t="str">
        <f t="shared" si="64"/>
        <v>XOM</v>
      </c>
      <c r="J130" s="5" t="str">
        <f t="shared" si="64"/>
        <v>PG</v>
      </c>
      <c r="K130" s="5" t="str">
        <f t="shared" si="64"/>
        <v>BAC</v>
      </c>
    </row>
    <row r="131" spans="1:11" x14ac:dyDescent="0.25">
      <c r="A131" s="5" t="str">
        <f t="array" ref="A131:A140">TRANSPOSE(B130:K130)</f>
        <v>MSFT</v>
      </c>
      <c r="B131" s="22">
        <f t="array" ref="B131:K140">MMULT(TRANSPOSE(B68:K127),B68:K127)/59</f>
        <v>3.4071294076869758E-3</v>
      </c>
      <c r="C131" s="22">
        <v>1.6660402437003734E-3</v>
      </c>
      <c r="D131" s="22">
        <v>2.370907220292521E-3</v>
      </c>
      <c r="E131" s="22">
        <v>1.0243545406566012E-3</v>
      </c>
      <c r="F131" s="22">
        <v>1.5774997915111329E-3</v>
      </c>
      <c r="G131" s="22">
        <v>1.5631206370355559E-3</v>
      </c>
      <c r="H131" s="22">
        <v>1.8708174767195331E-3</v>
      </c>
      <c r="I131" s="22">
        <v>8.5586818448297704E-4</v>
      </c>
      <c r="J131" s="22">
        <v>4.8924886064409968E-4</v>
      </c>
      <c r="K131" s="22">
        <v>2.0556490513062337E-3</v>
      </c>
    </row>
    <row r="132" spans="1:11" x14ac:dyDescent="0.25">
      <c r="A132" s="5" t="str">
        <v>AAPL</v>
      </c>
      <c r="B132" s="22">
        <v>1.6660402437003734E-3</v>
      </c>
      <c r="C132" s="22">
        <v>5.1590765648409686E-3</v>
      </c>
      <c r="D132" s="22">
        <v>1.8410608261659944E-3</v>
      </c>
      <c r="E132" s="22">
        <v>7.7393245779215733E-4</v>
      </c>
      <c r="F132" s="22">
        <v>1.9649524016872913E-3</v>
      </c>
      <c r="G132" s="22">
        <v>5.5133819484517934E-4</v>
      </c>
      <c r="H132" s="22">
        <v>1.1712483209234284E-3</v>
      </c>
      <c r="I132" s="22">
        <v>1.876326426893075E-4</v>
      </c>
      <c r="J132" s="22">
        <v>3.8012689855759942E-4</v>
      </c>
      <c r="K132" s="22">
        <v>6.7562391563497299E-4</v>
      </c>
    </row>
    <row r="133" spans="1:11" x14ac:dyDescent="0.25">
      <c r="A133" s="5" t="str">
        <v>AMZN</v>
      </c>
      <c r="B133" s="22">
        <v>2.370907220292521E-3</v>
      </c>
      <c r="C133" s="22">
        <v>1.8410608261659944E-3</v>
      </c>
      <c r="D133" s="22">
        <v>6.9062424750401287E-3</v>
      </c>
      <c r="E133" s="22">
        <v>1.4009187299607419E-3</v>
      </c>
      <c r="F133" s="22">
        <v>2.3094537701590658E-3</v>
      </c>
      <c r="G133" s="22">
        <v>1.3592205598723917E-3</v>
      </c>
      <c r="H133" s="22">
        <v>3.1750899545182417E-3</v>
      </c>
      <c r="I133" s="22">
        <v>7.7855052899670953E-4</v>
      </c>
      <c r="J133" s="22">
        <v>-3.2055386451353558E-4</v>
      </c>
      <c r="K133" s="22">
        <v>2.197767840550896E-3</v>
      </c>
    </row>
    <row r="134" spans="1:11" x14ac:dyDescent="0.25">
      <c r="A134" s="5" t="str">
        <v>DIS</v>
      </c>
      <c r="B134" s="22">
        <v>1.0243545406566012E-3</v>
      </c>
      <c r="C134" s="22">
        <v>7.7393245779215733E-4</v>
      </c>
      <c r="D134" s="22">
        <v>1.4009187299607419E-3</v>
      </c>
      <c r="E134" s="22">
        <v>2.4225985245919998E-3</v>
      </c>
      <c r="F134" s="22">
        <v>1.0739788196399941E-3</v>
      </c>
      <c r="G134" s="22">
        <v>1.4287749413000735E-3</v>
      </c>
      <c r="H134" s="22">
        <v>7.446677798086099E-4</v>
      </c>
      <c r="I134" s="22">
        <v>9.5386365878548048E-4</v>
      </c>
      <c r="J134" s="22">
        <v>4.7965938398864476E-4</v>
      </c>
      <c r="K134" s="22">
        <v>1.6380512911954278E-3</v>
      </c>
    </row>
    <row r="135" spans="1:11" x14ac:dyDescent="0.25">
      <c r="A135" s="5" t="str">
        <v>CSCO</v>
      </c>
      <c r="B135" s="22">
        <v>1.5774997915111329E-3</v>
      </c>
      <c r="C135" s="22">
        <v>1.9649524016872913E-3</v>
      </c>
      <c r="D135" s="22">
        <v>2.3094537701590658E-3</v>
      </c>
      <c r="E135" s="22">
        <v>1.0739788196399941E-3</v>
      </c>
      <c r="F135" s="22">
        <v>3.3218518576050818E-3</v>
      </c>
      <c r="G135" s="22">
        <v>1.3902975153103933E-3</v>
      </c>
      <c r="H135" s="22">
        <v>8.9955091117386969E-4</v>
      </c>
      <c r="I135" s="22">
        <v>5.4129352053626663E-4</v>
      </c>
      <c r="J135" s="22">
        <v>4.3457987456630212E-4</v>
      </c>
      <c r="K135" s="22">
        <v>1.6764310157284135E-3</v>
      </c>
    </row>
    <row r="136" spans="1:11" x14ac:dyDescent="0.25">
      <c r="A136" s="5" t="str">
        <v>JPM</v>
      </c>
      <c r="B136" s="22">
        <v>1.5631206370355559E-3</v>
      </c>
      <c r="C136" s="22">
        <v>5.5133819484517934E-4</v>
      </c>
      <c r="D136" s="22">
        <v>1.3592205598723917E-3</v>
      </c>
      <c r="E136" s="22">
        <v>1.4287749413000735E-3</v>
      </c>
      <c r="F136" s="22">
        <v>1.3902975153103933E-3</v>
      </c>
      <c r="G136" s="22">
        <v>3.1521405829566568E-3</v>
      </c>
      <c r="H136" s="22">
        <v>7.8975897955210685E-4</v>
      </c>
      <c r="I136" s="22">
        <v>9.2640357180509959E-4</v>
      </c>
      <c r="J136" s="22">
        <v>1.7465697848004859E-4</v>
      </c>
      <c r="K136" s="22">
        <v>3.9101198307962366E-3</v>
      </c>
    </row>
    <row r="137" spans="1:11" x14ac:dyDescent="0.25">
      <c r="A137" s="5" t="str">
        <v>GOOG</v>
      </c>
      <c r="B137" s="22">
        <v>1.8708174767195331E-3</v>
      </c>
      <c r="C137" s="22">
        <v>1.1712483209234284E-3</v>
      </c>
      <c r="D137" s="22">
        <v>3.1750899545182417E-3</v>
      </c>
      <c r="E137" s="22">
        <v>7.446677798086099E-4</v>
      </c>
      <c r="F137" s="22">
        <v>8.9955091117386969E-4</v>
      </c>
      <c r="G137" s="22">
        <v>7.8975897955210685E-4</v>
      </c>
      <c r="H137" s="22">
        <v>3.1820996499091754E-3</v>
      </c>
      <c r="I137" s="22">
        <v>3.4703148748063694E-4</v>
      </c>
      <c r="J137" s="22">
        <v>7.1553530279177798E-5</v>
      </c>
      <c r="K137" s="22">
        <v>1.461396162598624E-3</v>
      </c>
    </row>
    <row r="138" spans="1:11" x14ac:dyDescent="0.25">
      <c r="A138" s="5" t="str">
        <v>XOM</v>
      </c>
      <c r="B138" s="22">
        <v>8.5586818448297704E-4</v>
      </c>
      <c r="C138" s="22">
        <v>1.876326426893075E-4</v>
      </c>
      <c r="D138" s="22">
        <v>7.7855052899670953E-4</v>
      </c>
      <c r="E138" s="22">
        <v>9.5386365878548048E-4</v>
      </c>
      <c r="F138" s="22">
        <v>5.4129352053626663E-4</v>
      </c>
      <c r="G138" s="22">
        <v>9.2640357180509959E-4</v>
      </c>
      <c r="H138" s="22">
        <v>3.4703148748063694E-4</v>
      </c>
      <c r="I138" s="22">
        <v>2.2947439691668506E-3</v>
      </c>
      <c r="J138" s="22">
        <v>3.5758503639108969E-4</v>
      </c>
      <c r="K138" s="22">
        <v>1.0036044827567902E-3</v>
      </c>
    </row>
    <row r="139" spans="1:11" x14ac:dyDescent="0.25">
      <c r="A139" s="5" t="str">
        <v>PG</v>
      </c>
      <c r="B139" s="22">
        <v>4.8924886064409968E-4</v>
      </c>
      <c r="C139" s="22">
        <v>3.8012689855759942E-4</v>
      </c>
      <c r="D139" s="22">
        <v>-3.2055386451353558E-4</v>
      </c>
      <c r="E139" s="22">
        <v>4.7965938398864476E-4</v>
      </c>
      <c r="F139" s="22">
        <v>4.3457987456630212E-4</v>
      </c>
      <c r="G139" s="22">
        <v>1.7465697848004859E-4</v>
      </c>
      <c r="H139" s="22">
        <v>7.1553530279177798E-5</v>
      </c>
      <c r="I139" s="22">
        <v>3.5758503639108969E-4</v>
      </c>
      <c r="J139" s="22">
        <v>1.6171459551559456E-3</v>
      </c>
      <c r="K139" s="22">
        <v>9.5324902763630124E-5</v>
      </c>
    </row>
    <row r="140" spans="1:11" x14ac:dyDescent="0.25">
      <c r="A140" s="5" t="str">
        <v>BAC</v>
      </c>
      <c r="B140" s="22">
        <v>2.0556490513062337E-3</v>
      </c>
      <c r="C140" s="22">
        <v>6.7562391563497299E-4</v>
      </c>
      <c r="D140" s="22">
        <v>2.197767840550896E-3</v>
      </c>
      <c r="E140" s="22">
        <v>1.6380512911954278E-3</v>
      </c>
      <c r="F140" s="22">
        <v>1.6764310157284135E-3</v>
      </c>
      <c r="G140" s="22">
        <v>3.9101198307962366E-3</v>
      </c>
      <c r="H140" s="22">
        <v>1.461396162598624E-3</v>
      </c>
      <c r="I140" s="22">
        <v>1.0036044827567902E-3</v>
      </c>
      <c r="J140" s="22">
        <v>9.5324902763630124E-5</v>
      </c>
      <c r="K140" s="22">
        <v>5.7544842351490294E-3</v>
      </c>
    </row>
    <row r="142" spans="1:11" x14ac:dyDescent="0.25">
      <c r="D142" s="14" t="str">
        <f ca="1">_xlfn.FORMULATEXT(B131)</f>
        <v>{=MMULT(TRANSPOSE(B68:K127),B68:K127)/59}</v>
      </c>
    </row>
  </sheetData>
  <mergeCells count="3">
    <mergeCell ref="A1:L1"/>
    <mergeCell ref="A129:K129"/>
    <mergeCell ref="A66:K66"/>
  </mergeCells>
  <printOptions headings="1" gridLines="1"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13"/>
  <sheetViews>
    <sheetView zoomScale="120" zoomScaleNormal="120" workbookViewId="0">
      <selection activeCell="F8" sqref="F8"/>
    </sheetView>
  </sheetViews>
  <sheetFormatPr defaultColWidth="8.75" defaultRowHeight="15" x14ac:dyDescent="0.25"/>
  <cols>
    <col min="1" max="1" width="8.75" style="1" bestFit="1" customWidth="1"/>
    <col min="2" max="11" width="6.5" style="1" customWidth="1"/>
    <col min="12" max="12" width="19.25" style="1" customWidth="1"/>
    <col min="13" max="16384" width="8.75" style="1"/>
  </cols>
  <sheetData>
    <row r="1" spans="1:12" ht="18.75" x14ac:dyDescent="0.3">
      <c r="A1" s="47" t="s">
        <v>36</v>
      </c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</row>
    <row r="2" spans="1:12" x14ac:dyDescent="0.25">
      <c r="B2" s="48" t="s">
        <v>35</v>
      </c>
      <c r="C2" s="48"/>
      <c r="D2" s="48"/>
      <c r="E2" s="48"/>
      <c r="F2" s="48"/>
      <c r="G2" s="48"/>
      <c r="H2" s="48"/>
      <c r="I2" s="48"/>
      <c r="J2" s="48"/>
      <c r="K2" s="48"/>
    </row>
    <row r="3" spans="1:12" x14ac:dyDescent="0.25">
      <c r="B3" s="5" t="str">
        <f>'5y 10 stocks Returns'!B130</f>
        <v>MSFT</v>
      </c>
      <c r="C3" s="5" t="str">
        <f>'5y 10 stocks Returns'!C130</f>
        <v>AAPL</v>
      </c>
      <c r="D3" s="5" t="str">
        <f>'5y 10 stocks Returns'!D130</f>
        <v>AMZN</v>
      </c>
      <c r="E3" s="5" t="str">
        <f>'5y 10 stocks Returns'!E130</f>
        <v>DIS</v>
      </c>
      <c r="F3" s="5" t="str">
        <f>'5y 10 stocks Returns'!F130</f>
        <v>CSCO</v>
      </c>
      <c r="G3" s="5" t="str">
        <f>'5y 10 stocks Returns'!G130</f>
        <v>JPM</v>
      </c>
      <c r="H3" s="5" t="str">
        <f>'5y 10 stocks Returns'!H130</f>
        <v>GOOG</v>
      </c>
      <c r="I3" s="5" t="str">
        <f>'5y 10 stocks Returns'!I130</f>
        <v>XOM</v>
      </c>
      <c r="J3" s="5" t="str">
        <f>'5y 10 stocks Returns'!J130</f>
        <v>PG</v>
      </c>
      <c r="K3" s="5" t="str">
        <f>'5y 10 stocks Returns'!K130</f>
        <v>BAC</v>
      </c>
    </row>
    <row r="4" spans="1:12" ht="14.85" customHeight="1" x14ac:dyDescent="0.25">
      <c r="A4" s="5" t="str">
        <f>'5y 10 stocks Returns'!A131</f>
        <v>MSFT</v>
      </c>
      <c r="B4" s="6">
        <f t="array" ref="B4:K13">varcovar('5y 10 stocks Returns'!B3:K62)</f>
        <v>3.4071294076869758E-3</v>
      </c>
      <c r="C4" s="6">
        <v>1.6660402437003734E-3</v>
      </c>
      <c r="D4" s="6">
        <v>2.370907220292521E-3</v>
      </c>
      <c r="E4" s="6">
        <v>1.0243545406566012E-3</v>
      </c>
      <c r="F4" s="6">
        <v>1.5774997915111329E-3</v>
      </c>
      <c r="G4" s="6">
        <v>1.5631206370355559E-3</v>
      </c>
      <c r="H4" s="6">
        <v>1.8708174767195331E-3</v>
      </c>
      <c r="I4" s="6">
        <v>8.5586818448297704E-4</v>
      </c>
      <c r="J4" s="6">
        <v>4.8924886064409968E-4</v>
      </c>
      <c r="K4" s="6">
        <v>2.0556490513062337E-3</v>
      </c>
      <c r="L4" s="49" t="str">
        <f ca="1">"&lt;--"&amp;_xlfn.FORMULATEXT(K4)</f>
        <v>&lt;--{=varcovar('5y 10 stocks Returns'!B3:K62)}</v>
      </c>
    </row>
    <row r="5" spans="1:12" x14ac:dyDescent="0.25">
      <c r="A5" s="5" t="str">
        <f>'5y 10 stocks Returns'!A132</f>
        <v>AAPL</v>
      </c>
      <c r="B5" s="6">
        <v>1.6660402437003734E-3</v>
      </c>
      <c r="C5" s="6">
        <v>5.1590765648409686E-3</v>
      </c>
      <c r="D5" s="6">
        <v>1.8410608261659944E-3</v>
      </c>
      <c r="E5" s="6">
        <v>7.7393245779215733E-4</v>
      </c>
      <c r="F5" s="6">
        <v>1.9649524016872913E-3</v>
      </c>
      <c r="G5" s="6">
        <v>5.5133819484517934E-4</v>
      </c>
      <c r="H5" s="6">
        <v>1.1712483209234284E-3</v>
      </c>
      <c r="I5" s="6">
        <v>1.876326426893075E-4</v>
      </c>
      <c r="J5" s="6">
        <v>3.8012689855759942E-4</v>
      </c>
      <c r="K5" s="6">
        <v>6.7562391563497299E-4</v>
      </c>
      <c r="L5" s="49"/>
    </row>
    <row r="6" spans="1:12" x14ac:dyDescent="0.25">
      <c r="A6" s="5" t="str">
        <f>'5y 10 stocks Returns'!A133</f>
        <v>AMZN</v>
      </c>
      <c r="B6" s="6">
        <v>2.370907220292521E-3</v>
      </c>
      <c r="C6" s="6">
        <v>1.8410608261659944E-3</v>
      </c>
      <c r="D6" s="6">
        <v>6.9062424750401287E-3</v>
      </c>
      <c r="E6" s="6">
        <v>1.4009187299607419E-3</v>
      </c>
      <c r="F6" s="6">
        <v>2.3094537701590658E-3</v>
      </c>
      <c r="G6" s="6">
        <v>1.3592205598723917E-3</v>
      </c>
      <c r="H6" s="6">
        <v>3.1750899545182417E-3</v>
      </c>
      <c r="I6" s="6">
        <v>7.7855052899670953E-4</v>
      </c>
      <c r="J6" s="6">
        <v>-3.2055386451353558E-4</v>
      </c>
      <c r="K6" s="6">
        <v>2.197767840550896E-3</v>
      </c>
      <c r="L6" s="26"/>
    </row>
    <row r="7" spans="1:12" x14ac:dyDescent="0.25">
      <c r="A7" s="5" t="str">
        <f>'5y 10 stocks Returns'!A134</f>
        <v>DIS</v>
      </c>
      <c r="B7" s="6">
        <v>1.0243545406566012E-3</v>
      </c>
      <c r="C7" s="6">
        <v>7.7393245779215733E-4</v>
      </c>
      <c r="D7" s="6">
        <v>1.4009187299607419E-3</v>
      </c>
      <c r="E7" s="6">
        <v>2.4225985245919998E-3</v>
      </c>
      <c r="F7" s="6">
        <v>1.0739788196399941E-3</v>
      </c>
      <c r="G7" s="6">
        <v>1.4287749413000735E-3</v>
      </c>
      <c r="H7" s="6">
        <v>7.446677798086099E-4</v>
      </c>
      <c r="I7" s="6">
        <v>9.5386365878548048E-4</v>
      </c>
      <c r="J7" s="6">
        <v>4.7965938398864476E-4</v>
      </c>
      <c r="K7" s="6">
        <v>1.6380512911954278E-3</v>
      </c>
      <c r="L7" s="5"/>
    </row>
    <row r="8" spans="1:12" x14ac:dyDescent="0.25">
      <c r="A8" s="5" t="str">
        <f>'5y 10 stocks Returns'!A135</f>
        <v>CSCO</v>
      </c>
      <c r="B8" s="6">
        <v>1.5774997915111329E-3</v>
      </c>
      <c r="C8" s="6">
        <v>1.9649524016872913E-3</v>
      </c>
      <c r="D8" s="6">
        <v>2.3094537701590658E-3</v>
      </c>
      <c r="E8" s="6">
        <v>1.0739788196399941E-3</v>
      </c>
      <c r="F8" s="6">
        <v>3.3218518576050818E-3</v>
      </c>
      <c r="G8" s="6">
        <v>1.3902975153103933E-3</v>
      </c>
      <c r="H8" s="6">
        <v>8.9955091117386969E-4</v>
      </c>
      <c r="I8" s="6">
        <v>5.4129352053626663E-4</v>
      </c>
      <c r="J8" s="6">
        <v>4.3457987456630212E-4</v>
      </c>
      <c r="K8" s="6">
        <v>1.6764310157284135E-3</v>
      </c>
      <c r="L8" s="5"/>
    </row>
    <row r="9" spans="1:12" x14ac:dyDescent="0.25">
      <c r="A9" s="5" t="str">
        <f>'5y 10 stocks Returns'!A136</f>
        <v>JPM</v>
      </c>
      <c r="B9" s="6">
        <v>1.5631206370355559E-3</v>
      </c>
      <c r="C9" s="6">
        <v>5.5133819484517934E-4</v>
      </c>
      <c r="D9" s="6">
        <v>1.3592205598723917E-3</v>
      </c>
      <c r="E9" s="6">
        <v>1.4287749413000735E-3</v>
      </c>
      <c r="F9" s="6">
        <v>1.3902975153103933E-3</v>
      </c>
      <c r="G9" s="6">
        <v>3.1521405829566568E-3</v>
      </c>
      <c r="H9" s="6">
        <v>7.8975897955210685E-4</v>
      </c>
      <c r="I9" s="6">
        <v>9.2640357180509959E-4</v>
      </c>
      <c r="J9" s="6">
        <v>1.7465697848004859E-4</v>
      </c>
      <c r="K9" s="6">
        <v>3.9101198307962366E-3</v>
      </c>
      <c r="L9" s="5"/>
    </row>
    <row r="10" spans="1:12" x14ac:dyDescent="0.25">
      <c r="A10" s="5" t="str">
        <f>'5y 10 stocks Returns'!A137</f>
        <v>GOOG</v>
      </c>
      <c r="B10" s="6">
        <v>1.8708174767195331E-3</v>
      </c>
      <c r="C10" s="6">
        <v>1.1712483209234284E-3</v>
      </c>
      <c r="D10" s="6">
        <v>3.1750899545182417E-3</v>
      </c>
      <c r="E10" s="6">
        <v>7.446677798086099E-4</v>
      </c>
      <c r="F10" s="6">
        <v>8.9955091117386969E-4</v>
      </c>
      <c r="G10" s="6">
        <v>7.8975897955210685E-4</v>
      </c>
      <c r="H10" s="6">
        <v>3.1820996499091754E-3</v>
      </c>
      <c r="I10" s="6">
        <v>3.4703148748063694E-4</v>
      </c>
      <c r="J10" s="6">
        <v>7.1553530279177798E-5</v>
      </c>
      <c r="K10" s="6">
        <v>1.461396162598624E-3</v>
      </c>
      <c r="L10" s="5"/>
    </row>
    <row r="11" spans="1:12" x14ac:dyDescent="0.25">
      <c r="A11" s="5" t="str">
        <f>'5y 10 stocks Returns'!A138</f>
        <v>XOM</v>
      </c>
      <c r="B11" s="6">
        <v>8.5586818448297704E-4</v>
      </c>
      <c r="C11" s="6">
        <v>1.876326426893075E-4</v>
      </c>
      <c r="D11" s="6">
        <v>7.7855052899670953E-4</v>
      </c>
      <c r="E11" s="6">
        <v>9.5386365878548048E-4</v>
      </c>
      <c r="F11" s="6">
        <v>5.4129352053626663E-4</v>
      </c>
      <c r="G11" s="6">
        <v>9.2640357180509959E-4</v>
      </c>
      <c r="H11" s="6">
        <v>3.4703148748063694E-4</v>
      </c>
      <c r="I11" s="6">
        <v>2.2947439691668506E-3</v>
      </c>
      <c r="J11" s="6">
        <v>3.5758503639108969E-4</v>
      </c>
      <c r="K11" s="6">
        <v>1.0036044827567902E-3</v>
      </c>
      <c r="L11" s="5"/>
    </row>
    <row r="12" spans="1:12" x14ac:dyDescent="0.25">
      <c r="A12" s="5" t="str">
        <f>'5y 10 stocks Returns'!A139</f>
        <v>PG</v>
      </c>
      <c r="B12" s="6">
        <v>4.8924886064409968E-4</v>
      </c>
      <c r="C12" s="6">
        <v>3.8012689855759942E-4</v>
      </c>
      <c r="D12" s="6">
        <v>-3.2055386451353558E-4</v>
      </c>
      <c r="E12" s="6">
        <v>4.7965938398864476E-4</v>
      </c>
      <c r="F12" s="6">
        <v>4.3457987456630212E-4</v>
      </c>
      <c r="G12" s="6">
        <v>1.7465697848004859E-4</v>
      </c>
      <c r="H12" s="6">
        <v>7.1553530279177798E-5</v>
      </c>
      <c r="I12" s="6">
        <v>3.5758503639108969E-4</v>
      </c>
      <c r="J12" s="6">
        <v>1.6171459551559456E-3</v>
      </c>
      <c r="K12" s="6">
        <v>9.5324902763630124E-5</v>
      </c>
      <c r="L12" s="5"/>
    </row>
    <row r="13" spans="1:12" x14ac:dyDescent="0.25">
      <c r="A13" s="5" t="str">
        <f>'5y 10 stocks Returns'!A140</f>
        <v>BAC</v>
      </c>
      <c r="B13" s="6">
        <v>2.0556490513062337E-3</v>
      </c>
      <c r="C13" s="6">
        <v>6.7562391563497299E-4</v>
      </c>
      <c r="D13" s="6">
        <v>2.197767840550896E-3</v>
      </c>
      <c r="E13" s="6">
        <v>1.6380512911954278E-3</v>
      </c>
      <c r="F13" s="6">
        <v>1.6764310157284135E-3</v>
      </c>
      <c r="G13" s="6">
        <v>3.9101198307962366E-3</v>
      </c>
      <c r="H13" s="6">
        <v>1.461396162598624E-3</v>
      </c>
      <c r="I13" s="6">
        <v>1.0036044827567902E-3</v>
      </c>
      <c r="J13" s="6">
        <v>9.5324902763630124E-5</v>
      </c>
      <c r="K13" s="6">
        <v>5.7544842351490294E-3</v>
      </c>
      <c r="L13" s="5"/>
    </row>
  </sheetData>
  <mergeCells count="3">
    <mergeCell ref="A1:L1"/>
    <mergeCell ref="B2:K2"/>
    <mergeCell ref="L4:L5"/>
  </mergeCells>
  <printOptions headings="1" gridLines="1"/>
  <pageMargins left="0.7" right="0.7" top="0.75" bottom="0.75" header="0.3" footer="0.3"/>
  <pageSetup paperSize="9" orientation="portrait" verticalDpi="4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36"/>
  <sheetViews>
    <sheetView topLeftCell="A7" zoomScale="120" zoomScaleNormal="120" workbookViewId="0">
      <selection activeCell="B28" sqref="B28:K28"/>
    </sheetView>
  </sheetViews>
  <sheetFormatPr defaultColWidth="8.75" defaultRowHeight="15" x14ac:dyDescent="0.25"/>
  <cols>
    <col min="1" max="1" width="9.625" style="1" customWidth="1"/>
    <col min="2" max="6" width="6.5" style="1" customWidth="1"/>
    <col min="7" max="7" width="10.625" style="1" bestFit="1" customWidth="1"/>
    <col min="8" max="11" width="6.5" style="1" customWidth="1"/>
    <col min="12" max="12" width="19.25" style="1" customWidth="1"/>
    <col min="13" max="16384" width="8.75" style="1"/>
  </cols>
  <sheetData>
    <row r="1" spans="1:12" ht="18.75" x14ac:dyDescent="0.3">
      <c r="A1" s="47" t="s">
        <v>38</v>
      </c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</row>
    <row r="2" spans="1:12" x14ac:dyDescent="0.25">
      <c r="B2" s="48" t="s">
        <v>37</v>
      </c>
      <c r="C2" s="48"/>
      <c r="D2" s="48"/>
      <c r="E2" s="48"/>
      <c r="F2" s="48"/>
      <c r="G2" s="48"/>
      <c r="H2" s="48"/>
      <c r="I2" s="48"/>
      <c r="J2" s="48"/>
      <c r="K2" s="48"/>
    </row>
    <row r="3" spans="1:12" x14ac:dyDescent="0.25">
      <c r="B3" s="5" t="str">
        <f>'VBA Var-Cov'!B3</f>
        <v>MSFT</v>
      </c>
      <c r="C3" s="5" t="str">
        <f>'VBA Var-Cov'!C3</f>
        <v>AAPL</v>
      </c>
      <c r="D3" s="5" t="str">
        <f>'VBA Var-Cov'!D3</f>
        <v>AMZN</v>
      </c>
      <c r="E3" s="5" t="str">
        <f>'VBA Var-Cov'!E3</f>
        <v>DIS</v>
      </c>
      <c r="F3" s="5" t="str">
        <f>'VBA Var-Cov'!F3</f>
        <v>CSCO</v>
      </c>
      <c r="G3" s="5" t="str">
        <f>'VBA Var-Cov'!G3</f>
        <v>JPM</v>
      </c>
      <c r="H3" s="5" t="str">
        <f>'VBA Var-Cov'!H3</f>
        <v>GOOG</v>
      </c>
      <c r="I3" s="5" t="str">
        <f>'VBA Var-Cov'!I3</f>
        <v>XOM</v>
      </c>
      <c r="J3" s="5" t="str">
        <f>'VBA Var-Cov'!J3</f>
        <v>PG</v>
      </c>
      <c r="K3" s="5" t="str">
        <f>'VBA Var-Cov'!K3</f>
        <v>BAC</v>
      </c>
    </row>
    <row r="4" spans="1:12" x14ac:dyDescent="0.25">
      <c r="A4" s="5" t="str">
        <f>'VBA Var-Cov'!A4</f>
        <v>MSFT</v>
      </c>
      <c r="B4" s="6">
        <f t="array" ref="B4:K13">CorrMatrix('5y 10 stocks Returns'!B3:K62)</f>
        <v>0.99999999999999989</v>
      </c>
      <c r="C4" s="6">
        <v>0.39737925077399133</v>
      </c>
      <c r="D4" s="6">
        <v>0.4887641387494075</v>
      </c>
      <c r="E4" s="6">
        <v>0.3565457451712733</v>
      </c>
      <c r="F4" s="6">
        <v>0.46890500216093184</v>
      </c>
      <c r="G4" s="6">
        <v>0.47697475450889482</v>
      </c>
      <c r="H4" s="6">
        <v>0.56817250814935194</v>
      </c>
      <c r="I4" s="6">
        <v>0.30608739791277911</v>
      </c>
      <c r="J4" s="6">
        <v>0.20843032179390938</v>
      </c>
      <c r="K4" s="6">
        <v>0.46424951139319298</v>
      </c>
      <c r="L4" s="50" t="str">
        <f ca="1">"&lt;--"&amp;_xlfn.FORMULATEXT(K4)</f>
        <v>&lt;--{=CorrMatrix('5y 10 stocks Returns'!B3:K62)}</v>
      </c>
    </row>
    <row r="5" spans="1:12" x14ac:dyDescent="0.25">
      <c r="A5" s="5" t="str">
        <f>'VBA Var-Cov'!A5</f>
        <v>AAPL</v>
      </c>
      <c r="B5" s="6">
        <v>0.39737925077399133</v>
      </c>
      <c r="C5" s="6">
        <v>1</v>
      </c>
      <c r="D5" s="6">
        <v>0.30843328512202273</v>
      </c>
      <c r="E5" s="6">
        <v>0.21891541822592372</v>
      </c>
      <c r="F5" s="6">
        <v>0.47465265857216915</v>
      </c>
      <c r="G5" s="6">
        <v>0.13671913567543359</v>
      </c>
      <c r="H5" s="6">
        <v>0.28907205297711502</v>
      </c>
      <c r="I5" s="6">
        <v>5.4532485203857277E-2</v>
      </c>
      <c r="J5" s="6">
        <v>0.13160367173621576</v>
      </c>
      <c r="K5" s="6">
        <v>0.12399832691546961</v>
      </c>
      <c r="L5" s="50"/>
    </row>
    <row r="6" spans="1:12" x14ac:dyDescent="0.25">
      <c r="A6" s="5" t="str">
        <f>'VBA Var-Cov'!A6</f>
        <v>AMZN</v>
      </c>
      <c r="B6" s="6">
        <v>0.4887641387494075</v>
      </c>
      <c r="C6" s="8">
        <v>0.30843328512202273</v>
      </c>
      <c r="D6" s="8">
        <v>1</v>
      </c>
      <c r="E6" s="8">
        <v>0.34249268993015386</v>
      </c>
      <c r="F6" s="8">
        <v>0.48216783070391273</v>
      </c>
      <c r="G6" s="8">
        <v>0.29131727229128318</v>
      </c>
      <c r="H6" s="8">
        <v>0.67729556991830742</v>
      </c>
      <c r="I6" s="8">
        <v>0.19556844132793239</v>
      </c>
      <c r="J6" s="6">
        <v>-9.5919188638660252E-2</v>
      </c>
      <c r="K6" s="6">
        <v>0.34862433653315039</v>
      </c>
    </row>
    <row r="7" spans="1:12" x14ac:dyDescent="0.25">
      <c r="A7" s="5" t="str">
        <f>'VBA Var-Cov'!A7</f>
        <v>DIS</v>
      </c>
      <c r="B7" s="6">
        <v>0.3565457451712733</v>
      </c>
      <c r="C7" s="8">
        <v>0.21891541822592372</v>
      </c>
      <c r="D7" s="8">
        <v>0.34249268993015386</v>
      </c>
      <c r="E7" s="8">
        <v>1.0000000000000002</v>
      </c>
      <c r="F7" s="8">
        <v>0.37858627216510504</v>
      </c>
      <c r="G7" s="8">
        <v>0.51703543835331944</v>
      </c>
      <c r="H7" s="8">
        <v>0.26820381505175028</v>
      </c>
      <c r="I7" s="8">
        <v>0.40455582631612708</v>
      </c>
      <c r="J7" s="6">
        <v>0.24233581954866926</v>
      </c>
      <c r="K7" s="6">
        <v>0.4387160974438003</v>
      </c>
    </row>
    <row r="8" spans="1:12" x14ac:dyDescent="0.25">
      <c r="A8" s="5" t="str">
        <f>'VBA Var-Cov'!A8</f>
        <v>CSCO</v>
      </c>
      <c r="B8" s="6">
        <v>0.46890500216093184</v>
      </c>
      <c r="C8" s="8">
        <v>0.47465265857216915</v>
      </c>
      <c r="D8" s="8">
        <v>0.48216783070391273</v>
      </c>
      <c r="E8" s="8">
        <v>0.37858627216510504</v>
      </c>
      <c r="F8" s="8">
        <v>0.99999999999999989</v>
      </c>
      <c r="G8" s="8">
        <v>0.42965001083951865</v>
      </c>
      <c r="H8" s="8">
        <v>0.27668061324904758</v>
      </c>
      <c r="I8" s="8">
        <v>0.19605394228513207</v>
      </c>
      <c r="J8" s="6">
        <v>0.18750155358246773</v>
      </c>
      <c r="K8" s="6">
        <v>0.38343553124827351</v>
      </c>
    </row>
    <row r="9" spans="1:12" x14ac:dyDescent="0.25">
      <c r="A9" s="5" t="str">
        <f>'VBA Var-Cov'!A9</f>
        <v>JPM</v>
      </c>
      <c r="B9" s="6">
        <v>0.47697475450889482</v>
      </c>
      <c r="C9" s="8">
        <v>0.13671913567543359</v>
      </c>
      <c r="D9" s="8">
        <v>0.29131727229128318</v>
      </c>
      <c r="E9" s="8">
        <v>0.51703543835331944</v>
      </c>
      <c r="F9" s="8">
        <v>0.42965001083951865</v>
      </c>
      <c r="G9" s="8">
        <v>1</v>
      </c>
      <c r="H9" s="8">
        <v>0.24936465437091299</v>
      </c>
      <c r="I9" s="8">
        <v>0.34445327082470778</v>
      </c>
      <c r="J9" s="6">
        <v>7.7358589773370318E-2</v>
      </c>
      <c r="K9" s="6">
        <v>0.91808750254011162</v>
      </c>
    </row>
    <row r="10" spans="1:12" x14ac:dyDescent="0.25">
      <c r="A10" s="5" t="str">
        <f>'VBA Var-Cov'!A10</f>
        <v>GOOG</v>
      </c>
      <c r="B10" s="6">
        <v>0.56817250814935194</v>
      </c>
      <c r="C10" s="8">
        <v>0.28907205297711502</v>
      </c>
      <c r="D10" s="8">
        <v>0.67729556991830742</v>
      </c>
      <c r="E10" s="8">
        <v>0.26820381505175028</v>
      </c>
      <c r="F10" s="8">
        <v>0.27668061324904758</v>
      </c>
      <c r="G10" s="8">
        <v>0.24936465437091299</v>
      </c>
      <c r="H10" s="8">
        <v>1</v>
      </c>
      <c r="I10" s="8">
        <v>0.12842361043616138</v>
      </c>
      <c r="J10" s="6">
        <v>3.1542751053480977E-2</v>
      </c>
      <c r="K10" s="6">
        <v>0.34151349719624313</v>
      </c>
    </row>
    <row r="11" spans="1:12" x14ac:dyDescent="0.25">
      <c r="A11" s="5" t="str">
        <f>'VBA Var-Cov'!A11</f>
        <v>XOM</v>
      </c>
      <c r="B11" s="6">
        <v>0.30608739791277911</v>
      </c>
      <c r="C11" s="6">
        <v>5.4532485203857277E-2</v>
      </c>
      <c r="D11" s="6">
        <v>0.19556844132793239</v>
      </c>
      <c r="E11" s="6">
        <v>0.40455582631612708</v>
      </c>
      <c r="F11" s="6">
        <v>0.19605394228513207</v>
      </c>
      <c r="G11" s="6">
        <v>0.34445327082470778</v>
      </c>
      <c r="H11" s="6">
        <v>0.12842361043616138</v>
      </c>
      <c r="I11" s="6">
        <v>1.0000000000000002</v>
      </c>
      <c r="J11" s="6">
        <v>0.18562548821130528</v>
      </c>
      <c r="K11" s="6">
        <v>0.27618002945969566</v>
      </c>
    </row>
    <row r="12" spans="1:12" x14ac:dyDescent="0.25">
      <c r="A12" s="5" t="str">
        <f>'VBA Var-Cov'!A12</f>
        <v>PG</v>
      </c>
      <c r="B12" s="6">
        <v>0.20843032179390938</v>
      </c>
      <c r="C12" s="6">
        <v>0.13160367173621576</v>
      </c>
      <c r="D12" s="6">
        <v>-9.5919188638660252E-2</v>
      </c>
      <c r="E12" s="6">
        <v>0.24233581954866926</v>
      </c>
      <c r="F12" s="6">
        <v>0.18750155358246773</v>
      </c>
      <c r="G12" s="6">
        <v>7.7358589773370318E-2</v>
      </c>
      <c r="H12" s="6">
        <v>3.1542751053480977E-2</v>
      </c>
      <c r="I12" s="6">
        <v>0.18562548821130528</v>
      </c>
      <c r="J12" s="6">
        <v>1.0000000000000002</v>
      </c>
      <c r="K12" s="6">
        <v>3.1248455689962703E-2</v>
      </c>
    </row>
    <row r="13" spans="1:12" x14ac:dyDescent="0.25">
      <c r="A13" s="5" t="str">
        <f>'VBA Var-Cov'!A13</f>
        <v>BAC</v>
      </c>
      <c r="B13" s="6">
        <v>0.46424951139319298</v>
      </c>
      <c r="C13" s="6">
        <v>0.12399832691546961</v>
      </c>
      <c r="D13" s="6">
        <v>0.34862433653315039</v>
      </c>
      <c r="E13" s="6">
        <v>0.4387160974438003</v>
      </c>
      <c r="F13" s="6">
        <v>0.38343553124827351</v>
      </c>
      <c r="G13" s="6">
        <v>0.91808750254011162</v>
      </c>
      <c r="H13" s="6">
        <v>0.34151349719624313</v>
      </c>
      <c r="I13" s="6">
        <v>0.27618002945969566</v>
      </c>
      <c r="J13" s="6">
        <v>3.1248455689962703E-2</v>
      </c>
      <c r="K13" s="6">
        <v>1.0000000000000002</v>
      </c>
    </row>
    <row r="14" spans="1:12" x14ac:dyDescent="0.25">
      <c r="A14" s="5"/>
      <c r="B14" s="6"/>
      <c r="C14" s="6"/>
      <c r="D14" s="6"/>
      <c r="E14" s="6"/>
      <c r="F14" s="6"/>
      <c r="G14" s="6"/>
      <c r="H14" s="6"/>
      <c r="I14" s="6"/>
      <c r="J14" s="6"/>
      <c r="K14" s="6"/>
    </row>
    <row r="15" spans="1:12" x14ac:dyDescent="0.25">
      <c r="B15" s="48" t="s">
        <v>39</v>
      </c>
      <c r="C15" s="48"/>
      <c r="D15" s="48"/>
      <c r="E15" s="48"/>
      <c r="F15" s="48"/>
      <c r="G15" s="48"/>
      <c r="H15" s="48"/>
      <c r="I15" s="48"/>
      <c r="J15" s="48"/>
      <c r="K15" s="48"/>
    </row>
    <row r="16" spans="1:12" x14ac:dyDescent="0.25">
      <c r="B16" s="5" t="str">
        <f>B3</f>
        <v>MSFT</v>
      </c>
      <c r="C16" s="5" t="str">
        <f t="shared" ref="C16:K16" si="0">C3</f>
        <v>AAPL</v>
      </c>
      <c r="D16" s="5" t="str">
        <f t="shared" si="0"/>
        <v>AMZN</v>
      </c>
      <c r="E16" s="5" t="str">
        <f t="shared" si="0"/>
        <v>DIS</v>
      </c>
      <c r="F16" s="5" t="str">
        <f t="shared" si="0"/>
        <v>CSCO</v>
      </c>
      <c r="G16" s="5" t="str">
        <f t="shared" si="0"/>
        <v>JPM</v>
      </c>
      <c r="H16" s="5" t="str">
        <f t="shared" si="0"/>
        <v>GOOG</v>
      </c>
      <c r="I16" s="5" t="str">
        <f t="shared" si="0"/>
        <v>XOM</v>
      </c>
      <c r="J16" s="5" t="str">
        <f t="shared" si="0"/>
        <v>PG</v>
      </c>
      <c r="K16" s="5" t="str">
        <f t="shared" si="0"/>
        <v>BAC</v>
      </c>
    </row>
    <row r="17" spans="1:12" ht="14.85" customHeight="1" x14ac:dyDescent="0.25">
      <c r="A17" s="5" t="str">
        <f t="shared" ref="A17:A26" si="1">A4</f>
        <v>MSFT</v>
      </c>
      <c r="B17" s="6">
        <f t="array" ref="B17:K26">CorrMatrixTriangular('5y 10 stocks Returns'!B3:K62)</f>
        <v>0.99999999999999989</v>
      </c>
      <c r="C17" s="6">
        <v>0.39737925077399133</v>
      </c>
      <c r="D17" s="6">
        <v>0.4887641387494075</v>
      </c>
      <c r="E17" s="6">
        <v>0.3565457451712733</v>
      </c>
      <c r="F17" s="6">
        <v>0.46890500216093184</v>
      </c>
      <c r="G17" s="6">
        <v>0.47697475450889482</v>
      </c>
      <c r="H17" s="6">
        <v>0.56817250814935194</v>
      </c>
      <c r="I17" s="6">
        <v>0.30608739791277911</v>
      </c>
      <c r="J17" s="6">
        <v>0.20843032179390938</v>
      </c>
      <c r="K17" s="6">
        <v>0.46424951139319298</v>
      </c>
      <c r="L17" s="50" t="str">
        <f ca="1">"&lt;--"&amp;_xlfn.FORMULATEXT(K17)</f>
        <v>&lt;--{=CorrMatrixTriangular('5y 10 stocks Returns'!B3:K62)}</v>
      </c>
    </row>
    <row r="18" spans="1:12" x14ac:dyDescent="0.25">
      <c r="A18" s="5" t="str">
        <f t="shared" si="1"/>
        <v>AAPL</v>
      </c>
      <c r="B18" s="6" t="str">
        <v/>
      </c>
      <c r="C18" s="6">
        <v>1</v>
      </c>
      <c r="D18" s="6">
        <v>0.30843328512202273</v>
      </c>
      <c r="E18" s="6">
        <v>0.21891541822592372</v>
      </c>
      <c r="F18" s="6">
        <v>0.47465265857216915</v>
      </c>
      <c r="G18" s="6">
        <v>0.13671913567543359</v>
      </c>
      <c r="H18" s="6">
        <v>0.28907205297711502</v>
      </c>
      <c r="I18" s="6">
        <v>5.4532485203857277E-2</v>
      </c>
      <c r="J18" s="6">
        <v>0.13160367173621576</v>
      </c>
      <c r="K18" s="6">
        <v>0.12399832691546961</v>
      </c>
      <c r="L18" s="50"/>
    </row>
    <row r="19" spans="1:12" x14ac:dyDescent="0.25">
      <c r="A19" s="5" t="str">
        <f t="shared" si="1"/>
        <v>AMZN</v>
      </c>
      <c r="B19" s="6" t="str">
        <v/>
      </c>
      <c r="C19" s="8" t="str">
        <v/>
      </c>
      <c r="D19" s="8">
        <v>1</v>
      </c>
      <c r="E19" s="8">
        <v>0.34249268993015386</v>
      </c>
      <c r="F19" s="8">
        <v>0.48216783070391273</v>
      </c>
      <c r="G19" s="8">
        <v>0.29131727229128318</v>
      </c>
      <c r="H19" s="8">
        <v>0.67729556991830742</v>
      </c>
      <c r="I19" s="8">
        <v>0.19556844132793239</v>
      </c>
      <c r="J19" s="6">
        <v>-9.5919188638660252E-2</v>
      </c>
      <c r="K19" s="6">
        <v>0.34862433653315039</v>
      </c>
      <c r="L19" s="50"/>
    </row>
    <row r="20" spans="1:12" x14ac:dyDescent="0.25">
      <c r="A20" s="5" t="str">
        <f t="shared" si="1"/>
        <v>DIS</v>
      </c>
      <c r="B20" s="6" t="str">
        <v/>
      </c>
      <c r="C20" s="8" t="str">
        <v/>
      </c>
      <c r="D20" s="8" t="str">
        <v/>
      </c>
      <c r="E20" s="8">
        <v>1.0000000000000002</v>
      </c>
      <c r="F20" s="8">
        <v>0.37858627216510504</v>
      </c>
      <c r="G20" s="8">
        <v>0.51703543835331944</v>
      </c>
      <c r="H20" s="8">
        <v>0.26820381505175028</v>
      </c>
      <c r="I20" s="8">
        <v>0.40455582631612708</v>
      </c>
      <c r="J20" s="6">
        <v>0.24233581954866926</v>
      </c>
      <c r="K20" s="6">
        <v>0.4387160974438003</v>
      </c>
    </row>
    <row r="21" spans="1:12" x14ac:dyDescent="0.25">
      <c r="A21" s="5" t="str">
        <f t="shared" si="1"/>
        <v>CSCO</v>
      </c>
      <c r="B21" s="6" t="str">
        <v/>
      </c>
      <c r="C21" s="8" t="str">
        <v/>
      </c>
      <c r="D21" s="8" t="str">
        <v/>
      </c>
      <c r="E21" s="8" t="str">
        <v/>
      </c>
      <c r="F21" s="8">
        <v>0.99999999999999989</v>
      </c>
      <c r="G21" s="8">
        <v>0.42965001083951865</v>
      </c>
      <c r="H21" s="8">
        <v>0.27668061324904758</v>
      </c>
      <c r="I21" s="8">
        <v>0.19605394228513207</v>
      </c>
      <c r="J21" s="6">
        <v>0.18750155358246773</v>
      </c>
      <c r="K21" s="6">
        <v>0.38343553124827351</v>
      </c>
    </row>
    <row r="22" spans="1:12" x14ac:dyDescent="0.25">
      <c r="A22" s="5" t="str">
        <f t="shared" si="1"/>
        <v>JPM</v>
      </c>
      <c r="B22" s="6" t="str">
        <v/>
      </c>
      <c r="C22" s="8" t="str">
        <v/>
      </c>
      <c r="D22" s="8" t="str">
        <v/>
      </c>
      <c r="E22" s="8" t="str">
        <v/>
      </c>
      <c r="F22" s="8" t="str">
        <v/>
      </c>
      <c r="G22" s="8">
        <v>1</v>
      </c>
      <c r="H22" s="8">
        <v>0.24936465437091299</v>
      </c>
      <c r="I22" s="8">
        <v>0.34445327082470778</v>
      </c>
      <c r="J22" s="6">
        <v>7.7358589773370318E-2</v>
      </c>
      <c r="K22" s="6">
        <v>0.91808750254011162</v>
      </c>
    </row>
    <row r="23" spans="1:12" x14ac:dyDescent="0.25">
      <c r="A23" s="5" t="str">
        <f t="shared" si="1"/>
        <v>GOOG</v>
      </c>
      <c r="B23" s="6" t="str">
        <v/>
      </c>
      <c r="C23" s="8" t="str">
        <v/>
      </c>
      <c r="D23" s="8" t="str">
        <v/>
      </c>
      <c r="E23" s="8" t="str">
        <v/>
      </c>
      <c r="F23" s="8" t="str">
        <v/>
      </c>
      <c r="G23" s="8" t="str">
        <v/>
      </c>
      <c r="H23" s="8">
        <v>1</v>
      </c>
      <c r="I23" s="8">
        <v>0.12842361043616138</v>
      </c>
      <c r="J23" s="6">
        <v>3.1542751053480977E-2</v>
      </c>
      <c r="K23" s="6">
        <v>0.34151349719624313</v>
      </c>
    </row>
    <row r="24" spans="1:12" x14ac:dyDescent="0.25">
      <c r="A24" s="5" t="str">
        <f t="shared" si="1"/>
        <v>XOM</v>
      </c>
      <c r="B24" s="6" t="str">
        <v/>
      </c>
      <c r="C24" s="6" t="str">
        <v/>
      </c>
      <c r="D24" s="6" t="str">
        <v/>
      </c>
      <c r="E24" s="6" t="str">
        <v/>
      </c>
      <c r="F24" s="6" t="str">
        <v/>
      </c>
      <c r="G24" s="6" t="str">
        <v/>
      </c>
      <c r="H24" s="6" t="str">
        <v/>
      </c>
      <c r="I24" s="6">
        <v>1.0000000000000002</v>
      </c>
      <c r="J24" s="6">
        <v>0.18562548821130528</v>
      </c>
      <c r="K24" s="6">
        <v>0.27618002945969566</v>
      </c>
    </row>
    <row r="25" spans="1:12" x14ac:dyDescent="0.25">
      <c r="A25" s="5" t="str">
        <f t="shared" si="1"/>
        <v>PG</v>
      </c>
      <c r="B25" s="6" t="str">
        <v/>
      </c>
      <c r="C25" s="6" t="str">
        <v/>
      </c>
      <c r="D25" s="6" t="str">
        <v/>
      </c>
      <c r="E25" s="6" t="str">
        <v/>
      </c>
      <c r="F25" s="6" t="str">
        <v/>
      </c>
      <c r="G25" s="6" t="str">
        <v/>
      </c>
      <c r="H25" s="6" t="str">
        <v/>
      </c>
      <c r="I25" s="6" t="str">
        <v/>
      </c>
      <c r="J25" s="6">
        <v>1.0000000000000002</v>
      </c>
      <c r="K25" s="6">
        <v>3.1248455689962703E-2</v>
      </c>
    </row>
    <row r="26" spans="1:12" x14ac:dyDescent="0.25">
      <c r="A26" s="5" t="str">
        <f t="shared" si="1"/>
        <v>BAC</v>
      </c>
      <c r="B26" s="6" t="str">
        <v/>
      </c>
      <c r="C26" s="6" t="str">
        <v/>
      </c>
      <c r="D26" s="6" t="str">
        <v/>
      </c>
      <c r="E26" s="6" t="str">
        <v/>
      </c>
      <c r="F26" s="6" t="str">
        <v/>
      </c>
      <c r="G26" s="6" t="str">
        <v/>
      </c>
      <c r="H26" s="6" t="str">
        <v/>
      </c>
      <c r="I26" s="6" t="str">
        <v/>
      </c>
      <c r="J26" s="6" t="str">
        <v/>
      </c>
      <c r="K26" s="6">
        <v>1.0000000000000002</v>
      </c>
    </row>
    <row r="28" spans="1:12" x14ac:dyDescent="0.25">
      <c r="A28" s="30"/>
      <c r="B28" s="48" t="s">
        <v>13</v>
      </c>
      <c r="C28" s="48"/>
      <c r="D28" s="48"/>
      <c r="E28" s="48"/>
      <c r="F28" s="48"/>
      <c r="G28" s="48"/>
      <c r="H28" s="48"/>
      <c r="I28" s="48"/>
      <c r="J28" s="48"/>
      <c r="K28" s="48"/>
    </row>
    <row r="29" spans="1:12" x14ac:dyDescent="0.25">
      <c r="A29" s="27" t="s">
        <v>10</v>
      </c>
      <c r="B29" s="28">
        <f>AVERAGEIF(B17:K26,"&lt;1")</f>
        <v>0.31158967526104847</v>
      </c>
      <c r="C29" s="29" t="str">
        <f ca="1">"&lt;--"&amp;_xlfn.FORMULATEXT(B29)</f>
        <v>&lt;--=AVERAGEIF(B17:K26,"&lt;1")</v>
      </c>
    </row>
    <row r="30" spans="1:12" x14ac:dyDescent="0.25">
      <c r="A30" s="29" t="s">
        <v>41</v>
      </c>
      <c r="B30" s="28">
        <f t="array" ref="B30">MEDIAN(IF(B17:K26=1,"",B17:K26))</f>
        <v>0.30608739791277911</v>
      </c>
      <c r="C30" s="29" t="str">
        <f ca="1">"&lt;--"&amp;_xlfn.FORMULATEXT(B30)</f>
        <v>&lt;--{=MEDIAN(IF(B17:K26=1,"",B17:K26))}</v>
      </c>
      <c r="F30" s="31"/>
    </row>
    <row r="31" spans="1:12" x14ac:dyDescent="0.25">
      <c r="A31" s="29"/>
      <c r="B31" s="28"/>
      <c r="C31" s="29"/>
    </row>
    <row r="32" spans="1:12" x14ac:dyDescent="0.25">
      <c r="A32" s="29" t="s">
        <v>14</v>
      </c>
      <c r="B32" s="33">
        <f>LARGE(B17:K26,11)</f>
        <v>0.91808750254011162</v>
      </c>
      <c r="C32" s="29" t="str">
        <f ca="1">"&lt;--"&amp;_xlfn.FORMULATEXT(B32)</f>
        <v>&lt;--=LARGE(B17:K26,11)</v>
      </c>
      <c r="G32" s="29" t="s">
        <v>17</v>
      </c>
      <c r="H32" s="33">
        <f>SMALL(B17:K26,1)</f>
        <v>-9.5919188638660252E-2</v>
      </c>
      <c r="I32" s="29" t="str">
        <f ca="1">"&lt;--"&amp;_xlfn.FORMULATEXT(H32)</f>
        <v>&lt;--=SMALL(B17:K26,1)</v>
      </c>
    </row>
    <row r="33" spans="1:9" x14ac:dyDescent="0.25">
      <c r="A33" s="1" t="s">
        <v>15</v>
      </c>
      <c r="B33" s="32">
        <f>LARGE(B17:K26,12)</f>
        <v>0.67729556991830742</v>
      </c>
      <c r="C33" s="1" t="str">
        <f ca="1">"&lt;--"&amp;_xlfn.FORMULATEXT(B33)</f>
        <v>&lt;--=LARGE(B17:K26,12)</v>
      </c>
      <c r="G33" s="1" t="s">
        <v>40</v>
      </c>
      <c r="H33" s="32">
        <f>SMALL(B17:K26,2)</f>
        <v>3.1248455689962703E-2</v>
      </c>
      <c r="I33" s="1" t="str">
        <f ca="1">"&lt;--"&amp;_xlfn.FORMULATEXT(H33)</f>
        <v>&lt;--=SMALL(B17:K26,2)</v>
      </c>
    </row>
    <row r="34" spans="1:9" x14ac:dyDescent="0.25">
      <c r="A34" s="1" t="s">
        <v>16</v>
      </c>
      <c r="B34" s="32">
        <f>LARGE(B17:K26,13)</f>
        <v>0.56817250814935194</v>
      </c>
      <c r="C34" s="1" t="str">
        <f ca="1">"&lt;--"&amp;_xlfn.FORMULATEXT(B34)</f>
        <v>&lt;--=LARGE(B17:K26,13)</v>
      </c>
      <c r="G34" s="1" t="s">
        <v>16</v>
      </c>
      <c r="H34" s="32">
        <f>SMALL(B17:K26,3)</f>
        <v>3.1542751053480977E-2</v>
      </c>
      <c r="I34" s="1" t="str">
        <f ca="1">"&lt;--"&amp;_xlfn.FORMULATEXT(H34)</f>
        <v>&lt;--=SMALL(B17:K26,3)</v>
      </c>
    </row>
    <row r="35" spans="1:9" x14ac:dyDescent="0.25">
      <c r="A35" s="1" t="s">
        <v>16</v>
      </c>
      <c r="B35" s="32">
        <f>LARGE(B17:K26,14)</f>
        <v>0.51703543835331944</v>
      </c>
      <c r="C35" s="1" t="str">
        <f ca="1">"&lt;--"&amp;_xlfn.FORMULATEXT(B35)</f>
        <v>&lt;--=LARGE(B17:K26,14)</v>
      </c>
      <c r="G35" s="1" t="s">
        <v>16</v>
      </c>
      <c r="H35" s="32">
        <f>SMALL(B17:K26,4)</f>
        <v>5.4532485203857277E-2</v>
      </c>
      <c r="I35" s="1" t="str">
        <f ca="1">"&lt;--"&amp;_xlfn.FORMULATEXT(H35)</f>
        <v>&lt;--=SMALL(B17:K26,4)</v>
      </c>
    </row>
    <row r="36" spans="1:9" x14ac:dyDescent="0.25">
      <c r="A36" s="1" t="s">
        <v>16</v>
      </c>
      <c r="B36" s="32">
        <f>LARGE(B17:K26,15)</f>
        <v>0.4887641387494075</v>
      </c>
      <c r="C36" s="1" t="str">
        <f ca="1">"&lt;--"&amp;_xlfn.FORMULATEXT(B36)</f>
        <v>&lt;--=LARGE(B17:K26,15)</v>
      </c>
      <c r="G36" s="1" t="s">
        <v>16</v>
      </c>
      <c r="H36" s="32">
        <f>SMALL(B17:K26,5)</f>
        <v>7.7358589773370318E-2</v>
      </c>
      <c r="I36" s="1" t="str">
        <f ca="1">"&lt;--"&amp;_xlfn.FORMULATEXT(H36)</f>
        <v>&lt;--=SMALL(B17:K26,5)</v>
      </c>
    </row>
  </sheetData>
  <mergeCells count="6">
    <mergeCell ref="L17:L19"/>
    <mergeCell ref="B28:K28"/>
    <mergeCell ref="A1:L1"/>
    <mergeCell ref="B2:K2"/>
    <mergeCell ref="L4:L5"/>
    <mergeCell ref="B15:K15"/>
  </mergeCells>
  <printOptions headings="1" gridLines="1"/>
  <pageMargins left="0.70866141732283505" right="0.70866141732283505" top="0.74803149606299202" bottom="0.74803149606299202" header="0.31496062992126" footer="0.31496062992126"/>
  <pageSetup orientation="portrait" cellComments="atEnd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L75"/>
  <sheetViews>
    <sheetView zoomScale="120" zoomScaleNormal="120" workbookViewId="0">
      <selection sqref="A1:L1"/>
    </sheetView>
  </sheetViews>
  <sheetFormatPr defaultColWidth="8.75" defaultRowHeight="15" outlineLevelRow="1" x14ac:dyDescent="0.25"/>
  <cols>
    <col min="1" max="1" width="8" style="7" customWidth="1"/>
    <col min="2" max="2" width="6.375" style="1" customWidth="1"/>
    <col min="3" max="11" width="6.25" style="1" customWidth="1"/>
    <col min="12" max="12" width="27.5" style="1" bestFit="1" customWidth="1"/>
    <col min="13" max="13" width="19.75" style="1" bestFit="1" customWidth="1"/>
    <col min="14" max="16384" width="8.75" style="1"/>
  </cols>
  <sheetData>
    <row r="1" spans="1:12" ht="18.75" x14ac:dyDescent="0.3">
      <c r="A1" s="44" t="s">
        <v>21</v>
      </c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</row>
    <row r="2" spans="1:12" s="24" customFormat="1" x14ac:dyDescent="0.25">
      <c r="A2" s="34" t="s">
        <v>42</v>
      </c>
      <c r="B2" s="5"/>
      <c r="C2" s="5"/>
      <c r="D2" s="5"/>
      <c r="E2" s="5"/>
      <c r="F2" s="5"/>
      <c r="G2" s="5"/>
      <c r="H2" s="5"/>
      <c r="I2" s="5"/>
      <c r="J2" s="5"/>
      <c r="K2" s="5"/>
      <c r="L2" s="4"/>
    </row>
    <row r="3" spans="1:12" s="10" customFormat="1" x14ac:dyDescent="0.25">
      <c r="A3" s="12"/>
      <c r="B3" s="5" t="str">
        <f>'VBA Correlation Mat'!B16</f>
        <v>MSFT</v>
      </c>
      <c r="C3" s="5" t="str">
        <f>'VBA Correlation Mat'!C16</f>
        <v>AAPL</v>
      </c>
      <c r="D3" s="5" t="str">
        <f>'VBA Correlation Mat'!D16</f>
        <v>AMZN</v>
      </c>
      <c r="E3" s="5" t="str">
        <f>'VBA Correlation Mat'!E16</f>
        <v>DIS</v>
      </c>
      <c r="F3" s="5" t="str">
        <f>'VBA Correlation Mat'!F16</f>
        <v>CSCO</v>
      </c>
      <c r="G3" s="5" t="str">
        <f>'VBA Correlation Mat'!G16</f>
        <v>JPM</v>
      </c>
      <c r="H3" s="5" t="str">
        <f>'VBA Correlation Mat'!H16</f>
        <v>GOOG</v>
      </c>
      <c r="I3" s="5" t="str">
        <f>'VBA Correlation Mat'!I16</f>
        <v>XOM</v>
      </c>
      <c r="J3" s="5" t="str">
        <f>'VBA Correlation Mat'!J16</f>
        <v>PG</v>
      </c>
      <c r="K3" s="5" t="str">
        <f>'VBA Correlation Mat'!K16</f>
        <v>BAC</v>
      </c>
      <c r="L3" s="12"/>
    </row>
    <row r="4" spans="1:12" s="10" customFormat="1" ht="30" x14ac:dyDescent="0.25">
      <c r="A4" s="5" t="str">
        <f>'VBA Correlation Mat'!A17</f>
        <v>MSFT</v>
      </c>
      <c r="B4" s="13">
        <f t="array" ref="B4:K13">SIM_VarCov(B16:K75,L16:L75)</f>
        <v>3.4071294076869754E-3</v>
      </c>
      <c r="C4" s="13">
        <v>1.2808099087484271E-3</v>
      </c>
      <c r="D4" s="13">
        <v>1.8721695280234808E-3</v>
      </c>
      <c r="E4" s="13">
        <v>1.1274050623668983E-3</v>
      </c>
      <c r="F4" s="13">
        <v>1.3469128554540355E-3</v>
      </c>
      <c r="G4" s="13">
        <v>1.3248225318678475E-3</v>
      </c>
      <c r="H4" s="13">
        <v>1.194070788632405E-3</v>
      </c>
      <c r="I4" s="13">
        <v>1.0416428052401078E-3</v>
      </c>
      <c r="J4" s="13">
        <v>4.4244050844095617E-4</v>
      </c>
      <c r="K4" s="13">
        <v>1.7465152759071816E-3</v>
      </c>
      <c r="L4" s="36" t="str">
        <f ca="1">"&lt;--"&amp;_xlfn.FORMULATEXT(K4)</f>
        <v>&lt;--{=SIM_VarCov(B16:K75,L16:L75)}</v>
      </c>
    </row>
    <row r="5" spans="1:12" s="10" customFormat="1" x14ac:dyDescent="0.25">
      <c r="A5" s="5" t="str">
        <f>'VBA Correlation Mat'!A18</f>
        <v>AAPL</v>
      </c>
      <c r="B5" s="13">
        <v>1.2808099087484271E-3</v>
      </c>
      <c r="C5" s="13">
        <v>5.1590765648409634E-3</v>
      </c>
      <c r="D5" s="13">
        <v>1.7871144649637145E-3</v>
      </c>
      <c r="E5" s="13">
        <v>1.0761856042792793E-3</v>
      </c>
      <c r="F5" s="13">
        <v>1.285720876767362E-3</v>
      </c>
      <c r="G5" s="13">
        <v>1.264634144916596E-3</v>
      </c>
      <c r="H5" s="13">
        <v>1.1398226210894921E-3</v>
      </c>
      <c r="I5" s="13">
        <v>9.9431963649962278E-4</v>
      </c>
      <c r="J5" s="13">
        <v>4.2233986863117896E-4</v>
      </c>
      <c r="K5" s="13">
        <v>1.6671688466957414E-3</v>
      </c>
      <c r="L5" s="36"/>
    </row>
    <row r="6" spans="1:12" s="10" customFormat="1" x14ac:dyDescent="0.25">
      <c r="A6" s="5" t="str">
        <f>'VBA Correlation Mat'!A19</f>
        <v>AMZN</v>
      </c>
      <c r="B6" s="13">
        <v>1.8721695280234808E-3</v>
      </c>
      <c r="C6" s="13">
        <v>1.7871144649637145E-3</v>
      </c>
      <c r="D6" s="13">
        <v>6.9062424750401322E-3</v>
      </c>
      <c r="E6" s="13">
        <v>1.5730686349842598E-3</v>
      </c>
      <c r="F6" s="13">
        <v>1.8793479271093621E-3</v>
      </c>
      <c r="G6" s="13">
        <v>1.8485252917229895E-3</v>
      </c>
      <c r="H6" s="13">
        <v>1.6660873436252774E-3</v>
      </c>
      <c r="I6" s="13">
        <v>1.4534045308792305E-3</v>
      </c>
      <c r="J6" s="13">
        <v>6.1733737935661028E-4</v>
      </c>
      <c r="K6" s="13">
        <v>2.4369133089419894E-3</v>
      </c>
      <c r="L6" s="36"/>
    </row>
    <row r="7" spans="1:12" s="10" customFormat="1" x14ac:dyDescent="0.25">
      <c r="A7" s="5" t="str">
        <f>'VBA Correlation Mat'!A20</f>
        <v>DIS</v>
      </c>
      <c r="B7" s="13">
        <v>1.1274050623668983E-3</v>
      </c>
      <c r="C7" s="13">
        <v>1.0761856042792793E-3</v>
      </c>
      <c r="D7" s="13">
        <v>1.5730686349842598E-3</v>
      </c>
      <c r="E7" s="13">
        <v>2.4225985245920007E-3</v>
      </c>
      <c r="F7" s="13">
        <v>1.1317278351436011E-3</v>
      </c>
      <c r="G7" s="13">
        <v>1.1131666981044933E-3</v>
      </c>
      <c r="H7" s="13">
        <v>1.0033040691200682E-3</v>
      </c>
      <c r="I7" s="13">
        <v>8.7522823187392482E-4</v>
      </c>
      <c r="J7" s="13">
        <v>3.7175548274719468E-4</v>
      </c>
      <c r="K7" s="13">
        <v>1.467489113526481E-3</v>
      </c>
      <c r="L7" s="12"/>
    </row>
    <row r="8" spans="1:12" s="10" customFormat="1" x14ac:dyDescent="0.25">
      <c r="A8" s="5" t="str">
        <f>'VBA Correlation Mat'!A21</f>
        <v>CSCO</v>
      </c>
      <c r="B8" s="13">
        <v>1.3469128554540355E-3</v>
      </c>
      <c r="C8" s="13">
        <v>1.285720876767362E-3</v>
      </c>
      <c r="D8" s="13">
        <v>1.8793479271093621E-3</v>
      </c>
      <c r="E8" s="13">
        <v>1.1317278351436011E-3</v>
      </c>
      <c r="F8" s="13">
        <v>3.3218518576050814E-3</v>
      </c>
      <c r="G8" s="13">
        <v>1.3299022560644886E-3</v>
      </c>
      <c r="H8" s="13">
        <v>1.1986491756477335E-3</v>
      </c>
      <c r="I8" s="13">
        <v>1.0456367425673778E-3</v>
      </c>
      <c r="J8" s="13">
        <v>4.4413694377643692E-4</v>
      </c>
      <c r="K8" s="13">
        <v>1.7532118829571243E-3</v>
      </c>
      <c r="L8" s="12"/>
    </row>
    <row r="9" spans="1:12" s="10" customFormat="1" x14ac:dyDescent="0.25">
      <c r="A9" s="5" t="str">
        <f>'VBA Correlation Mat'!A22</f>
        <v>JPM</v>
      </c>
      <c r="B9" s="13">
        <v>1.3248225318678475E-3</v>
      </c>
      <c r="C9" s="13">
        <v>1.264634144916596E-3</v>
      </c>
      <c r="D9" s="13">
        <v>1.8485252917229895E-3</v>
      </c>
      <c r="E9" s="13">
        <v>1.1131666981044933E-3</v>
      </c>
      <c r="F9" s="13">
        <v>1.3299022560644886E-3</v>
      </c>
      <c r="G9" s="13">
        <v>3.1521405829566577E-3</v>
      </c>
      <c r="H9" s="13">
        <v>1.1789904812866568E-3</v>
      </c>
      <c r="I9" s="13">
        <v>1.0284875603442005E-3</v>
      </c>
      <c r="J9" s="13">
        <v>4.3685278373232264E-4</v>
      </c>
      <c r="K9" s="13">
        <v>1.7244579679188585E-3</v>
      </c>
      <c r="L9" s="12"/>
    </row>
    <row r="10" spans="1:12" s="10" customFormat="1" x14ac:dyDescent="0.25">
      <c r="A10" s="5" t="str">
        <f>'VBA Correlation Mat'!A23</f>
        <v>GOOG</v>
      </c>
      <c r="B10" s="13">
        <v>1.194070788632405E-3</v>
      </c>
      <c r="C10" s="13">
        <v>1.1398226210894921E-3</v>
      </c>
      <c r="D10" s="13">
        <v>1.6660873436252774E-3</v>
      </c>
      <c r="E10" s="13">
        <v>1.0033040691200682E-3</v>
      </c>
      <c r="F10" s="13">
        <v>1.1986491756477335E-3</v>
      </c>
      <c r="G10" s="13">
        <v>1.1789904812866568E-3</v>
      </c>
      <c r="H10" s="13">
        <v>3.1820996499091767E-3</v>
      </c>
      <c r="I10" s="13">
        <v>9.2698223553562033E-4</v>
      </c>
      <c r="J10" s="13">
        <v>3.9373813128923255E-4</v>
      </c>
      <c r="K10" s="13">
        <v>1.554264692957159E-3</v>
      </c>
      <c r="L10" s="12"/>
    </row>
    <row r="11" spans="1:12" s="10" customFormat="1" x14ac:dyDescent="0.25">
      <c r="A11" s="5" t="str">
        <f>'VBA Correlation Mat'!A24</f>
        <v>XOM</v>
      </c>
      <c r="B11" s="13">
        <v>1.0416428052401078E-3</v>
      </c>
      <c r="C11" s="13">
        <v>9.9431963649962278E-4</v>
      </c>
      <c r="D11" s="13">
        <v>1.4534045308792305E-3</v>
      </c>
      <c r="E11" s="13">
        <v>8.7522823187392482E-4</v>
      </c>
      <c r="F11" s="13">
        <v>1.0456367425673778E-3</v>
      </c>
      <c r="G11" s="13">
        <v>1.0284875603442005E-3</v>
      </c>
      <c r="H11" s="13">
        <v>9.2698223553562033E-4</v>
      </c>
      <c r="I11" s="13">
        <v>2.2947439691668511E-3</v>
      </c>
      <c r="J11" s="13">
        <v>3.434758604854993E-4</v>
      </c>
      <c r="K11" s="13">
        <v>1.3558564955029279E-3</v>
      </c>
      <c r="L11" s="12"/>
    </row>
    <row r="12" spans="1:12" s="10" customFormat="1" x14ac:dyDescent="0.25">
      <c r="A12" s="5" t="str">
        <f>'VBA Correlation Mat'!A25</f>
        <v>PG</v>
      </c>
      <c r="B12" s="13">
        <v>4.4244050844095617E-4</v>
      </c>
      <c r="C12" s="13">
        <v>4.2233986863117896E-4</v>
      </c>
      <c r="D12" s="13">
        <v>6.1733737935661028E-4</v>
      </c>
      <c r="E12" s="13">
        <v>3.7175548274719468E-4</v>
      </c>
      <c r="F12" s="13">
        <v>4.4413694377643692E-4</v>
      </c>
      <c r="G12" s="13">
        <v>4.3685278373232264E-4</v>
      </c>
      <c r="H12" s="13">
        <v>3.9373813128923255E-4</v>
      </c>
      <c r="I12" s="13">
        <v>3.434758604854993E-4</v>
      </c>
      <c r="J12" s="13">
        <v>1.6171459551559463E-3</v>
      </c>
      <c r="K12" s="13">
        <v>5.7590359595966238E-4</v>
      </c>
      <c r="L12" s="12"/>
    </row>
    <row r="13" spans="1:12" s="10" customFormat="1" x14ac:dyDescent="0.25">
      <c r="A13" s="5" t="str">
        <f>'VBA Correlation Mat'!A26</f>
        <v>BAC</v>
      </c>
      <c r="B13" s="13">
        <v>1.7465152759071816E-3</v>
      </c>
      <c r="C13" s="13">
        <v>1.6671688466957414E-3</v>
      </c>
      <c r="D13" s="13">
        <v>2.4369133089419894E-3</v>
      </c>
      <c r="E13" s="13">
        <v>1.467489113526481E-3</v>
      </c>
      <c r="F13" s="13">
        <v>1.7532118829571243E-3</v>
      </c>
      <c r="G13" s="13">
        <v>1.7244579679188585E-3</v>
      </c>
      <c r="H13" s="13">
        <v>1.554264692957159E-3</v>
      </c>
      <c r="I13" s="13">
        <v>1.3558564955029279E-3</v>
      </c>
      <c r="J13" s="13">
        <v>5.7590359595966238E-4</v>
      </c>
      <c r="K13" s="13">
        <v>5.7544842351490294E-3</v>
      </c>
      <c r="L13" s="12"/>
    </row>
    <row r="14" spans="1:12" s="10" customFormat="1" x14ac:dyDescent="0.25">
      <c r="A14" s="12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</row>
    <row r="15" spans="1:12" x14ac:dyDescent="0.25">
      <c r="A15" s="4" t="str">
        <f>'5y 10 stocks Returns'!A2</f>
        <v>Date</v>
      </c>
      <c r="B15" s="5" t="str">
        <f>'5y 10 stocks Returns'!B2</f>
        <v>MSFT</v>
      </c>
      <c r="C15" s="5" t="str">
        <f>'5y 10 stocks Returns'!C2</f>
        <v>AAPL</v>
      </c>
      <c r="D15" s="5" t="str">
        <f>'5y 10 stocks Returns'!D2</f>
        <v>AMZN</v>
      </c>
      <c r="E15" s="5" t="str">
        <f>'5y 10 stocks Returns'!E2</f>
        <v>DIS</v>
      </c>
      <c r="F15" s="5" t="str">
        <f>'5y 10 stocks Returns'!F2</f>
        <v>CSCO</v>
      </c>
      <c r="G15" s="5" t="str">
        <f>'5y 10 stocks Returns'!G2</f>
        <v>JPM</v>
      </c>
      <c r="H15" s="5" t="str">
        <f>'5y 10 stocks Returns'!H2</f>
        <v>GOOG</v>
      </c>
      <c r="I15" s="5" t="str">
        <f>'5y 10 stocks Returns'!I2</f>
        <v>XOM</v>
      </c>
      <c r="J15" s="5" t="str">
        <f>'5y 10 stocks Returns'!J2</f>
        <v>PG</v>
      </c>
      <c r="K15" s="5" t="str">
        <f>'5y 10 stocks Returns'!K2</f>
        <v>BAC</v>
      </c>
      <c r="L15" s="5" t="str">
        <f>'5y 10 stocks Returns'!L2</f>
        <v>^GSPC</v>
      </c>
    </row>
    <row r="16" spans="1:12" x14ac:dyDescent="0.25">
      <c r="A16" s="7">
        <f>'5y 10 stocks Returns'!A3</f>
        <v>43466</v>
      </c>
      <c r="B16" s="35">
        <f>'5y 10 stocks Returns'!B3</f>
        <v>2.7768755101483619E-2</v>
      </c>
      <c r="C16" s="35">
        <f>'5y 10 stocks Returns'!C3</f>
        <v>5.3686737131524026E-2</v>
      </c>
      <c r="D16" s="35">
        <f>'5y 10 stocks Returns'!D3</f>
        <v>0.13480807389925051</v>
      </c>
      <c r="E16" s="35">
        <f>'5y 10 stocks Returns'!E3</f>
        <v>2.4637228765707325E-2</v>
      </c>
      <c r="F16" s="35">
        <f>'5y 10 stocks Returns'!F3</f>
        <v>8.7453665946398418E-2</v>
      </c>
      <c r="G16" s="35">
        <f>'5y 10 stocks Returns'!G3</f>
        <v>5.84891836627369E-2</v>
      </c>
      <c r="H16" s="35">
        <f>'5y 10 stocks Returns'!H3</f>
        <v>7.5091735148973104E-2</v>
      </c>
      <c r="I16" s="35">
        <f>'5y 10 stocks Returns'!I3</f>
        <v>7.1989745105178291E-2</v>
      </c>
      <c r="J16" s="35">
        <f>'5y 10 stocks Returns'!J3</f>
        <v>4.8313517087927305E-2</v>
      </c>
      <c r="K16" s="35">
        <f>'5y 10 stocks Returns'!K3</f>
        <v>0.15005287056245065</v>
      </c>
      <c r="L16" s="35">
        <f>'5y 10 stocks Returns'!L3</f>
        <v>7.5742151976753658E-2</v>
      </c>
    </row>
    <row r="17" spans="1:12" ht="14.85" customHeight="1" x14ac:dyDescent="0.25">
      <c r="A17" s="7">
        <f>'5y 10 stocks Returns'!A4</f>
        <v>43435</v>
      </c>
      <c r="B17" s="35">
        <f>'5y 10 stocks Returns'!B4</f>
        <v>-8.3479711927557931E-2</v>
      </c>
      <c r="C17" s="35">
        <f>'5y 10 stocks Returns'!C4</f>
        <v>-0.12060541101283059</v>
      </c>
      <c r="D17" s="35">
        <f>'5y 10 stocks Returns'!D4</f>
        <v>-0.11805158115917956</v>
      </c>
      <c r="E17" s="35">
        <f>'5y 10 stocks Returns'!E4</f>
        <v>-5.1890423537517834E-2</v>
      </c>
      <c r="F17" s="35">
        <f>'5y 10 stocks Returns'!F4</f>
        <v>-9.9643735745620451E-2</v>
      </c>
      <c r="G17" s="35">
        <f>'5y 10 stocks Returns'!G4</f>
        <v>-0.13015804656847649</v>
      </c>
      <c r="H17" s="35">
        <f>'5y 10 stocks Returns'!H4</f>
        <v>-5.5243118529555484E-2</v>
      </c>
      <c r="I17" s="35">
        <f>'5y 10 stocks Returns'!I4</f>
        <v>-0.14337290953715212</v>
      </c>
      <c r="J17" s="35">
        <f>'5y 10 stocks Returns'!J4</f>
        <v>-2.7787090520592125E-2</v>
      </c>
      <c r="K17" s="35">
        <f>'5y 10 stocks Returns'!K4</f>
        <v>-0.14201806785790391</v>
      </c>
      <c r="L17" s="35">
        <f>'5y 10 stocks Returns'!L4</f>
        <v>-9.6265219766061866E-2</v>
      </c>
    </row>
    <row r="18" spans="1:12" x14ac:dyDescent="0.25">
      <c r="A18" s="7">
        <f>'5y 10 stocks Returns'!A5</f>
        <v>43405</v>
      </c>
      <c r="B18" s="35">
        <f>'5y 10 stocks Returns'!B5</f>
        <v>3.7487186210999092E-2</v>
      </c>
      <c r="C18" s="35">
        <f>'5y 10 stocks Returns'!C5</f>
        <v>-0.20339558332906979</v>
      </c>
      <c r="D18" s="35">
        <f>'5y 10 stocks Returns'!D5</f>
        <v>5.607003022027119E-2</v>
      </c>
      <c r="E18" s="35">
        <f>'5y 10 stocks Returns'!E5</f>
        <v>5.7311289585348741E-3</v>
      </c>
      <c r="F18" s="35">
        <f>'5y 10 stocks Returns'!F5</f>
        <v>5.2035315825285491E-2</v>
      </c>
      <c r="G18" s="35">
        <f>'5y 10 stocks Returns'!G5</f>
        <v>2.6687567005036605E-2</v>
      </c>
      <c r="H18" s="35">
        <f>'5y 10 stocks Returns'!H5</f>
        <v>1.6267891364498185E-2</v>
      </c>
      <c r="I18" s="35">
        <f>'5y 10 stocks Returns'!I5</f>
        <v>-2.2614905372070997E-3</v>
      </c>
      <c r="J18" s="35">
        <f>'5y 10 stocks Returns'!J5</f>
        <v>7.2471265335208479E-2</v>
      </c>
      <c r="K18" s="35">
        <f>'5y 10 stocks Returns'!K5</f>
        <v>3.2203177895256486E-2</v>
      </c>
      <c r="L18" s="35">
        <f>'5y 10 stocks Returns'!L5</f>
        <v>1.7701752187834409E-2</v>
      </c>
    </row>
    <row r="19" spans="1:12" hidden="1" outlineLevel="1" x14ac:dyDescent="0.25">
      <c r="A19" s="7">
        <f>'5y 10 stocks Returns'!A6</f>
        <v>43374</v>
      </c>
      <c r="B19" s="35">
        <f>'5y 10 stocks Returns'!B6</f>
        <v>-6.8387318394534768E-2</v>
      </c>
      <c r="C19" s="35">
        <f>'5y 10 stocks Returns'!C6</f>
        <v>-3.0951724112478037E-2</v>
      </c>
      <c r="D19" s="35">
        <f>'5y 10 stocks Returns'!D6</f>
        <v>-0.22588694527911743</v>
      </c>
      <c r="E19" s="35">
        <f>'5y 10 stocks Returns'!E6</f>
        <v>-1.8208189116070337E-2</v>
      </c>
      <c r="F19" s="35">
        <f>'5y 10 stocks Returns'!F6</f>
        <v>-6.1459988745370717E-2</v>
      </c>
      <c r="G19" s="35">
        <f>'5y 10 stocks Returns'!G6</f>
        <v>-3.4439565961576872E-2</v>
      </c>
      <c r="H19" s="35">
        <f>'5y 10 stocks Returns'!H6</f>
        <v>-0.10289916826037319</v>
      </c>
      <c r="I19" s="35">
        <f>'5y 10 stocks Returns'!I6</f>
        <v>-6.4867904402383519E-2</v>
      </c>
      <c r="J19" s="35">
        <f>'5y 10 stocks Returns'!J6</f>
        <v>6.34264542951197E-2</v>
      </c>
      <c r="K19" s="35">
        <f>'5y 10 stocks Returns'!K6</f>
        <v>-6.4025001901034009E-2</v>
      </c>
      <c r="L19" s="35">
        <f>'5y 10 stocks Returns'!L6</f>
        <v>-7.1929345879864132E-2</v>
      </c>
    </row>
    <row r="20" spans="1:12" hidden="1" outlineLevel="1" x14ac:dyDescent="0.25">
      <c r="A20" s="7">
        <f>'5y 10 stocks Returns'!A7</f>
        <v>43344</v>
      </c>
      <c r="B20" s="35">
        <f>'5y 10 stocks Returns'!B7</f>
        <v>2.1838662445722221E-2</v>
      </c>
      <c r="C20" s="35">
        <f>'5y 10 stocks Returns'!C7</f>
        <v>-4.8366154697142326E-3</v>
      </c>
      <c r="D20" s="35">
        <f>'5y 10 stocks Returns'!D7</f>
        <v>-4.8359966322712193E-3</v>
      </c>
      <c r="E20" s="35">
        <f>'5y 10 stocks Returns'!E7</f>
        <v>4.2983577563232317E-2</v>
      </c>
      <c r="F20" s="35">
        <f>'5y 10 stocks Returns'!F7</f>
        <v>1.8254017706717342E-2</v>
      </c>
      <c r="G20" s="35">
        <f>'5y 10 stocks Returns'!G7</f>
        <v>-1.5302462483284865E-2</v>
      </c>
      <c r="H20" s="35">
        <f>'5y 10 stocks Returns'!H7</f>
        <v>-2.0501096093571428E-2</v>
      </c>
      <c r="I20" s="35">
        <f>'5y 10 stocks Returns'!I7</f>
        <v>6.8998638783701008E-2</v>
      </c>
      <c r="J20" s="35">
        <f>'5y 10 stocks Returns'!J7</f>
        <v>3.369840733582524E-3</v>
      </c>
      <c r="K20" s="35">
        <f>'5y 10 stocks Returns'!K7</f>
        <v>-4.8693208297580434E-2</v>
      </c>
      <c r="L20" s="35">
        <f>'5y 10 stocks Returns'!L7</f>
        <v>4.2850929639178534E-3</v>
      </c>
    </row>
    <row r="21" spans="1:12" hidden="1" outlineLevel="1" x14ac:dyDescent="0.25">
      <c r="A21" s="7">
        <f>'5y 10 stocks Returns'!A8</f>
        <v>43313</v>
      </c>
      <c r="B21" s="35">
        <f>'5y 10 stocks Returns'!B8</f>
        <v>5.7247510625819661E-2</v>
      </c>
      <c r="C21" s="35">
        <f>'5y 10 stocks Returns'!C8</f>
        <v>0.17917236707741521</v>
      </c>
      <c r="D21" s="35">
        <f>'5y 10 stocks Returns'!D8</f>
        <v>0.12430795965848446</v>
      </c>
      <c r="E21" s="35">
        <f>'5y 10 stocks Returns'!E8</f>
        <v>-5.6477010157984855E-3</v>
      </c>
      <c r="F21" s="35">
        <f>'5y 10 stocks Returns'!F8</f>
        <v>0.12961087633800458</v>
      </c>
      <c r="G21" s="35">
        <f>'5y 10 stocks Returns'!G8</f>
        <v>2.1956057531413191E-3</v>
      </c>
      <c r="H21" s="35">
        <f>'5y 10 stocks Returns'!H8</f>
        <v>7.6366261997009254E-4</v>
      </c>
      <c r="I21" s="35">
        <f>'5y 10 stocks Returns'!I8</f>
        <v>-1.6576306061889246E-2</v>
      </c>
      <c r="J21" s="35">
        <f>'5y 10 stocks Returns'!J8</f>
        <v>3.4308702836033128E-2</v>
      </c>
      <c r="K21" s="35">
        <f>'5y 10 stocks Returns'!K8</f>
        <v>1.6178757996933369E-3</v>
      </c>
      <c r="L21" s="35">
        <f>'5y 10 stocks Returns'!L8</f>
        <v>2.9814314708128044E-2</v>
      </c>
    </row>
    <row r="22" spans="1:12" hidden="1" outlineLevel="1" x14ac:dyDescent="0.25">
      <c r="A22" s="7">
        <f>'5y 10 stocks Returns'!A9</f>
        <v>43282</v>
      </c>
      <c r="B22" s="35">
        <f>'5y 10 stocks Returns'!B9</f>
        <v>7.3020881392012155E-2</v>
      </c>
      <c r="C22" s="35">
        <f>'5y 10 stocks Returns'!C9</f>
        <v>2.7599030185097986E-2</v>
      </c>
      <c r="D22" s="35">
        <f>'5y 10 stocks Returns'!D9</f>
        <v>4.4663467748158651E-2</v>
      </c>
      <c r="E22" s="35">
        <f>'5y 10 stocks Returns'!E9</f>
        <v>8.0182122714708717E-2</v>
      </c>
      <c r="F22" s="35">
        <f>'5y 10 stocks Returns'!F9</f>
        <v>-1.7346805355109039E-2</v>
      </c>
      <c r="G22" s="35">
        <f>'5y 10 stocks Returns'!G9</f>
        <v>9.8185237300675479E-2</v>
      </c>
      <c r="H22" s="35">
        <f>'5y 10 stocks Returns'!H9</f>
        <v>8.716522329087098E-2</v>
      </c>
      <c r="I22" s="35">
        <f>'5y 10 stocks Returns'!I9</f>
        <v>-1.4856555529579131E-2</v>
      </c>
      <c r="J22" s="35">
        <f>'5y 10 stocks Returns'!J9</f>
        <v>3.5488660349331555E-2</v>
      </c>
      <c r="K22" s="35">
        <f>'5y 10 stocks Returns'!K9</f>
        <v>9.1141303420294709E-2</v>
      </c>
      <c r="L22" s="35">
        <f>'5y 10 stocks Returns'!L9</f>
        <v>3.5387950784307211E-2</v>
      </c>
    </row>
    <row r="23" spans="1:12" hidden="1" outlineLevel="1" x14ac:dyDescent="0.25">
      <c r="A23" s="7">
        <f>'5y 10 stocks Returns'!A10</f>
        <v>43252</v>
      </c>
      <c r="B23" s="35">
        <f>'5y 10 stocks Returns'!B10</f>
        <v>1.9953048782543879E-3</v>
      </c>
      <c r="C23" s="35">
        <f>'5y 10 stocks Returns'!C10</f>
        <v>-5.6142480473471796E-3</v>
      </c>
      <c r="D23" s="35">
        <f>'5y 10 stocks Returns'!D10</f>
        <v>4.2163770171944864E-2</v>
      </c>
      <c r="E23" s="35">
        <f>'5y 10 stocks Returns'!E10</f>
        <v>5.2293033050969516E-2</v>
      </c>
      <c r="F23" s="35">
        <f>'5y 10 stocks Returns'!F10</f>
        <v>7.4645699570576336E-3</v>
      </c>
      <c r="G23" s="35">
        <f>'5y 10 stocks Returns'!G10</f>
        <v>-2.6610258458796807E-2</v>
      </c>
      <c r="H23" s="35">
        <f>'5y 10 stocks Returns'!H10</f>
        <v>2.7866455067084607E-2</v>
      </c>
      <c r="I23" s="35">
        <f>'5y 10 stocks Returns'!I10</f>
        <v>2.8259500477553708E-2</v>
      </c>
      <c r="J23" s="35">
        <f>'5y 10 stocks Returns'!J10</f>
        <v>6.4692425645443016E-2</v>
      </c>
      <c r="K23" s="35">
        <f>'5y 10 stocks Returns'!K10</f>
        <v>-2.5629444754097879E-2</v>
      </c>
      <c r="L23" s="35">
        <f>'5y 10 stocks Returns'!L10</f>
        <v>4.830749144322073E-3</v>
      </c>
    </row>
    <row r="24" spans="1:12" hidden="1" outlineLevel="1" x14ac:dyDescent="0.25">
      <c r="A24" s="7">
        <f>'5y 10 stocks Returns'!A11</f>
        <v>43221</v>
      </c>
      <c r="B24" s="35">
        <f>'5y 10 stocks Returns'!B11</f>
        <v>5.5327095337165448E-2</v>
      </c>
      <c r="C24" s="35">
        <f>'5y 10 stocks Returns'!C11</f>
        <v>0.1228931411464287</v>
      </c>
      <c r="D24" s="35">
        <f>'5y 10 stocks Returns'!D11</f>
        <v>3.9739244373114081E-2</v>
      </c>
      <c r="E24" s="35">
        <f>'5y 10 stocks Returns'!E11</f>
        <v>-8.6086360108893877E-3</v>
      </c>
      <c r="F24" s="35">
        <f>'5y 10 stocks Returns'!F11</f>
        <v>-2.8319080040533667E-2</v>
      </c>
      <c r="G24" s="35">
        <f>'5y 10 stocks Returns'!G11</f>
        <v>-1.1347064620984523E-2</v>
      </c>
      <c r="H24" s="35">
        <f>'5y 10 stocks Returns'!H11</f>
        <v>6.4389196224245646E-2</v>
      </c>
      <c r="I24" s="35">
        <f>'5y 10 stocks Returns'!I11</f>
        <v>4.3909261900562435E-2</v>
      </c>
      <c r="J24" s="35">
        <f>'5y 10 stocks Returns'!J11</f>
        <v>2.0621821778231679E-2</v>
      </c>
      <c r="K24" s="35">
        <f>'5y 10 stocks Returns'!K11</f>
        <v>-2.9852866065278968E-2</v>
      </c>
      <c r="L24" s="35">
        <f>'5y 10 stocks Returns'!L11</f>
        <v>2.1378191291432879E-2</v>
      </c>
    </row>
    <row r="25" spans="1:12" hidden="1" outlineLevel="1" x14ac:dyDescent="0.25">
      <c r="A25" s="7">
        <f>'5y 10 stocks Returns'!A12</f>
        <v>43191</v>
      </c>
      <c r="B25" s="35">
        <f>'5y 10 stocks Returns'!B12</f>
        <v>2.4353158984806833E-2</v>
      </c>
      <c r="C25" s="35">
        <f>'5y 10 stocks Returns'!C12</f>
        <v>-1.5133547257349368E-2</v>
      </c>
      <c r="D25" s="35">
        <f>'5y 10 stocks Returns'!D12</f>
        <v>7.8880245905968011E-2</v>
      </c>
      <c r="E25" s="35">
        <f>'5y 10 stocks Returns'!E12</f>
        <v>-1.0957923187709306E-3</v>
      </c>
      <c r="F25" s="35">
        <f>'5y 10 stocks Returns'!F12</f>
        <v>3.2120233564483576E-2</v>
      </c>
      <c r="G25" s="35">
        <f>'5y 10 stocks Returns'!G12</f>
        <v>-1.0880016811743281E-2</v>
      </c>
      <c r="H25" s="35">
        <f>'5y 10 stocks Returns'!H12</f>
        <v>-1.4113630859930837E-2</v>
      </c>
      <c r="I25" s="35">
        <f>'5y 10 stocks Returns'!I12</f>
        <v>4.1223971936209684E-2</v>
      </c>
      <c r="J25" s="35">
        <f>'5y 10 stocks Returns'!J12</f>
        <v>-9.1608683707176397E-2</v>
      </c>
      <c r="K25" s="35">
        <f>'5y 10 stocks Returns'!K12</f>
        <v>1.4084757245664582E-3</v>
      </c>
      <c r="L25" s="35">
        <f>'5y 10 stocks Returns'!L12</f>
        <v>2.7150859477301889E-3</v>
      </c>
    </row>
    <row r="26" spans="1:12" hidden="1" outlineLevel="1" x14ac:dyDescent="0.25">
      <c r="A26" s="7">
        <f>'5y 10 stocks Returns'!A13</f>
        <v>43160</v>
      </c>
      <c r="B26" s="35">
        <f>'5y 10 stocks Returns'!B13</f>
        <v>-2.2336294564664794E-2</v>
      </c>
      <c r="C26" s="35">
        <f>'5y 10 stocks Returns'!C13</f>
        <v>-5.5735164168757505E-2</v>
      </c>
      <c r="D26" s="35">
        <f>'5y 10 stocks Returns'!D13</f>
        <v>-4.4003454669149025E-2</v>
      </c>
      <c r="E26" s="35">
        <f>'5y 10 stocks Returns'!E13</f>
        <v>-2.6720664281223678E-2</v>
      </c>
      <c r="F26" s="35">
        <f>'5y 10 stocks Returns'!F13</f>
        <v>-4.3122886379665604E-2</v>
      </c>
      <c r="G26" s="35">
        <f>'5y 10 stocks Returns'!G13</f>
        <v>-4.9062988400518634E-2</v>
      </c>
      <c r="H26" s="35">
        <f>'5y 10 stocks Returns'!H13</f>
        <v>-6.8305747338411327E-2</v>
      </c>
      <c r="I26" s="35">
        <f>'5y 10 stocks Returns'!I13</f>
        <v>-4.8581237166398878E-3</v>
      </c>
      <c r="J26" s="35">
        <f>'5y 10 stocks Returns'!J13</f>
        <v>9.6326309324265627E-3</v>
      </c>
      <c r="K26" s="35">
        <f>'5y 10 stocks Returns'!K13</f>
        <v>-6.799199975667454E-2</v>
      </c>
      <c r="L26" s="35">
        <f>'5y 10 stocks Returns'!L13</f>
        <v>-2.725249739187887E-2</v>
      </c>
    </row>
    <row r="27" spans="1:12" hidden="1" outlineLevel="1" x14ac:dyDescent="0.25">
      <c r="A27" s="7">
        <f>'5y 10 stocks Returns'!A14</f>
        <v>43132</v>
      </c>
      <c r="B27" s="35">
        <f>'5y 10 stocks Returns'!B14</f>
        <v>-1.3137210166844032E-2</v>
      </c>
      <c r="C27" s="35">
        <f>'5y 10 stocks Returns'!C14</f>
        <v>6.1892183781320206E-2</v>
      </c>
      <c r="D27" s="35">
        <f>'5y 10 stocks Returns'!D14</f>
        <v>4.1553648546959927E-2</v>
      </c>
      <c r="E27" s="35">
        <f>'5y 10 stocks Returns'!E14</f>
        <v>-5.2034503423955596E-2</v>
      </c>
      <c r="F27" s="35">
        <f>'5y 10 stocks Returns'!F14</f>
        <v>8.2535915429695225E-2</v>
      </c>
      <c r="G27" s="35">
        <f>'5y 10 stocks Returns'!G14</f>
        <v>3.7251380326802494E-3</v>
      </c>
      <c r="H27" s="35">
        <f>'5y 10 stocks Returns'!H14</f>
        <v>-5.7351471895965657E-2</v>
      </c>
      <c r="I27" s="35">
        <f>'5y 10 stocks Returns'!I14</f>
        <v>-0.14204401854562648</v>
      </c>
      <c r="J27" s="35">
        <f>'5y 10 stocks Returns'!J14</f>
        <v>-8.734959116657591E-2</v>
      </c>
      <c r="K27" s="35">
        <f>'5y 10 stocks Returns'!K14</f>
        <v>3.1201311228689034E-3</v>
      </c>
      <c r="L27" s="35">
        <f>'5y 10 stocks Returns'!L14</f>
        <v>-3.9726107788010244E-2</v>
      </c>
    </row>
    <row r="28" spans="1:12" hidden="1" outlineLevel="1" x14ac:dyDescent="0.25">
      <c r="A28" s="7">
        <f>'5y 10 stocks Returns'!A15</f>
        <v>43101</v>
      </c>
      <c r="B28" s="35">
        <f>'5y 10 stocks Returns'!B15</f>
        <v>0.10499808947812123</v>
      </c>
      <c r="C28" s="35">
        <f>'5y 10 stocks Returns'!C15</f>
        <v>-1.0693408838491927E-2</v>
      </c>
      <c r="D28" s="35">
        <f>'5y 10 stocks Returns'!D15</f>
        <v>0.21562654165297973</v>
      </c>
      <c r="E28" s="35">
        <f>'5y 10 stocks Returns'!E15</f>
        <v>1.8744034098510453E-2</v>
      </c>
      <c r="F28" s="35">
        <f>'5y 10 stocks Returns'!F15</f>
        <v>8.1206892810786371E-2</v>
      </c>
      <c r="G28" s="35">
        <f>'5y 10 stocks Returns'!G15</f>
        <v>7.8473251702493696E-2</v>
      </c>
      <c r="H28" s="35">
        <f>'5y 10 stocks Returns'!H15</f>
        <v>0.11159669035689881</v>
      </c>
      <c r="I28" s="35">
        <f>'5y 10 stocks Returns'!I15</f>
        <v>4.282858522195427E-2</v>
      </c>
      <c r="J28" s="35">
        <f>'5y 10 stocks Returns'!J15</f>
        <v>-6.2190296462294674E-2</v>
      </c>
      <c r="K28" s="35">
        <f>'5y 10 stocks Returns'!K15</f>
        <v>8.0667804072403926E-2</v>
      </c>
      <c r="L28" s="35">
        <f>'5y 10 stocks Returns'!L15</f>
        <v>5.4657398659986728E-2</v>
      </c>
    </row>
    <row r="29" spans="1:12" hidden="1" outlineLevel="1" x14ac:dyDescent="0.25">
      <c r="A29" s="7">
        <f>'5y 10 stocks Returns'!A16</f>
        <v>43070</v>
      </c>
      <c r="B29" s="35">
        <f>'5y 10 stocks Returns'!B16</f>
        <v>2.1154961358531132E-2</v>
      </c>
      <c r="C29" s="35">
        <f>'5y 10 stocks Returns'!C16</f>
        <v>-1.1774885185434176E-2</v>
      </c>
      <c r="D29" s="35">
        <f>'5y 10 stocks Returns'!D16</f>
        <v>-6.2057713716230263E-3</v>
      </c>
      <c r="E29" s="35">
        <f>'5y 10 stocks Returns'!E16</f>
        <v>2.5339332690062707E-2</v>
      </c>
      <c r="F29" s="35">
        <f>'5y 10 stocks Returns'!F16</f>
        <v>2.6456597112575173E-2</v>
      </c>
      <c r="G29" s="35">
        <f>'5y 10 stocks Returns'!G16</f>
        <v>2.2889616147062794E-2</v>
      </c>
      <c r="H29" s="35">
        <f>'5y 10 stocks Returns'!H16</f>
        <v>2.4171725423494207E-2</v>
      </c>
      <c r="I29" s="35">
        <f>'5y 10 stocks Returns'!I16</f>
        <v>1.3405714930946975E-2</v>
      </c>
      <c r="J29" s="35">
        <f>'5y 10 stocks Returns'!J16</f>
        <v>2.0784815590355055E-2</v>
      </c>
      <c r="K29" s="35">
        <f>'5y 10 stocks Returns'!K16</f>
        <v>5.1062706043282405E-2</v>
      </c>
      <c r="L29" s="35">
        <f>'5y 10 stocks Returns'!L16</f>
        <v>3.3766014609890378E-2</v>
      </c>
    </row>
    <row r="30" spans="1:12" hidden="1" outlineLevel="1" x14ac:dyDescent="0.25">
      <c r="A30" s="7">
        <f>'5y 10 stocks Returns'!A17</f>
        <v>43040</v>
      </c>
      <c r="B30" s="35">
        <f>'5y 10 stocks Returns'!B17</f>
        <v>1.183154092711514E-2</v>
      </c>
      <c r="C30" s="35">
        <f>'5y 10 stocks Returns'!C17</f>
        <v>1.6486647180623218E-2</v>
      </c>
      <c r="D30" s="35">
        <f>'5y 10 stocks Returns'!D17</f>
        <v>6.2657678525297536E-2</v>
      </c>
      <c r="E30" s="35">
        <f>'5y 10 stocks Returns'!E17</f>
        <v>6.9217827645680283E-2</v>
      </c>
      <c r="F30" s="35">
        <f>'5y 10 stocks Returns'!F17</f>
        <v>9.6834849203217555E-2</v>
      </c>
      <c r="G30" s="35">
        <f>'5y 10 stocks Returns'!G17</f>
        <v>4.395516561068985E-2</v>
      </c>
      <c r="H30" s="35">
        <f>'5y 10 stocks Returns'!H17</f>
        <v>4.6809123795830479E-3</v>
      </c>
      <c r="I30" s="35">
        <f>'5y 10 stocks Returns'!I17</f>
        <v>-7.2019906739141052E-4</v>
      </c>
      <c r="J30" s="35">
        <f>'5y 10 stocks Returns'!J17</f>
        <v>4.8866651312550594E-2</v>
      </c>
      <c r="K30" s="35">
        <f>'5y 10 stocks Returns'!K17</f>
        <v>2.807969369725978E-2</v>
      </c>
      <c r="L30" s="35">
        <f>'5y 10 stocks Returns'!L17</f>
        <v>3.7131407628128972E-3</v>
      </c>
    </row>
    <row r="31" spans="1:12" hidden="1" outlineLevel="1" x14ac:dyDescent="0.25">
      <c r="A31" s="7">
        <f>'5y 10 stocks Returns'!A18</f>
        <v>43009</v>
      </c>
      <c r="B31" s="35">
        <f>'5y 10 stocks Returns'!B18</f>
        <v>0.11034202973319564</v>
      </c>
      <c r="C31" s="35">
        <f>'5y 10 stocks Returns'!C18</f>
        <v>9.2403857069204273E-2</v>
      </c>
      <c r="D31" s="35">
        <f>'5y 10 stocks Returns'!D18</f>
        <v>0.13951548010250206</v>
      </c>
      <c r="E31" s="35">
        <f>'5y 10 stocks Returns'!E18</f>
        <v>-7.7401950235100759E-3</v>
      </c>
      <c r="F31" s="35">
        <f>'5y 10 stocks Returns'!F18</f>
        <v>1.5343952863247103E-2</v>
      </c>
      <c r="G31" s="35">
        <f>'5y 10 stocks Returns'!G18</f>
        <v>5.2020707436856238E-2</v>
      </c>
      <c r="H31" s="35">
        <f>'5y 10 stocks Returns'!H18</f>
        <v>5.8252610354129652E-2</v>
      </c>
      <c r="I31" s="35">
        <f>'5y 10 stocks Returns'!I18</f>
        <v>1.6573179940560897E-2</v>
      </c>
      <c r="J31" s="35">
        <f>'5y 10 stocks Returns'!J18</f>
        <v>-5.234667800583629E-2</v>
      </c>
      <c r="K31" s="35">
        <f>'5y 10 stocks Returns'!K18</f>
        <v>7.7793754901017906E-2</v>
      </c>
      <c r="L31" s="35">
        <f>'5y 10 stocks Returns'!L18</f>
        <v>2.1945560290305279E-2</v>
      </c>
    </row>
    <row r="32" spans="1:12" hidden="1" outlineLevel="1" x14ac:dyDescent="0.25">
      <c r="A32" s="7">
        <f>'5y 10 stocks Returns'!A19</f>
        <v>42979</v>
      </c>
      <c r="B32" s="35">
        <f>'5y 10 stocks Returns'!B19</f>
        <v>1.5622642533718121E-3</v>
      </c>
      <c r="C32" s="35">
        <f>'5y 10 stocks Returns'!C19</f>
        <v>-5.8215581268317329E-2</v>
      </c>
      <c r="D32" s="35">
        <f>'5y 10 stocks Returns'!D19</f>
        <v>-1.982608308886917E-2</v>
      </c>
      <c r="E32" s="35">
        <f>'5y 10 stocks Returns'!E19</f>
        <v>-2.6331773950443411E-2</v>
      </c>
      <c r="F32" s="35">
        <f>'5y 10 stocks Returns'!F19</f>
        <v>4.3141662997758123E-2</v>
      </c>
      <c r="G32" s="35">
        <f>'5y 10 stocks Returns'!G19</f>
        <v>4.9581044918052104E-2</v>
      </c>
      <c r="H32" s="35">
        <f>'5y 10 stocks Returns'!H19</f>
        <v>2.0838882215321337E-2</v>
      </c>
      <c r="I32" s="35">
        <f>'5y 10 stocks Returns'!I19</f>
        <v>8.1055615897580258E-2</v>
      </c>
      <c r="J32" s="35">
        <f>'5y 10 stocks Returns'!J19</f>
        <v>-1.4079179411544473E-2</v>
      </c>
      <c r="K32" s="35">
        <f>'5y 10 stocks Returns'!K19</f>
        <v>6.4026320716774346E-2</v>
      </c>
      <c r="L32" s="35">
        <f>'5y 10 stocks Returns'!L19</f>
        <v>1.911903932397916E-2</v>
      </c>
    </row>
    <row r="33" spans="1:12" hidden="1" outlineLevel="1" x14ac:dyDescent="0.25">
      <c r="A33" s="7">
        <f>'5y 10 stocks Returns'!A20</f>
        <v>42948</v>
      </c>
      <c r="B33" s="35">
        <f>'5y 10 stocks Returns'!B20</f>
        <v>2.8075224752178034E-2</v>
      </c>
      <c r="C33" s="35">
        <f>'5y 10 stocks Returns'!C20</f>
        <v>9.7733906417343447E-2</v>
      </c>
      <c r="D33" s="35">
        <f>'5y 10 stocks Returns'!D20</f>
        <v>-7.2954255044278991E-3</v>
      </c>
      <c r="E33" s="35">
        <f>'5y 10 stocks Returns'!E20</f>
        <v>-7.5333409479809529E-2</v>
      </c>
      <c r="F33" s="35">
        <f>'5y 10 stocks Returns'!F20</f>
        <v>3.3177436277490722E-2</v>
      </c>
      <c r="G33" s="35">
        <f>'5y 10 stocks Returns'!G20</f>
        <v>-4.4769227427931702E-3</v>
      </c>
      <c r="H33" s="35">
        <f>'5y 10 stocks Returns'!H20</f>
        <v>9.444797183880204E-3</v>
      </c>
      <c r="I33" s="35">
        <f>'5y 10 stocks Returns'!I20</f>
        <v>-4.746057721454288E-2</v>
      </c>
      <c r="J33" s="35">
        <f>'5y 10 stocks Returns'!J20</f>
        <v>2.3649569501977483E-2</v>
      </c>
      <c r="K33" s="35">
        <f>'5y 10 stocks Returns'!K20</f>
        <v>-9.5814361081151198E-3</v>
      </c>
      <c r="L33" s="35">
        <f>'5y 10 stocks Returns'!L20</f>
        <v>5.4628357104102084E-4</v>
      </c>
    </row>
    <row r="34" spans="1:12" hidden="1" outlineLevel="1" x14ac:dyDescent="0.25">
      <c r="A34" s="7">
        <f>'5y 10 stocks Returns'!A21</f>
        <v>42917</v>
      </c>
      <c r="B34" s="35">
        <f>'5y 10 stocks Returns'!B21</f>
        <v>5.3249852248017628E-2</v>
      </c>
      <c r="C34" s="35">
        <f>'5y 10 stocks Returns'!C21</f>
        <v>3.218036312738784E-2</v>
      </c>
      <c r="D34" s="35">
        <f>'5y 10 stocks Returns'!D21</f>
        <v>2.0227942970172167E-2</v>
      </c>
      <c r="E34" s="35">
        <f>'5y 10 stocks Returns'!E21</f>
        <v>3.4048977531394305E-2</v>
      </c>
      <c r="F34" s="35">
        <f>'5y 10 stocks Returns'!F21</f>
        <v>4.780952063209068E-3</v>
      </c>
      <c r="G34" s="35">
        <f>'5y 10 stocks Returns'!G21</f>
        <v>4.3668218467382775E-3</v>
      </c>
      <c r="H34" s="35">
        <f>'5y 10 stocks Returns'!H21</f>
        <v>2.3674077738594191E-2</v>
      </c>
      <c r="I34" s="35">
        <f>'5y 10 stocks Returns'!I21</f>
        <v>-8.5838885642812932E-3</v>
      </c>
      <c r="J34" s="35">
        <f>'5y 10 stocks Returns'!J21</f>
        <v>4.1248669918651788E-2</v>
      </c>
      <c r="K34" s="35">
        <f>'5y 10 stocks Returns'!K21</f>
        <v>-5.7875840277312757E-3</v>
      </c>
      <c r="L34" s="35">
        <f>'5y 10 stocks Returns'!L21</f>
        <v>1.916401766181007E-2</v>
      </c>
    </row>
    <row r="35" spans="1:12" hidden="1" outlineLevel="1" x14ac:dyDescent="0.25">
      <c r="A35" s="7">
        <f>'5y 10 stocks Returns'!A22</f>
        <v>42887</v>
      </c>
      <c r="B35" s="35">
        <f>'5y 10 stocks Returns'!B22</f>
        <v>-7.3998070597756987E-3</v>
      </c>
      <c r="C35" s="35">
        <f>'5y 10 stocks Returns'!C22</f>
        <v>-5.4796863654728974E-2</v>
      </c>
      <c r="D35" s="35">
        <f>'5y 10 stocks Returns'!D22</f>
        <v>-2.7128662361207066E-2</v>
      </c>
      <c r="E35" s="35">
        <f>'5y 10 stocks Returns'!E22</f>
        <v>-1.5780826630051977E-2</v>
      </c>
      <c r="F35" s="35">
        <f>'5y 10 stocks Returns'!F22</f>
        <v>-7.3214574180236868E-3</v>
      </c>
      <c r="G35" s="35">
        <f>'5y 10 stocks Returns'!G22</f>
        <v>0.10669876880547675</v>
      </c>
      <c r="H35" s="35">
        <f>'5y 10 stocks Returns'!H22</f>
        <v>-5.9934999203980044E-2</v>
      </c>
      <c r="I35" s="35">
        <f>'5y 10 stocks Returns'!I22</f>
        <v>1.2252202666831982E-2</v>
      </c>
      <c r="J35" s="35">
        <f>'5y 10 stocks Returns'!J22</f>
        <v>-1.072805984773826E-2</v>
      </c>
      <c r="K35" s="35">
        <f>'5y 10 stocks Returns'!K22</f>
        <v>8.260069082351261E-2</v>
      </c>
      <c r="L35" s="35">
        <f>'5y 10 stocks Returns'!L22</f>
        <v>4.8022259241070758E-3</v>
      </c>
    </row>
    <row r="36" spans="1:12" hidden="1" outlineLevel="1" x14ac:dyDescent="0.25">
      <c r="A36" s="7">
        <f>'5y 10 stocks Returns'!A23</f>
        <v>42856</v>
      </c>
      <c r="B36" s="35">
        <f>'5y 10 stocks Returns'!B23</f>
        <v>1.9957198271562115E-2</v>
      </c>
      <c r="C36" s="35">
        <f>'5y 10 stocks Returns'!C23</f>
        <v>6.1488367077123969E-2</v>
      </c>
      <c r="D36" s="35">
        <f>'5y 10 stocks Returns'!D23</f>
        <v>7.2577833805534647E-2</v>
      </c>
      <c r="E36" s="35">
        <f>'5y 10 stocks Returns'!E23</f>
        <v>-6.8560359071511437E-2</v>
      </c>
      <c r="F36" s="35">
        <f>'5y 10 stocks Returns'!F23</f>
        <v>-6.8804161662577495E-2</v>
      </c>
      <c r="G36" s="35">
        <f>'5y 10 stocks Returns'!G23</f>
        <v>-4.588880398730321E-2</v>
      </c>
      <c r="H36" s="35">
        <f>'5y 10 stocks Returns'!H23</f>
        <v>6.2987818306099549E-2</v>
      </c>
      <c r="I36" s="35">
        <f>'5y 10 stocks Returns'!I23</f>
        <v>-1.4184726427729773E-2</v>
      </c>
      <c r="J36" s="35">
        <f>'5y 10 stocks Returns'!J23</f>
        <v>1.628855829578614E-2</v>
      </c>
      <c r="K36" s="35">
        <f>'5y 10 stocks Returns'!K23</f>
        <v>-4.0661356584819161E-2</v>
      </c>
      <c r="L36" s="35">
        <f>'5y 10 stocks Returns'!L23</f>
        <v>1.1509759254333795E-2</v>
      </c>
    </row>
    <row r="37" spans="1:12" hidden="1" outlineLevel="1" x14ac:dyDescent="0.25">
      <c r="A37" s="7">
        <f>'5y 10 stocks Returns'!A24</f>
        <v>42826</v>
      </c>
      <c r="B37" s="35">
        <f>'5y 10 stocks Returns'!B24</f>
        <v>3.8718507853569673E-2</v>
      </c>
      <c r="C37" s="35">
        <f>'5y 10 stocks Returns'!C24</f>
        <v>-6.9608209905310556E-5</v>
      </c>
      <c r="D37" s="35">
        <f>'5y 10 stocks Returns'!D24</f>
        <v>4.245669488810043E-2</v>
      </c>
      <c r="E37" s="35">
        <f>'5y 10 stocks Returns'!E24</f>
        <v>1.9302806495983076E-2</v>
      </c>
      <c r="F37" s="35">
        <f>'5y 10 stocks Returns'!F24</f>
        <v>7.9563965411238828E-3</v>
      </c>
      <c r="G37" s="35">
        <f>'5y 10 stocks Returns'!G24</f>
        <v>-9.6087083214920974E-3</v>
      </c>
      <c r="H37" s="35">
        <f>'5y 10 stocks Returns'!H24</f>
        <v>8.809974190733455E-2</v>
      </c>
      <c r="I37" s="35">
        <f>'5y 10 stocks Returns'!I24</f>
        <v>-4.399517058079905E-3</v>
      </c>
      <c r="J37" s="35">
        <f>'5y 10 stocks Returns'!J24</f>
        <v>-2.8447533425919724E-2</v>
      </c>
      <c r="K37" s="35">
        <f>'5y 10 stocks Returns'!K24</f>
        <v>-7.6107004253155334E-3</v>
      </c>
      <c r="L37" s="35">
        <f>'5y 10 stocks Returns'!L24</f>
        <v>9.0501322804594966E-3</v>
      </c>
    </row>
    <row r="38" spans="1:12" hidden="1" outlineLevel="1" x14ac:dyDescent="0.25">
      <c r="A38" s="7">
        <f>'5y 10 stocks Returns'!A25</f>
        <v>42795</v>
      </c>
      <c r="B38" s="35">
        <f>'5y 10 stocks Returns'!B25</f>
        <v>3.5004729121912576E-2</v>
      </c>
      <c r="C38" s="35">
        <f>'5y 10 stocks Returns'!C25</f>
        <v>5.1867522925044617E-2</v>
      </c>
      <c r="D38" s="35">
        <f>'5y 10 stocks Returns'!D25</f>
        <v>4.7942283463512946E-2</v>
      </c>
      <c r="E38" s="35">
        <f>'5y 10 stocks Returns'!E25</f>
        <v>2.9535004670668035E-2</v>
      </c>
      <c r="F38" s="35">
        <f>'5y 10 stocks Returns'!F25</f>
        <v>-1.1179754986293615E-2</v>
      </c>
      <c r="G38" s="35">
        <f>'5y 10 stocks Returns'!G25</f>
        <v>-3.1158225624235661E-2</v>
      </c>
      <c r="H38" s="35">
        <f>'5y 10 stocks Returns'!H25</f>
        <v>7.6840784473203453E-3</v>
      </c>
      <c r="I38" s="35">
        <f>'5y 10 stocks Returns'!I25</f>
        <v>1.7552122296093646E-2</v>
      </c>
      <c r="J38" s="35">
        <f>'5y 10 stocks Returns'!J25</f>
        <v>-1.3486888935332562E-2</v>
      </c>
      <c r="K38" s="35">
        <f>'5y 10 stocks Returns'!K25</f>
        <v>-4.517033931768303E-2</v>
      </c>
      <c r="L38" s="35">
        <f>'5y 10 stocks Returns'!L25</f>
        <v>-3.8927294496698804E-4</v>
      </c>
    </row>
    <row r="39" spans="1:12" hidden="1" outlineLevel="1" x14ac:dyDescent="0.25">
      <c r="A39" s="7">
        <f>'5y 10 stocks Returns'!A26</f>
        <v>42767</v>
      </c>
      <c r="B39" s="35">
        <f>'5y 10 stocks Returns'!B26</f>
        <v>-1.0417585558622837E-2</v>
      </c>
      <c r="C39" s="35">
        <f>'5y 10 stocks Returns'!C26</f>
        <v>0.12122912225301252</v>
      </c>
      <c r="D39" s="35">
        <f>'5y 10 stocks Returns'!D26</f>
        <v>2.5844699026700214E-2</v>
      </c>
      <c r="E39" s="35">
        <f>'5y 10 stocks Returns'!E26</f>
        <v>-5.0739452584739045E-3</v>
      </c>
      <c r="F39" s="35">
        <f>'5y 10 stocks Returns'!F26</f>
        <v>0.11527661268155724</v>
      </c>
      <c r="G39" s="35">
        <f>'5y 10 stocks Returns'!G26</f>
        <v>7.3903859323945331E-2</v>
      </c>
      <c r="H39" s="35">
        <f>'5y 10 stocks Returns'!H26</f>
        <v>3.2620230506894866E-2</v>
      </c>
      <c r="I39" s="35">
        <f>'5y 10 stocks Returns'!I26</f>
        <v>-3.1114349225965007E-2</v>
      </c>
      <c r="J39" s="35">
        <f>'5y 10 stocks Returns'!J26</f>
        <v>4.6735561386834379E-2</v>
      </c>
      <c r="K39" s="35">
        <f>'5y 10 stocks Returns'!K26</f>
        <v>8.6274959174733268E-2</v>
      </c>
      <c r="L39" s="35">
        <f>'5y 10 stocks Returns'!L26</f>
        <v>3.6523000999039816E-2</v>
      </c>
    </row>
    <row r="40" spans="1:12" hidden="1" outlineLevel="1" x14ac:dyDescent="0.25">
      <c r="A40" s="7">
        <f>'5y 10 stocks Returns'!A27</f>
        <v>42736</v>
      </c>
      <c r="B40" s="35">
        <f>'5y 10 stocks Returns'!B27</f>
        <v>3.9598346960542062E-2</v>
      </c>
      <c r="C40" s="35">
        <f>'5y 10 stocks Returns'!C27</f>
        <v>4.6641706156807447E-2</v>
      </c>
      <c r="D40" s="35">
        <f>'5y 10 stocks Returns'!D27</f>
        <v>6.8890534483602384E-2</v>
      </c>
      <c r="E40" s="35">
        <f>'5y 10 stocks Returns'!E27</f>
        <v>6.7545306093209717E-2</v>
      </c>
      <c r="F40" s="35">
        <f>'5y 10 stocks Returns'!F27</f>
        <v>1.640992688260539E-2</v>
      </c>
      <c r="G40" s="35">
        <f>'5y 10 stocks Returns'!G27</f>
        <v>-1.0110212228803983E-2</v>
      </c>
      <c r="H40" s="35">
        <f>'5y 10 stocks Returns'!H27</f>
        <v>3.1839757093719195E-2</v>
      </c>
      <c r="I40" s="35">
        <f>'5y 10 stocks Returns'!I27</f>
        <v>-7.318818466546273E-2</v>
      </c>
      <c r="J40" s="35">
        <f>'5y 10 stocks Returns'!J27</f>
        <v>4.1012232343690856E-2</v>
      </c>
      <c r="K40" s="35">
        <f>'5y 10 stocks Returns'!K27</f>
        <v>-1.9681542735076739E-2</v>
      </c>
      <c r="L40" s="35">
        <f>'5y 10 stocks Returns'!L27</f>
        <v>1.7726314594617782E-2</v>
      </c>
    </row>
    <row r="41" spans="1:12" hidden="1" outlineLevel="1" x14ac:dyDescent="0.25">
      <c r="A41" s="7">
        <f>'5y 10 stocks Returns'!A28</f>
        <v>42705</v>
      </c>
      <c r="B41" s="35">
        <f>'5y 10 stocks Returns'!B28</f>
        <v>3.7454146838764309E-2</v>
      </c>
      <c r="C41" s="35">
        <f>'5y 10 stocks Returns'!C28</f>
        <v>5.1961820821880868E-2</v>
      </c>
      <c r="D41" s="35">
        <f>'5y 10 stocks Returns'!D28</f>
        <v>2.3815776767489815E-2</v>
      </c>
      <c r="E41" s="35">
        <f>'5y 10 stocks Returns'!E28</f>
        <v>5.0172775888980135E-2</v>
      </c>
      <c r="F41" s="35">
        <f>'5y 10 stocks Returns'!F28</f>
        <v>1.3324823263930318E-2</v>
      </c>
      <c r="G41" s="35">
        <f>'5y 10 stocks Returns'!G28</f>
        <v>6.4249996923462518E-2</v>
      </c>
      <c r="H41" s="35">
        <f>'5y 10 stocks Returns'!H28</f>
        <v>1.801524560992928E-2</v>
      </c>
      <c r="I41" s="35">
        <f>'5y 10 stocks Returns'!I28</f>
        <v>4.2159675629096713E-2</v>
      </c>
      <c r="J41" s="35">
        <f>'5y 10 stocks Returns'!J28</f>
        <v>1.9455281347224251E-2</v>
      </c>
      <c r="K41" s="35">
        <f>'5y 10 stocks Returns'!K28</f>
        <v>9.288248770225177E-2</v>
      </c>
      <c r="L41" s="35">
        <f>'5y 10 stocks Returns'!L28</f>
        <v>1.8037111058687334E-2</v>
      </c>
    </row>
    <row r="42" spans="1:12" hidden="1" outlineLevel="1" x14ac:dyDescent="0.25">
      <c r="A42" s="7">
        <f>'5y 10 stocks Returns'!A29</f>
        <v>42675</v>
      </c>
      <c r="B42" s="35">
        <f>'5y 10 stocks Returns'!B29</f>
        <v>5.6581116448023152E-3</v>
      </c>
      <c r="C42" s="35">
        <f>'5y 10 stocks Returns'!C29</f>
        <v>-2.6958717024270256E-2</v>
      </c>
      <c r="D42" s="35">
        <f>'5y 10 stocks Returns'!D29</f>
        <v>-5.0972153058414578E-2</v>
      </c>
      <c r="E42" s="35">
        <f>'5y 10 stocks Returns'!E29</f>
        <v>6.7070708658138564E-2</v>
      </c>
      <c r="F42" s="35">
        <f>'5y 10 stocks Returns'!F29</f>
        <v>-2.0201328849509599E-2</v>
      </c>
      <c r="G42" s="35">
        <f>'5y 10 stocks Returns'!G29</f>
        <v>0.15352467864957731</v>
      </c>
      <c r="H42" s="35">
        <f>'5y 10 stocks Returns'!H29</f>
        <v>-3.4361405045320988E-2</v>
      </c>
      <c r="I42" s="35">
        <f>'5y 10 stocks Returns'!I29</f>
        <v>4.6661827272361747E-2</v>
      </c>
      <c r="J42" s="35">
        <f>'5y 10 stocks Returns'!J29</f>
        <v>-4.3607849676974605E-2</v>
      </c>
      <c r="K42" s="35">
        <f>'5y 10 stocks Returns'!K29</f>
        <v>0.24685993759692168</v>
      </c>
      <c r="L42" s="35">
        <f>'5y 10 stocks Returns'!L29</f>
        <v>3.3603545390870432E-2</v>
      </c>
    </row>
    <row r="43" spans="1:12" hidden="1" outlineLevel="1" x14ac:dyDescent="0.25">
      <c r="A43" s="7">
        <f>'5y 10 stocks Returns'!A30</f>
        <v>42644</v>
      </c>
      <c r="B43" s="35">
        <f>'5y 10 stocks Returns'!B30</f>
        <v>3.9487780436315553E-2</v>
      </c>
      <c r="C43" s="35">
        <f>'5y 10 stocks Returns'!C30</f>
        <v>4.3248877545664782E-3</v>
      </c>
      <c r="D43" s="35">
        <f>'5y 10 stocks Returns'!D30</f>
        <v>-5.8389289639810826E-2</v>
      </c>
      <c r="E43" s="35">
        <f>'5y 10 stocks Returns'!E30</f>
        <v>-1.8325167163699555E-3</v>
      </c>
      <c r="F43" s="35">
        <f>'5y 10 stocks Returns'!F30</f>
        <v>-3.3336480326230371E-2</v>
      </c>
      <c r="G43" s="35">
        <f>'5y 10 stocks Returns'!G30</f>
        <v>3.9313218739630028E-2</v>
      </c>
      <c r="H43" s="35">
        <f>'5y 10 stocks Returns'!H30</f>
        <v>9.2840479174319864E-3</v>
      </c>
      <c r="I43" s="35">
        <f>'5y 10 stocks Returns'!I30</f>
        <v>-4.6432433175506382E-2</v>
      </c>
      <c r="J43" s="35">
        <f>'5y 10 stocks Returns'!J30</f>
        <v>-3.3421401629968761E-2</v>
      </c>
      <c r="K43" s="35">
        <f>'5y 10 stocks Returns'!K30</f>
        <v>5.2889691052409794E-2</v>
      </c>
      <c r="L43" s="35">
        <f>'5y 10 stocks Returns'!L30</f>
        <v>-1.9616837421336072E-2</v>
      </c>
    </row>
    <row r="44" spans="1:12" hidden="1" outlineLevel="1" x14ac:dyDescent="0.25">
      <c r="A44" s="7">
        <f>'5y 10 stocks Returns'!A31</f>
        <v>42614</v>
      </c>
      <c r="B44" s="35">
        <f>'5y 10 stocks Returns'!B31</f>
        <v>8.6468357821425576E-3</v>
      </c>
      <c r="C44" s="35">
        <f>'5y 10 stocks Returns'!C31</f>
        <v>6.8850915785179739E-2</v>
      </c>
      <c r="D44" s="35">
        <f>'5y 10 stocks Returns'!D31</f>
        <v>8.4895394721912362E-2</v>
      </c>
      <c r="E44" s="35">
        <f>'5y 10 stocks Returns'!E31</f>
        <v>-1.7083376112012355E-2</v>
      </c>
      <c r="F44" s="35">
        <f>'5y 10 stocks Returns'!F31</f>
        <v>8.8664650087735553E-3</v>
      </c>
      <c r="G44" s="35">
        <f>'5y 10 stocks Returns'!G31</f>
        <v>-1.3573212959008167E-2</v>
      </c>
      <c r="H44" s="35">
        <f>'5y 10 stocks Returns'!H31</f>
        <v>1.3261510157852166E-2</v>
      </c>
      <c r="I44" s="35">
        <f>'5y 10 stocks Returns'!I31</f>
        <v>1.0096529702083808E-2</v>
      </c>
      <c r="J44" s="35">
        <f>'5y 10 stocks Returns'!J31</f>
        <v>2.7563133441429851E-2</v>
      </c>
      <c r="K44" s="35">
        <f>'5y 10 stocks Returns'!K31</f>
        <v>-2.6186488666843435E-2</v>
      </c>
      <c r="L44" s="35">
        <f>'5y 10 stocks Returns'!L31</f>
        <v>-1.2352134063971093E-3</v>
      </c>
    </row>
    <row r="45" spans="1:12" hidden="1" outlineLevel="1" x14ac:dyDescent="0.25">
      <c r="A45" s="7">
        <f>'5y 10 stocks Returns'!A32</f>
        <v>42583</v>
      </c>
      <c r="B45" s="35">
        <f>'5y 10 stocks Returns'!B32</f>
        <v>1.3667693073487096E-2</v>
      </c>
      <c r="C45" s="35">
        <f>'5y 10 stocks Returns'!C32</f>
        <v>1.7973973391415998E-2</v>
      </c>
      <c r="D45" s="35">
        <f>'5y 10 stocks Returns'!D32</f>
        <v>1.354756113762587E-2</v>
      </c>
      <c r="E45" s="35">
        <f>'5y 10 stocks Returns'!E32</f>
        <v>-8.4128366926886251E-3</v>
      </c>
      <c r="F45" s="35">
        <f>'5y 10 stocks Returns'!F32</f>
        <v>3.8439862255461865E-2</v>
      </c>
      <c r="G45" s="35">
        <f>'5y 10 stocks Returns'!G32</f>
        <v>6.1467951675039316E-2</v>
      </c>
      <c r="H45" s="35">
        <f>'5y 10 stocks Returns'!H32</f>
        <v>-2.2658490245801139E-3</v>
      </c>
      <c r="I45" s="35">
        <f>'5y 10 stocks Returns'!I32</f>
        <v>-2.0558275531738231E-2</v>
      </c>
      <c r="J45" s="35">
        <f>'5y 10 stocks Returns'!J32</f>
        <v>2.7696357272158877E-2</v>
      </c>
      <c r="K45" s="35">
        <f>'5y 10 stocks Returns'!K32</f>
        <v>0.10784195923127221</v>
      </c>
      <c r="L45" s="35">
        <f>'5y 10 stocks Returns'!L32</f>
        <v>-1.2199870176702919E-3</v>
      </c>
    </row>
    <row r="46" spans="1:12" hidden="1" outlineLevel="1" x14ac:dyDescent="0.25">
      <c r="A46" s="7">
        <f>'5y 10 stocks Returns'!A33</f>
        <v>42552</v>
      </c>
      <c r="B46" s="35">
        <f>'5y 10 stocks Returns'!B33</f>
        <v>0.10226799949355682</v>
      </c>
      <c r="C46" s="35">
        <f>'5y 10 stocks Returns'!C33</f>
        <v>8.6235098275332878E-2</v>
      </c>
      <c r="D46" s="35">
        <f>'5y 10 stocks Returns'!D33</f>
        <v>5.8602121209846161E-2</v>
      </c>
      <c r="E46" s="35">
        <f>'5y 10 stocks Returns'!E33</f>
        <v>-1.9301887744877184E-2</v>
      </c>
      <c r="F46" s="35">
        <f>'5y 10 stocks Returns'!F33</f>
        <v>6.2161335072799417E-2</v>
      </c>
      <c r="G46" s="35">
        <f>'5y 10 stocks Returns'!G33</f>
        <v>2.9024322759167023E-2</v>
      </c>
      <c r="H46" s="35">
        <f>'5y 10 stocks Returns'!H33</f>
        <v>0.10508740250026335</v>
      </c>
      <c r="I46" s="35">
        <f>'5y 10 stocks Returns'!I33</f>
        <v>-5.245075704134862E-2</v>
      </c>
      <c r="J46" s="35">
        <f>'5y 10 stocks Returns'!J33</f>
        <v>1.0807046941407364E-2</v>
      </c>
      <c r="K46" s="35">
        <f>'5y 10 stocks Returns'!K33</f>
        <v>9.1339212438813003E-2</v>
      </c>
      <c r="L46" s="35">
        <f>'5y 10 stocks Returns'!L33</f>
        <v>3.4990433050203752E-2</v>
      </c>
    </row>
    <row r="47" spans="1:12" hidden="1" outlineLevel="1" x14ac:dyDescent="0.25">
      <c r="A47" s="7">
        <f>'5y 10 stocks Returns'!A34</f>
        <v>42522</v>
      </c>
      <c r="B47" s="35">
        <f>'5y 10 stocks Returns'!B34</f>
        <v>-2.816835647618952E-2</v>
      </c>
      <c r="C47" s="35">
        <f>'5y 10 stocks Returns'!C34</f>
        <v>-3.7526502588994197E-2</v>
      </c>
      <c r="D47" s="35">
        <f>'5y 10 stocks Returns'!D34</f>
        <v>-9.9694002672957097E-3</v>
      </c>
      <c r="E47" s="35">
        <f>'5y 10 stocks Returns'!E34</f>
        <v>-1.4210440617537505E-2</v>
      </c>
      <c r="F47" s="35">
        <f>'5y 10 stocks Returns'!F34</f>
        <v>-1.2469730111198007E-2</v>
      </c>
      <c r="G47" s="35">
        <f>'5y 10 stocks Returns'!G34</f>
        <v>-4.9142678377946183E-2</v>
      </c>
      <c r="H47" s="35">
        <f>'5y 10 stocks Returns'!H34</f>
        <v>-6.1119152974679292E-2</v>
      </c>
      <c r="I47" s="35">
        <f>'5y 10 stocks Returns'!I34</f>
        <v>6.0033254465928963E-2</v>
      </c>
      <c r="J47" s="35">
        <f>'5y 10 stocks Returns'!J34</f>
        <v>4.3818525504050479E-2</v>
      </c>
      <c r="K47" s="35">
        <f>'5y 10 stocks Returns'!K34</f>
        <v>-0.10844561673927364</v>
      </c>
      <c r="L47" s="35">
        <f>'5y 10 stocks Returns'!L34</f>
        <v>9.1050648411568206E-4</v>
      </c>
    </row>
    <row r="48" spans="1:12" hidden="1" outlineLevel="1" x14ac:dyDescent="0.25">
      <c r="A48" s="7">
        <f>'5y 10 stocks Returns'!A35</f>
        <v>42491</v>
      </c>
      <c r="B48" s="35">
        <f>'5y 10 stocks Returns'!B35</f>
        <v>6.0872252821212593E-2</v>
      </c>
      <c r="C48" s="35">
        <f>'5y 10 stocks Returns'!C35</f>
        <v>6.3244341840116305E-2</v>
      </c>
      <c r="D48" s="35">
        <f>'5y 10 stocks Returns'!D35</f>
        <v>9.1500222297398293E-2</v>
      </c>
      <c r="E48" s="35">
        <f>'5y 10 stocks Returns'!E35</f>
        <v>-3.9910488328585181E-2</v>
      </c>
      <c r="F48" s="35">
        <f>'5y 10 stocks Returns'!F35</f>
        <v>6.4299858741073496E-2</v>
      </c>
      <c r="G48" s="35">
        <f>'5y 10 stocks Returns'!G35</f>
        <v>3.9604576565522936E-2</v>
      </c>
      <c r="H48" s="35">
        <f>'5y 10 stocks Returns'!H35</f>
        <v>5.9805128615398918E-2</v>
      </c>
      <c r="I48" s="35">
        <f>'5y 10 stocks Returns'!I35</f>
        <v>6.9888650790855423E-3</v>
      </c>
      <c r="J48" s="35">
        <f>'5y 10 stocks Returns'!J35</f>
        <v>1.9569437190636096E-2</v>
      </c>
      <c r="K48" s="35">
        <f>'5y 10 stocks Returns'!K35</f>
        <v>1.5673361657907565E-2</v>
      </c>
      <c r="L48" s="35">
        <f>'5y 10 stocks Returns'!L35</f>
        <v>1.5208366645339389E-2</v>
      </c>
    </row>
    <row r="49" spans="1:12" hidden="1" outlineLevel="1" x14ac:dyDescent="0.25">
      <c r="A49" s="7">
        <f>'5y 10 stocks Returns'!A36</f>
        <v>42461</v>
      </c>
      <c r="B49" s="35">
        <f>'5y 10 stocks Returns'!B36</f>
        <v>-0.1020868106167368</v>
      </c>
      <c r="C49" s="35">
        <f>'5y 10 stocks Returns'!C36</f>
        <v>-0.15073120784337654</v>
      </c>
      <c r="D49" s="35">
        <f>'5y 10 stocks Returns'!D36</f>
        <v>0.10534537050612541</v>
      </c>
      <c r="E49" s="35">
        <f>'5y 10 stocks Returns'!E36</f>
        <v>3.900369334491384E-2</v>
      </c>
      <c r="F49" s="35">
        <f>'5y 10 stocks Returns'!F36</f>
        <v>-3.5028688281639631E-2</v>
      </c>
      <c r="G49" s="35">
        <f>'5y 10 stocks Returns'!G36</f>
        <v>6.5045023697400145E-2</v>
      </c>
      <c r="H49" s="35">
        <f>'5y 10 stocks Returns'!H36</f>
        <v>-7.2272674611784049E-2</v>
      </c>
      <c r="I49" s="35">
        <f>'5y 10 stocks Returns'!I36</f>
        <v>5.5948207484098712E-2</v>
      </c>
      <c r="J49" s="35">
        <f>'5y 10 stocks Returns'!J36</f>
        <v>-2.6966989001458157E-2</v>
      </c>
      <c r="K49" s="35">
        <f>'5y 10 stocks Returns'!K36</f>
        <v>7.7905891259944127E-2</v>
      </c>
      <c r="L49" s="35">
        <f>'5y 10 stocks Returns'!L36</f>
        <v>2.6957616481642385E-3</v>
      </c>
    </row>
    <row r="50" spans="1:12" hidden="1" outlineLevel="1" x14ac:dyDescent="0.25">
      <c r="A50" s="7">
        <f>'5y 10 stocks Returns'!A37</f>
        <v>42430</v>
      </c>
      <c r="B50" s="35">
        <f>'5y 10 stocks Returns'!B37</f>
        <v>8.9190787838824878E-2</v>
      </c>
      <c r="C50" s="35">
        <f>'5y 10 stocks Returns'!C37</f>
        <v>0.12515794470182226</v>
      </c>
      <c r="D50" s="35">
        <f>'5y 10 stocks Returns'!D37</f>
        <v>7.178343226591305E-2</v>
      </c>
      <c r="E50" s="35">
        <f>'5y 10 stocks Returns'!E37</f>
        <v>3.8910767751321601E-2</v>
      </c>
      <c r="F50" s="35">
        <f>'5y 10 stocks Returns'!F37</f>
        <v>8.3855149962530712E-2</v>
      </c>
      <c r="G50" s="35">
        <f>'5y 10 stocks Returns'!G37</f>
        <v>5.0564845258038074E-2</v>
      </c>
      <c r="H50" s="35">
        <f>'5y 10 stocks Returns'!H37</f>
        <v>6.5427553911985223E-2</v>
      </c>
      <c r="I50" s="35">
        <f>'5y 10 stocks Returns'!I37</f>
        <v>5.1059327318006886E-2</v>
      </c>
      <c r="J50" s="35">
        <f>'5y 10 stocks Returns'!J37</f>
        <v>2.484740674021128E-2</v>
      </c>
      <c r="K50" s="35">
        <f>'5y 10 stocks Returns'!K37</f>
        <v>7.6842694461803793E-2</v>
      </c>
      <c r="L50" s="35">
        <f>'5y 10 stocks Returns'!L37</f>
        <v>6.3904990415635493E-2</v>
      </c>
    </row>
    <row r="51" spans="1:12" hidden="1" outlineLevel="1" x14ac:dyDescent="0.25">
      <c r="A51" s="7">
        <f>'5y 10 stocks Returns'!A38</f>
        <v>42401</v>
      </c>
      <c r="B51" s="35">
        <f>'5y 10 stocks Returns'!B38</f>
        <v>-7.9498408951904728E-2</v>
      </c>
      <c r="C51" s="35">
        <f>'5y 10 stocks Returns'!C38</f>
        <v>-6.699895675983043E-3</v>
      </c>
      <c r="D51" s="35">
        <f>'5y 10 stocks Returns'!D38</f>
        <v>-6.0535151798553274E-2</v>
      </c>
      <c r="E51" s="35">
        <f>'5y 10 stocks Returns'!E38</f>
        <v>-3.1358590227043414E-3</v>
      </c>
      <c r="F51" s="35">
        <f>'5y 10 stocks Returns'!F38</f>
        <v>0.1034922775170844</v>
      </c>
      <c r="G51" s="35">
        <f>'5y 10 stocks Returns'!G38</f>
        <v>-4.8596020503727855E-2</v>
      </c>
      <c r="H51" s="35">
        <f>'5y 10 stocks Returns'!H38</f>
        <v>-6.2739199624356853E-2</v>
      </c>
      <c r="I51" s="35">
        <f>'5y 10 stocks Returns'!I38</f>
        <v>2.9116132021073229E-2</v>
      </c>
      <c r="J51" s="35">
        <f>'5y 10 stocks Returns'!J38</f>
        <v>-8.609665086033504E-3</v>
      </c>
      <c r="K51" s="35">
        <f>'5y 10 stocks Returns'!K38</f>
        <v>-0.12168024719436674</v>
      </c>
      <c r="L51" s="35">
        <f>'5y 10 stocks Returns'!L38</f>
        <v>-4.1369056367907874E-3</v>
      </c>
    </row>
    <row r="52" spans="1:12" hidden="1" outlineLevel="1" x14ac:dyDescent="0.25">
      <c r="A52" s="7">
        <f>'5y 10 stocks Returns'!A39</f>
        <v>42370</v>
      </c>
      <c r="B52" s="35">
        <f>'5y 10 stocks Returns'!B39</f>
        <v>-7.0544599414097469E-3</v>
      </c>
      <c r="C52" s="35">
        <f>'5y 10 stocks Returns'!C39</f>
        <v>-7.8223725040940995E-2</v>
      </c>
      <c r="D52" s="35">
        <f>'5y 10 stocks Returns'!D39</f>
        <v>-0.14100554327369297</v>
      </c>
      <c r="E52" s="35">
        <f>'5y 10 stocks Returns'!E39</f>
        <v>-8.5860807616864585E-2</v>
      </c>
      <c r="F52" s="35">
        <f>'5y 10 stocks Returns'!F39</f>
        <v>-0.13247980953926153</v>
      </c>
      <c r="G52" s="35">
        <f>'5y 10 stocks Returns'!G39</f>
        <v>-0.10413282683585232</v>
      </c>
      <c r="H52" s="35">
        <f>'5y 10 stocks Returns'!H39</f>
        <v>-2.1214904863745037E-2</v>
      </c>
      <c r="I52" s="35">
        <f>'5y 10 stocks Returns'!I39</f>
        <v>-1.2838380626936112E-3</v>
      </c>
      <c r="J52" s="35">
        <f>'5y 10 stocks Returns'!J39</f>
        <v>2.8307546921708324E-2</v>
      </c>
      <c r="K52" s="35">
        <f>'5y 10 stocks Returns'!K39</f>
        <v>-0.17134387727964845</v>
      </c>
      <c r="L52" s="35">
        <f>'5y 10 stocks Returns'!L39</f>
        <v>-5.2067617227535473E-2</v>
      </c>
    </row>
    <row r="53" spans="1:12" hidden="1" outlineLevel="1" x14ac:dyDescent="0.25">
      <c r="A53" s="7">
        <f>'5y 10 stocks Returns'!A40</f>
        <v>42339</v>
      </c>
      <c r="B53" s="35">
        <f>'5y 10 stocks Returns'!B40</f>
        <v>2.7295889469147166E-2</v>
      </c>
      <c r="C53" s="35">
        <f>'5y 10 stocks Returns'!C40</f>
        <v>-0.11251895163474272</v>
      </c>
      <c r="D53" s="35">
        <f>'5y 10 stocks Returns'!D40</f>
        <v>1.6544137611092583E-2</v>
      </c>
      <c r="E53" s="35">
        <f>'5y 10 stocks Returns'!E40</f>
        <v>-7.6816423824405053E-2</v>
      </c>
      <c r="F53" s="35">
        <f>'5y 10 stocks Returns'!F40</f>
        <v>-3.3083442396193556E-3</v>
      </c>
      <c r="G53" s="35">
        <f>'5y 10 stocks Returns'!G40</f>
        <v>-9.7958438656949674E-3</v>
      </c>
      <c r="H53" s="35">
        <f>'5y 10 stocks Returns'!H40</f>
        <v>2.1686159293828937E-2</v>
      </c>
      <c r="I53" s="35">
        <f>'5y 10 stocks Returns'!I40</f>
        <v>-3.7817044282234084E-2</v>
      </c>
      <c r="J53" s="35">
        <f>'5y 10 stocks Returns'!J40</f>
        <v>5.9271651373479499E-2</v>
      </c>
      <c r="K53" s="35">
        <f>'5y 10 stocks Returns'!K40</f>
        <v>-3.5029759055626414E-2</v>
      </c>
      <c r="L53" s="35">
        <f>'5y 10 stocks Returns'!L40</f>
        <v>-1.7685658536441762E-2</v>
      </c>
    </row>
    <row r="54" spans="1:12" hidden="1" outlineLevel="1" x14ac:dyDescent="0.25">
      <c r="A54" s="7">
        <f>'5y 10 stocks Returns'!A41</f>
        <v>42309</v>
      </c>
      <c r="B54" s="35">
        <f>'5y 10 stocks Returns'!B41</f>
        <v>3.1968231416945173E-2</v>
      </c>
      <c r="C54" s="35">
        <f>'5y 10 stocks Returns'!C41</f>
        <v>-1.0092636970345589E-2</v>
      </c>
      <c r="D54" s="35">
        <f>'5y 10 stocks Returns'!D41</f>
        <v>6.0295573215258073E-2</v>
      </c>
      <c r="E54" s="35">
        <f>'5y 10 stocks Returns'!E41</f>
        <v>-2.3766066301358934E-3</v>
      </c>
      <c r="F54" s="35">
        <f>'5y 10 stocks Returns'!F41</f>
        <v>-4.9024209163779121E-2</v>
      </c>
      <c r="G54" s="35">
        <f>'5y 10 stocks Returns'!G41</f>
        <v>4.4312852587256701E-2</v>
      </c>
      <c r="H54" s="35">
        <f>'5y 10 stocks Returns'!H41</f>
        <v>4.3752347401220817E-2</v>
      </c>
      <c r="I54" s="35">
        <f>'5y 10 stocks Returns'!I41</f>
        <v>-1.3138658647392916E-2</v>
      </c>
      <c r="J54" s="35">
        <f>'5y 10 stocks Returns'!J41</f>
        <v>-1.142198264222488E-2</v>
      </c>
      <c r="K54" s="35">
        <f>'5y 10 stocks Returns'!K41</f>
        <v>3.8005058231951973E-2</v>
      </c>
      <c r="L54" s="35">
        <f>'5y 10 stocks Returns'!L41</f>
        <v>5.0474185711855491E-4</v>
      </c>
    </row>
    <row r="55" spans="1:12" hidden="1" outlineLevel="1" x14ac:dyDescent="0.25">
      <c r="A55" s="7">
        <f>'5y 10 stocks Returns'!A42</f>
        <v>42278</v>
      </c>
      <c r="B55" s="35">
        <f>'5y 10 stocks Returns'!B42</f>
        <v>0.17339513696177311</v>
      </c>
      <c r="C55" s="35">
        <f>'5y 10 stocks Returns'!C42</f>
        <v>8.011251366458956E-2</v>
      </c>
      <c r="D55" s="35">
        <f>'5y 10 stocks Returns'!D42</f>
        <v>0.20108086476498516</v>
      </c>
      <c r="E55" s="35">
        <f>'5y 10 stocks Returns'!E42</f>
        <v>0.10698346183164914</v>
      </c>
      <c r="F55" s="35">
        <f>'5y 10 stocks Returns'!F42</f>
        <v>9.4444033432991195E-2</v>
      </c>
      <c r="G55" s="35">
        <f>'5y 10 stocks Returns'!G42</f>
        <v>5.2399742966774826E-2</v>
      </c>
      <c r="H55" s="35">
        <f>'5y 10 stocks Returns'!H42</f>
        <v>0.15553975700947875</v>
      </c>
      <c r="I55" s="35">
        <f>'5y 10 stocks Returns'!I42</f>
        <v>0.10691941910402829</v>
      </c>
      <c r="J55" s="35">
        <f>'5y 10 stocks Returns'!J42</f>
        <v>5.9888348652446001E-2</v>
      </c>
      <c r="K55" s="35">
        <f>'5y 10 stocks Returns'!K42</f>
        <v>7.741405205274382E-2</v>
      </c>
      <c r="L55" s="35">
        <f>'5y 10 stocks Returns'!L42</f>
        <v>7.9719379495131665E-2</v>
      </c>
    </row>
    <row r="56" spans="1:12" hidden="1" outlineLevel="1" x14ac:dyDescent="0.25">
      <c r="A56" s="7">
        <f>'5y 10 stocks Returns'!A43</f>
        <v>42248</v>
      </c>
      <c r="B56" s="35">
        <f>'5y 10 stocks Returns'!B43</f>
        <v>2.3433337678948406E-2</v>
      </c>
      <c r="C56" s="35">
        <f>'5y 10 stocks Returns'!C43</f>
        <v>-1.895946514548413E-2</v>
      </c>
      <c r="D56" s="35">
        <f>'5y 10 stocks Returns'!D43</f>
        <v>-1.9516389627689909E-3</v>
      </c>
      <c r="E56" s="35">
        <f>'5y 10 stocks Returns'!E43</f>
        <v>3.1360798285119808E-3</v>
      </c>
      <c r="F56" s="35">
        <f>'5y 10 stocks Returns'!F43</f>
        <v>1.4195522745171637E-2</v>
      </c>
      <c r="G56" s="35">
        <f>'5y 10 stocks Returns'!G43</f>
        <v>-5.0062319683712241E-2</v>
      </c>
      <c r="H56" s="35">
        <f>'5y 10 stocks Returns'!H43</f>
        <v>-4.6861382628566602E-2</v>
      </c>
      <c r="I56" s="35">
        <f>'5y 10 stocks Returns'!I43</f>
        <v>-2.5862341432199678E-3</v>
      </c>
      <c r="J56" s="35">
        <f>'5y 10 stocks Returns'!J43</f>
        <v>1.7811608023284731E-2</v>
      </c>
      <c r="K56" s="35">
        <f>'5y 10 stocks Returns'!K43</f>
        <v>-5.3729425340257216E-2</v>
      </c>
      <c r="L56" s="35">
        <f>'5y 10 stocks Returns'!L43</f>
        <v>-2.6798731264652844E-2</v>
      </c>
    </row>
    <row r="57" spans="1:12" hidden="1" outlineLevel="1" x14ac:dyDescent="0.25">
      <c r="A57" s="7">
        <f>'5y 10 stocks Returns'!A44</f>
        <v>42217</v>
      </c>
      <c r="B57" s="35">
        <f>'5y 10 stocks Returns'!B44</f>
        <v>-7.0523659560539201E-2</v>
      </c>
      <c r="C57" s="35">
        <f>'5y 10 stocks Returns'!C44</f>
        <v>-7.1587094627726888E-2</v>
      </c>
      <c r="D57" s="35">
        <f>'5y 10 stocks Returns'!D44</f>
        <v>-4.435259095652358E-2</v>
      </c>
      <c r="E57" s="35">
        <f>'5y 10 stocks Returns'!E44</f>
        <v>-0.15789703284018819</v>
      </c>
      <c r="F57" s="35">
        <f>'5y 10 stocks Returns'!F44</f>
        <v>-8.5945809257341271E-2</v>
      </c>
      <c r="G57" s="35">
        <f>'5y 10 stocks Returns'!G44</f>
        <v>-6.0312616338459642E-2</v>
      </c>
      <c r="H57" s="35">
        <f>'5y 10 stocks Returns'!H44</f>
        <v>1.8999637860486106E-2</v>
      </c>
      <c r="I57" s="35">
        <f>'5y 10 stocks Returns'!I44</f>
        <v>-5.1419553822687744E-2</v>
      </c>
      <c r="J57" s="35">
        <f>'5y 10 stocks Returns'!J44</f>
        <v>-7.3727043266385336E-2</v>
      </c>
      <c r="K57" s="35">
        <f>'5y 10 stocks Returns'!K44</f>
        <v>-8.3965073913456478E-2</v>
      </c>
      <c r="L57" s="35">
        <f>'5y 10 stocks Returns'!L44</f>
        <v>-6.4624730898542204E-2</v>
      </c>
    </row>
    <row r="58" spans="1:12" hidden="1" outlineLevel="1" x14ac:dyDescent="0.25">
      <c r="A58" s="7">
        <f>'5y 10 stocks Returns'!A45</f>
        <v>42186</v>
      </c>
      <c r="B58" s="35">
        <f>'5y 10 stocks Returns'!B45</f>
        <v>5.615138950863606E-2</v>
      </c>
      <c r="C58" s="35">
        <f>'5y 10 stocks Returns'!C45</f>
        <v>-3.3481272359727109E-2</v>
      </c>
      <c r="D58" s="35">
        <f>'5y 10 stocks Returns'!D45</f>
        <v>0.21116214077099557</v>
      </c>
      <c r="E58" s="35">
        <f>'5y 10 stocks Returns'!E45</f>
        <v>5.0065888212511303E-2</v>
      </c>
      <c r="F58" s="35">
        <f>'5y 10 stocks Returns'!F45</f>
        <v>3.4362595825190106E-2</v>
      </c>
      <c r="G58" s="35">
        <f>'5y 10 stocks Returns'!G45</f>
        <v>1.1299758009413369E-2</v>
      </c>
      <c r="H58" s="35">
        <f>'5y 10 stocks Returns'!H45</f>
        <v>0.18391803040321489</v>
      </c>
      <c r="I58" s="35">
        <f>'5y 10 stocks Returns'!I45</f>
        <v>-4.9144760587851326E-2</v>
      </c>
      <c r="J58" s="35">
        <f>'5y 10 stocks Returns'!J45</f>
        <v>-1.987907409059032E-2</v>
      </c>
      <c r="K58" s="35">
        <f>'5y 10 stocks Returns'!K45</f>
        <v>5.2288266051541799E-2</v>
      </c>
      <c r="L58" s="35">
        <f>'5y 10 stocks Returns'!L45</f>
        <v>1.954968324649287E-2</v>
      </c>
    </row>
    <row r="59" spans="1:12" hidden="1" outlineLevel="1" x14ac:dyDescent="0.25">
      <c r="A59" s="7">
        <f>'5y 10 stocks Returns'!A46</f>
        <v>42156</v>
      </c>
      <c r="B59" s="35">
        <f>'5y 10 stocks Returns'!B46</f>
        <v>-5.3093689293059229E-2</v>
      </c>
      <c r="C59" s="35">
        <f>'5y 10 stocks Returns'!C46</f>
        <v>-3.3769417824387027E-2</v>
      </c>
      <c r="D59" s="35">
        <f>'5y 10 stocks Returns'!D46</f>
        <v>1.1258945233946025E-2</v>
      </c>
      <c r="E59" s="35">
        <f>'5y 10 stocks Returns'!E46</f>
        <v>3.3587491495348384E-2</v>
      </c>
      <c r="F59" s="35">
        <f>'5y 10 stocks Returns'!F46</f>
        <v>-6.5198043203181441E-2</v>
      </c>
      <c r="G59" s="35">
        <f>'5y 10 stocks Returns'!G46</f>
        <v>2.9656018615170927E-2</v>
      </c>
      <c r="H59" s="35">
        <f>'5y 10 stocks Returns'!H46</f>
        <v>-2.2041087317678777E-2</v>
      </c>
      <c r="I59" s="35">
        <f>'5y 10 stocks Returns'!I46</f>
        <v>-1.5517252102805941E-2</v>
      </c>
      <c r="J59" s="35">
        <f>'5y 10 stocks Returns'!J46</f>
        <v>-1.9155329083835686E-3</v>
      </c>
      <c r="K59" s="35">
        <f>'5y 10 stocks Returns'!K46</f>
        <v>3.1028906159832025E-2</v>
      </c>
      <c r="L59" s="35">
        <f>'5y 10 stocks Returns'!L46</f>
        <v>-2.1235559276432083E-2</v>
      </c>
    </row>
    <row r="60" spans="1:12" hidden="1" outlineLevel="1" x14ac:dyDescent="0.25">
      <c r="A60" s="7">
        <f>'5y 10 stocks Returns'!A47</f>
        <v>42125</v>
      </c>
      <c r="B60" s="35">
        <f>'5y 10 stocks Returns'!B47</f>
        <v>-3.7281890692137609E-2</v>
      </c>
      <c r="C60" s="35">
        <f>'5y 10 stocks Returns'!C47</f>
        <v>4.017262528978683E-2</v>
      </c>
      <c r="D60" s="35">
        <f>'5y 10 stocks Returns'!D47</f>
        <v>1.750908271209033E-2</v>
      </c>
      <c r="E60" s="35">
        <f>'5y 10 stocks Returns'!E47</f>
        <v>1.5062372477734507E-2</v>
      </c>
      <c r="F60" s="35">
        <f>'5y 10 stocks Returns'!F47</f>
        <v>1.6511968867305583E-2</v>
      </c>
      <c r="G60" s="35">
        <f>'5y 10 stocks Returns'!G47</f>
        <v>4.5687516000938684E-2</v>
      </c>
      <c r="H60" s="35">
        <f>'5y 10 stocks Returns'!H47</f>
        <v>-9.7808848209589953E-3</v>
      </c>
      <c r="I60" s="35">
        <f>'5y 10 stocks Returns'!I47</f>
        <v>-2.5150534453984495E-2</v>
      </c>
      <c r="J60" s="35">
        <f>'5y 10 stocks Returns'!J47</f>
        <v>-6.1761849933856545E-3</v>
      </c>
      <c r="K60" s="35">
        <f>'5y 10 stocks Returns'!K47</f>
        <v>3.5156106779985374E-2</v>
      </c>
      <c r="L60" s="35">
        <f>'5y 10 stocks Returns'!L47</f>
        <v>1.0436729763142673E-2</v>
      </c>
    </row>
    <row r="61" spans="1:12" hidden="1" outlineLevel="1" x14ac:dyDescent="0.25">
      <c r="A61" s="7">
        <f>'5y 10 stocks Returns'!A48</f>
        <v>42095</v>
      </c>
      <c r="B61" s="35">
        <f>'5y 10 stocks Returns'!B48</f>
        <v>0.1792015343686334</v>
      </c>
      <c r="C61" s="35">
        <f>'5y 10 stocks Returns'!C48</f>
        <v>5.769852184719519E-3</v>
      </c>
      <c r="D61" s="35">
        <f>'5y 10 stocks Returns'!D48</f>
        <v>0.12532119723543961</v>
      </c>
      <c r="E61" s="35">
        <f>'5y 10 stocks Returns'!E48</f>
        <v>3.5863729989297134E-2</v>
      </c>
      <c r="F61" s="35">
        <f>'5y 10 stocks Returns'!F48</f>
        <v>5.3764226838134789E-2</v>
      </c>
      <c r="G61" s="35">
        <f>'5y 10 stocks Returns'!G48</f>
        <v>4.3288310554342353E-2</v>
      </c>
      <c r="H61" s="35">
        <f>'5y 10 stocks Returns'!H48</f>
        <v>-1.4156270117590089E-2</v>
      </c>
      <c r="I61" s="35">
        <f>'5y 10 stocks Returns'!I48</f>
        <v>2.7500677399679891E-2</v>
      </c>
      <c r="J61" s="35">
        <f>'5y 10 stocks Returns'!J48</f>
        <v>-3.0104569978686994E-2</v>
      </c>
      <c r="K61" s="35">
        <f>'5y 10 stocks Returns'!K48</f>
        <v>3.7608347048366721E-2</v>
      </c>
      <c r="L61" s="35">
        <f>'5y 10 stocks Returns'!L48</f>
        <v>8.4847224530057719E-3</v>
      </c>
    </row>
    <row r="62" spans="1:12" hidden="1" outlineLevel="1" x14ac:dyDescent="0.25">
      <c r="A62" s="7">
        <f>'5y 10 stocks Returns'!A49</f>
        <v>42064</v>
      </c>
      <c r="B62" s="35">
        <f>'5y 10 stocks Returns'!B49</f>
        <v>-6.8438611238217303E-2</v>
      </c>
      <c r="C62" s="35">
        <f>'5y 10 stocks Returns'!C49</f>
        <v>-2.7935446788965736E-2</v>
      </c>
      <c r="D62" s="35">
        <f>'5y 10 stocks Returns'!D49</f>
        <v>-2.1429575778836519E-2</v>
      </c>
      <c r="E62" s="35">
        <f>'5y 10 stocks Returns'!E49</f>
        <v>7.7523065190286912E-3</v>
      </c>
      <c r="F62" s="35">
        <f>'5y 10 stocks Returns'!F49</f>
        <v>-6.9452835497528245E-2</v>
      </c>
      <c r="G62" s="35">
        <f>'5y 10 stocks Returns'!G49</f>
        <v>-1.1488872115892539E-2</v>
      </c>
      <c r="H62" s="35">
        <f>'5y 10 stocks Returns'!H49</f>
        <v>-1.8800259276843617E-2</v>
      </c>
      <c r="I62" s="35">
        <f>'5y 10 stocks Returns'!I49</f>
        <v>-3.3304387232789903E-2</v>
      </c>
      <c r="J62" s="35">
        <f>'5y 10 stocks Returns'!J49</f>
        <v>-3.8192020654178087E-2</v>
      </c>
      <c r="K62" s="35">
        <f>'5y 10 stocks Returns'!K49</f>
        <v>-2.6924700075699196E-2</v>
      </c>
      <c r="L62" s="35">
        <f>'5y 10 stocks Returns'!L49</f>
        <v>-1.7549197229950769E-2</v>
      </c>
    </row>
    <row r="63" spans="1:12" hidden="1" outlineLevel="1" x14ac:dyDescent="0.25">
      <c r="A63" s="7">
        <f>'5y 10 stocks Returns'!A50</f>
        <v>42036</v>
      </c>
      <c r="B63" s="35">
        <f>'5y 10 stocks Returns'!B50</f>
        <v>8.1944851597246349E-2</v>
      </c>
      <c r="C63" s="35">
        <f>'5y 10 stocks Returns'!C50</f>
        <v>9.2077072482009276E-2</v>
      </c>
      <c r="D63" s="35">
        <f>'5y 10 stocks Returns'!D50</f>
        <v>6.979926145102977E-2</v>
      </c>
      <c r="E63" s="35">
        <f>'5y 10 stocks Returns'!E50</f>
        <v>0.13474014885877733</v>
      </c>
      <c r="F63" s="35">
        <f>'5y 10 stocks Returns'!F50</f>
        <v>0.1193553558571581</v>
      </c>
      <c r="G63" s="35">
        <f>'5y 10 stocks Returns'!G50</f>
        <v>0.1258694470652881</v>
      </c>
      <c r="H63" s="35">
        <f>'5y 10 stocks Returns'!H50</f>
        <v>4.3706444612852974E-2</v>
      </c>
      <c r="I63" s="35">
        <f>'5y 10 stocks Returns'!I50</f>
        <v>1.2730477652931411E-2</v>
      </c>
      <c r="J63" s="35">
        <f>'5y 10 stocks Returns'!J50</f>
        <v>1.6998861914288479E-2</v>
      </c>
      <c r="K63" s="35">
        <f>'5y 10 stocks Returns'!K50</f>
        <v>4.2642053529157134E-2</v>
      </c>
      <c r="L63" s="35">
        <f>'5y 10 stocks Returns'!L50</f>
        <v>5.343887644310899E-2</v>
      </c>
    </row>
    <row r="64" spans="1:12" hidden="1" outlineLevel="1" x14ac:dyDescent="0.25">
      <c r="A64" s="7">
        <f>'5y 10 stocks Returns'!A51</f>
        <v>42005</v>
      </c>
      <c r="B64" s="35">
        <f>'5y 10 stocks Returns'!B51</f>
        <v>-0.13954662386843725</v>
      </c>
      <c r="C64" s="35">
        <f>'5y 10 stocks Returns'!C51</f>
        <v>5.9611509225418885E-2</v>
      </c>
      <c r="D64" s="35">
        <f>'5y 10 stocks Returns'!D51</f>
        <v>0.13309225361240848</v>
      </c>
      <c r="E64" s="35">
        <f>'5y 10 stocks Returns'!E51</f>
        <v>-2.2264536937621121E-2</v>
      </c>
      <c r="F64" s="35">
        <f>'5y 10 stocks Returns'!F51</f>
        <v>-5.3528306020408728E-2</v>
      </c>
      <c r="G64" s="35">
        <f>'5y 10 stocks Returns'!G51</f>
        <v>-0.14044914804855793</v>
      </c>
      <c r="H64" s="35">
        <f>'5y 10 stocks Returns'!H51</f>
        <v>1.5303224189097655E-2</v>
      </c>
      <c r="I64" s="35">
        <f>'5y 10 stocks Returns'!I51</f>
        <v>-5.5943739557713985E-2</v>
      </c>
      <c r="J64" s="35">
        <f>'5y 10 stocks Returns'!J51</f>
        <v>-7.7584749845044571E-2</v>
      </c>
      <c r="K64" s="35">
        <f>'5y 10 stocks Returns'!K51</f>
        <v>-0.16332164424839377</v>
      </c>
      <c r="L64" s="35">
        <f>'5y 10 stocks Returns'!L51</f>
        <v>-3.1532779216949261E-2</v>
      </c>
    </row>
    <row r="65" spans="1:12" hidden="1" outlineLevel="1" x14ac:dyDescent="0.25">
      <c r="A65" s="7">
        <f>'5y 10 stocks Returns'!A52</f>
        <v>41974</v>
      </c>
      <c r="B65" s="35">
        <f>'5y 10 stocks Returns'!B52</f>
        <v>-2.2571042575590863E-2</v>
      </c>
      <c r="C65" s="35">
        <f>'5y 10 stocks Returns'!C52</f>
        <v>-7.0279343670232891E-2</v>
      </c>
      <c r="D65" s="35">
        <f>'5y 10 stocks Returns'!D52</f>
        <v>-8.7236928314820938E-2</v>
      </c>
      <c r="E65" s="35">
        <f>'5y 10 stocks Returns'!E52</f>
        <v>1.7997433677514853E-2</v>
      </c>
      <c r="F65" s="35">
        <f>'5y 10 stocks Returns'!F52</f>
        <v>6.4912421147194791E-3</v>
      </c>
      <c r="G65" s="35">
        <f>'5y 10 stocks Returns'!G52</f>
        <v>3.9437986701745746E-2</v>
      </c>
      <c r="H65" s="35">
        <f>'5y 10 stocks Returns'!H52</f>
        <v>-2.8890842527247829E-2</v>
      </c>
      <c r="I65" s="35">
        <f>'5y 10 stocks Returns'!I52</f>
        <v>2.8069896818990428E-2</v>
      </c>
      <c r="J65" s="35">
        <f>'5y 10 stocks Returns'!J52</f>
        <v>7.2720102949167262E-3</v>
      </c>
      <c r="K65" s="35">
        <f>'5y 10 stocks Returns'!K52</f>
        <v>4.8678506097706298E-2</v>
      </c>
      <c r="L65" s="35">
        <f>'5y 10 stocks Returns'!L52</f>
        <v>-4.1973845845717124E-3</v>
      </c>
    </row>
    <row r="66" spans="1:12" hidden="1" outlineLevel="1" x14ac:dyDescent="0.25">
      <c r="A66" s="7">
        <f>'5y 10 stocks Returns'!A53</f>
        <v>41944</v>
      </c>
      <c r="B66" s="35">
        <f>'5y 10 stocks Returns'!B53</f>
        <v>1.815181689892496E-2</v>
      </c>
      <c r="C66" s="35">
        <f>'5y 10 stocks Returns'!C53</f>
        <v>9.6404026224830255E-2</v>
      </c>
      <c r="D66" s="35">
        <f>'5y 10 stocks Returns'!D53</f>
        <v>0.10311883282895394</v>
      </c>
      <c r="E66" s="35">
        <f>'5y 10 stocks Returns'!E53</f>
        <v>1.2290182917015485E-2</v>
      </c>
      <c r="F66" s="35">
        <f>'5y 10 stocks Returns'!F53</f>
        <v>0.12181605475209858</v>
      </c>
      <c r="G66" s="35">
        <f>'5y 10 stocks Returns'!G53</f>
        <v>1.4097516893444356E-3</v>
      </c>
      <c r="H66" s="35">
        <f>'5y 10 stocks Returns'!H53</f>
        <v>-3.1340335111102915E-2</v>
      </c>
      <c r="I66" s="35">
        <f>'5y 10 stocks Returns'!I53</f>
        <v>-6.5925167473773472E-2</v>
      </c>
      <c r="J66" s="35">
        <f>'5y 10 stocks Returns'!J53</f>
        <v>4.3205050661161669E-2</v>
      </c>
      <c r="K66" s="35">
        <f>'5y 10 stocks Returns'!K53</f>
        <v>-7.0180636537215688E-3</v>
      </c>
      <c r="L66" s="35">
        <f>'5y 10 stocks Returns'!L53</f>
        <v>2.4237473674625542E-2</v>
      </c>
    </row>
    <row r="67" spans="1:12" hidden="1" outlineLevel="1" x14ac:dyDescent="0.25">
      <c r="A67" s="7">
        <f>'5y 10 stocks Returns'!A54</f>
        <v>41913</v>
      </c>
      <c r="B67" s="35">
        <f>'5y 10 stocks Returns'!B54</f>
        <v>1.2646177264111347E-2</v>
      </c>
      <c r="C67" s="35">
        <f>'5y 10 stocks Returns'!C54</f>
        <v>6.9489134431214281E-2</v>
      </c>
      <c r="D67" s="35">
        <f>'5y 10 stocks Returns'!D54</f>
        <v>-5.4098270939564909E-2</v>
      </c>
      <c r="E67" s="35">
        <f>'5y 10 stocks Returns'!E54</f>
        <v>2.6053386099815293E-2</v>
      </c>
      <c r="F67" s="35">
        <f>'5y 10 stocks Returns'!F54</f>
        <v>-2.0612241577256246E-2</v>
      </c>
      <c r="G67" s="35">
        <f>'5y 10 stocks Returns'!G54</f>
        <v>3.9761462808152823E-3</v>
      </c>
      <c r="H67" s="35">
        <f>'5y 10 stocks Returns'!H54</f>
        <v>-3.2173336639437881E-2</v>
      </c>
      <c r="I67" s="35">
        <f>'5y 10 stocks Returns'!I54</f>
        <v>2.7890629502185689E-2</v>
      </c>
      <c r="J67" s="35">
        <f>'5y 10 stocks Returns'!J54</f>
        <v>4.1289687675910548E-2</v>
      </c>
      <c r="K67" s="35">
        <f>'5y 10 stocks Returns'!K54</f>
        <v>9.5090450287887724E-3</v>
      </c>
      <c r="L67" s="35">
        <f>'5y 10 stocks Returns'!L54</f>
        <v>2.2936398946422354E-2</v>
      </c>
    </row>
    <row r="68" spans="1:12" hidden="1" outlineLevel="1" x14ac:dyDescent="0.25">
      <c r="A68" s="7">
        <f>'5y 10 stocks Returns'!A55</f>
        <v>41883</v>
      </c>
      <c r="B68" s="35">
        <f>'5y 10 stocks Returns'!B55</f>
        <v>2.649072619445033E-2</v>
      </c>
      <c r="C68" s="35">
        <f>'5y 10 stocks Returns'!C55</f>
        <v>-1.2258965691305242E-2</v>
      </c>
      <c r="D68" s="35">
        <f>'5y 10 stocks Returns'!D55</f>
        <v>-5.0201042447424411E-2</v>
      </c>
      <c r="E68" s="35">
        <f>'5y 10 stocks Returns'!E55</f>
        <v>-9.5023677424643932E-3</v>
      </c>
      <c r="F68" s="35">
        <f>'5y 10 stocks Returns'!F55</f>
        <v>7.1768257753239686E-3</v>
      </c>
      <c r="G68" s="35">
        <f>'5y 10 stocks Returns'!G55</f>
        <v>1.3200898297788317E-2</v>
      </c>
      <c r="H68" s="35">
        <f>'5y 10 stocks Returns'!H55</f>
        <v>1.0026461171084243E-2</v>
      </c>
      <c r="I68" s="35">
        <f>'5y 10 stocks Returns'!I55</f>
        <v>-4.8986978288873183E-2</v>
      </c>
      <c r="J68" s="35">
        <f>'5y 10 stocks Returns'!J55</f>
        <v>7.5518218822893902E-3</v>
      </c>
      <c r="K68" s="35">
        <f>'5y 10 stocks Returns'!K55</f>
        <v>5.7952483446251389E-2</v>
      </c>
      <c r="L68" s="35">
        <f>'5y 10 stocks Returns'!L55</f>
        <v>-1.5635436078483781E-2</v>
      </c>
    </row>
    <row r="69" spans="1:12" hidden="1" outlineLevel="1" x14ac:dyDescent="0.25">
      <c r="A69" s="7">
        <f>'5y 10 stocks Returns'!A56</f>
        <v>41852</v>
      </c>
      <c r="B69" s="35">
        <f>'5y 10 stocks Returns'!B56</f>
        <v>5.1258164544507177E-2</v>
      </c>
      <c r="C69" s="35">
        <f>'5y 10 stocks Returns'!C56</f>
        <v>6.9689913506244552E-2</v>
      </c>
      <c r="D69" s="35">
        <f>'5y 10 stocks Returns'!D56</f>
        <v>7.994691186744439E-2</v>
      </c>
      <c r="E69" s="35">
        <f>'5y 10 stocks Returns'!E56</f>
        <v>4.5524603112864409E-2</v>
      </c>
      <c r="F69" s="35">
        <f>'5y 10 stocks Returns'!F56</f>
        <v>-1.9534735592440663E-3</v>
      </c>
      <c r="G69" s="35">
        <f>'5y 10 stocks Returns'!G56</f>
        <v>3.7364788943806383E-2</v>
      </c>
      <c r="H69" s="35">
        <f>'5y 10 stocks Returns'!H56</f>
        <v>0</v>
      </c>
      <c r="I69" s="35">
        <f>'5y 10 stocks Returns'!I56</f>
        <v>5.2417217049638689E-3</v>
      </c>
      <c r="J69" s="35">
        <f>'5y 10 stocks Returns'!J56</f>
        <v>8.0164342007231909E-2</v>
      </c>
      <c r="K69" s="35">
        <f>'5y 10 stocks Returns'!K56</f>
        <v>5.3618173390220021E-2</v>
      </c>
      <c r="L69" s="35">
        <f>'5y 10 stocks Returns'!L56</f>
        <v>3.6963644321168353E-2</v>
      </c>
    </row>
    <row r="70" spans="1:12" hidden="1" outlineLevel="1" x14ac:dyDescent="0.25">
      <c r="A70" s="7">
        <f>'5y 10 stocks Returns'!A57</f>
        <v>41821</v>
      </c>
      <c r="B70" s="35">
        <f>'5y 10 stocks Returns'!B57</f>
        <v>3.4413427003542552E-2</v>
      </c>
      <c r="C70" s="35">
        <f>'5y 10 stocks Returns'!C57</f>
        <v>2.8326211167293194E-2</v>
      </c>
      <c r="D70" s="35">
        <f>'5y 10 stocks Returns'!D57</f>
        <v>-3.697681775984954E-2</v>
      </c>
      <c r="E70" s="35">
        <f>'5y 10 stocks Returns'!E57</f>
        <v>1.6314880836721603E-3</v>
      </c>
      <c r="F70" s="35">
        <f>'5y 10 stocks Returns'!F57</f>
        <v>1.5175799733401357E-2</v>
      </c>
      <c r="G70" s="35">
        <f>'5y 10 stocks Returns'!G57</f>
        <v>8.6730613929089412E-4</v>
      </c>
      <c r="H70" s="35">
        <f>'5y 10 stocks Returns'!H57</f>
        <v>-6.4173887592019899E-3</v>
      </c>
      <c r="I70" s="35">
        <f>'5y 10 stocks Returns'!I57</f>
        <v>-1.7433454370552701E-2</v>
      </c>
      <c r="J70" s="35">
        <f>'5y 10 stocks Returns'!J57</f>
        <v>-1.6291854808711974E-2</v>
      </c>
      <c r="K70" s="35">
        <f>'5y 10 stocks Returns'!K57</f>
        <v>-7.194575894108211E-3</v>
      </c>
      <c r="L70" s="35">
        <f>'5y 10 stocks Returns'!L57</f>
        <v>-1.5194687370535838E-2</v>
      </c>
    </row>
    <row r="71" spans="1:12" hidden="1" outlineLevel="1" x14ac:dyDescent="0.25">
      <c r="A71" s="7">
        <f>'5y 10 stocks Returns'!A58</f>
        <v>41791</v>
      </c>
      <c r="B71" s="35">
        <f>'5y 10 stocks Returns'!B58</f>
        <v>2.5423224707595359E-2</v>
      </c>
      <c r="C71" s="35">
        <f>'5y 10 stocks Returns'!C58</f>
        <v>6.6942588408579057E-2</v>
      </c>
      <c r="D71" s="35">
        <f>'5y 10 stocks Returns'!D58</f>
        <v>3.8383608973970564E-2</v>
      </c>
      <c r="E71" s="35">
        <f>'5y 10 stocks Returns'!E58</f>
        <v>2.038368585650531E-2</v>
      </c>
      <c r="F71" s="35">
        <f>'5y 10 stocks Returns'!F58</f>
        <v>9.2988257305490329E-3</v>
      </c>
      <c r="G71" s="35">
        <f>'5y 10 stocks Returns'!G58</f>
        <v>3.6226382070200583E-2</v>
      </c>
      <c r="H71" s="35">
        <f>'5y 10 stocks Returns'!H58</f>
        <v>2.7116555279211019E-2</v>
      </c>
      <c r="I71" s="35">
        <f>'5y 10 stocks Returns'!I58</f>
        <v>8.25733364526904E-3</v>
      </c>
      <c r="J71" s="35">
        <f>'5y 10 stocks Returns'!J58</f>
        <v>-2.760845868009168E-2</v>
      </c>
      <c r="K71" s="35">
        <f>'5y 10 stocks Returns'!K58</f>
        <v>1.5077409469795135E-2</v>
      </c>
      <c r="L71" s="35">
        <f>'5y 10 stocks Returns'!L58</f>
        <v>1.8878996624704429E-2</v>
      </c>
    </row>
    <row r="72" spans="1:12" hidden="1" outlineLevel="1" x14ac:dyDescent="0.25">
      <c r="A72" s="7">
        <f>'5y 10 stocks Returns'!A59</f>
        <v>41760</v>
      </c>
      <c r="B72" s="35">
        <f>'5y 10 stocks Returns'!B59</f>
        <v>1.3277844844699864E-2</v>
      </c>
      <c r="C72" s="35">
        <f>'5y 10 stocks Returns'!C59</f>
        <v>7.0195279145547879E-2</v>
      </c>
      <c r="D72" s="35">
        <f>'5y 10 stocks Returns'!D59</f>
        <v>2.7309159966781946E-2</v>
      </c>
      <c r="E72" s="35">
        <f>'5y 10 stocks Returns'!E59</f>
        <v>5.7193442949980397E-2</v>
      </c>
      <c r="F72" s="35">
        <f>'5y 10 stocks Returns'!F59</f>
        <v>7.1804426139284533E-2</v>
      </c>
      <c r="G72" s="35">
        <f>'5y 10 stocks Returns'!G59</f>
        <v>-1.0678547030592513E-3</v>
      </c>
      <c r="H72" s="35">
        <f>'5y 10 stocks Returns'!H59</f>
        <v>6.1185150958204787E-2</v>
      </c>
      <c r="I72" s="35">
        <f>'5y 10 stocks Returns'!I59</f>
        <v>-1.8528363122124508E-2</v>
      </c>
      <c r="J72" s="35">
        <f>'5y 10 stocks Returns'!J59</f>
        <v>-1.3598591960603175E-2</v>
      </c>
      <c r="K72" s="35">
        <f>'5y 10 stocks Returns'!K59</f>
        <v>0</v>
      </c>
      <c r="L72" s="35">
        <f>'5y 10 stocks Returns'!L59</f>
        <v>2.0812195954315483E-2</v>
      </c>
    </row>
    <row r="73" spans="1:12" collapsed="1" x14ac:dyDescent="0.25">
      <c r="A73" s="7">
        <f>'5y 10 stocks Returns'!A60</f>
        <v>41730</v>
      </c>
      <c r="B73" s="35">
        <f>'5y 10 stocks Returns'!B60</f>
        <v>-1.4498480621072111E-2</v>
      </c>
      <c r="C73" s="35">
        <f>'5y 10 stocks Returns'!C60</f>
        <v>9.4761582267516131E-2</v>
      </c>
      <c r="D73" s="35">
        <f>'5y 10 stocks Returns'!D60</f>
        <v>-0.10075647169213836</v>
      </c>
      <c r="E73" s="35">
        <f>'5y 10 stocks Returns'!E60</f>
        <v>-9.1590065355342462E-3</v>
      </c>
      <c r="F73" s="35">
        <f>'5y 10 stocks Returns'!F60</f>
        <v>3.0311902210499342E-2</v>
      </c>
      <c r="G73" s="35">
        <f>'5y 10 stocks Returns'!G60</f>
        <v>-8.1114181078567951E-2</v>
      </c>
      <c r="H73" s="35">
        <f>'5y 10 stocks Returns'!H60</f>
        <v>-5.8697919141521511E-2</v>
      </c>
      <c r="I73" s="35">
        <f>'5y 10 stocks Returns'!I60</f>
        <v>4.7287823133748359E-2</v>
      </c>
      <c r="J73" s="35">
        <f>'5y 10 stocks Returns'!J60</f>
        <v>2.3905413221937212E-2</v>
      </c>
      <c r="K73" s="35">
        <f>'5y 10 stocks Returns'!K60</f>
        <v>-0.12697118589088233</v>
      </c>
      <c r="L73" s="35">
        <f>'5y 10 stocks Returns'!L60</f>
        <v>6.18164317838415E-3</v>
      </c>
    </row>
    <row r="74" spans="1:12" x14ac:dyDescent="0.25">
      <c r="A74" s="7">
        <f>'5y 10 stocks Returns'!A61</f>
        <v>41699</v>
      </c>
      <c r="B74" s="35">
        <f>'5y 10 stocks Returns'!B61</f>
        <v>7.5087817016321515E-2</v>
      </c>
      <c r="C74" s="35">
        <f>'5y 10 stocks Returns'!C61</f>
        <v>6.2299741711851264E-2</v>
      </c>
      <c r="D74" s="35">
        <f>'5y 10 stocks Returns'!D61</f>
        <v>-7.3708703632283726E-2</v>
      </c>
      <c r="E74" s="35">
        <f>'5y 10 stocks Returns'!E61</f>
        <v>-9.1994136170981088E-3</v>
      </c>
      <c r="F74" s="35">
        <f>'5y 10 stocks Returns'!F61</f>
        <v>2.8043612386376673E-2</v>
      </c>
      <c r="G74" s="35">
        <f>'5y 10 stocks Returns'!G61</f>
        <v>6.6219997301183775E-2</v>
      </c>
      <c r="H74" s="35">
        <f>'5y 10 stocks Returns'!H61</f>
        <v>-8.3634406044967413E-2</v>
      </c>
      <c r="I74" s="35">
        <f>'5y 10 stocks Returns'!I61</f>
        <v>2.1597669635734531E-2</v>
      </c>
      <c r="J74" s="35">
        <f>'5y 10 stocks Returns'!J61</f>
        <v>2.4364059603593228E-2</v>
      </c>
      <c r="K74" s="35">
        <f>'5y 10 stocks Returns'!K61</f>
        <v>3.973213839134971E-2</v>
      </c>
      <c r="L74" s="35">
        <f>'5y 10 stocks Returns'!L61</f>
        <v>6.9082486153468677E-3</v>
      </c>
    </row>
    <row r="75" spans="1:12" x14ac:dyDescent="0.25">
      <c r="A75" s="7">
        <f>'5y 10 stocks Returns'!A62</f>
        <v>41671</v>
      </c>
      <c r="B75" s="35">
        <f>'5y 10 stocks Returns'!B62</f>
        <v>1.2344684711336566E-2</v>
      </c>
      <c r="C75" s="35">
        <f>'5y 10 stocks Returns'!C62</f>
        <v>4.9950257934585178E-2</v>
      </c>
      <c r="D75" s="35">
        <f>'5y 10 stocks Returns'!D62</f>
        <v>9.4619220660906861E-3</v>
      </c>
      <c r="E75" s="35">
        <f>'5y 10 stocks Returns'!E62</f>
        <v>0.10699798451961316</v>
      </c>
      <c r="F75" s="35">
        <f>'5y 10 stocks Returns'!F62</f>
        <v>2.5749360260421427E-3</v>
      </c>
      <c r="G75" s="35">
        <f>'5y 10 stocks Returns'!G62</f>
        <v>3.2550407465635825E-2</v>
      </c>
      <c r="H75" s="35">
        <f>'5y 10 stocks Returns'!H62</f>
        <v>2.8942704479535238E-2</v>
      </c>
      <c r="I75" s="35">
        <f>'5y 10 stocks Returns'!I62</f>
        <v>4.36303953525067E-2</v>
      </c>
      <c r="J75" s="35">
        <f>'5y 10 stocks Returns'!J62</f>
        <v>3.3806995826105947E-2</v>
      </c>
      <c r="K75" s="35">
        <f>'5y 10 stocks Returns'!K62</f>
        <v>-1.3221138974921283E-2</v>
      </c>
      <c r="L75" s="35">
        <f>'5y 10 stocks Returns'!L62</f>
        <v>4.2213374879040998E-2</v>
      </c>
    </row>
  </sheetData>
  <mergeCells count="1">
    <mergeCell ref="A1:L1"/>
  </mergeCells>
  <printOptions headings="1" gridLines="1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76"/>
  <sheetViews>
    <sheetView zoomScaleNormal="100" workbookViewId="0">
      <selection activeCell="H9" sqref="H9"/>
    </sheetView>
  </sheetViews>
  <sheetFormatPr defaultRowHeight="14.25" outlineLevelRow="1" x14ac:dyDescent="0.2"/>
  <cols>
    <col min="1" max="1" width="10.5" customWidth="1"/>
    <col min="12" max="12" width="32.75" bestFit="1" customWidth="1"/>
  </cols>
  <sheetData>
    <row r="1" spans="1:12" ht="18" x14ac:dyDescent="0.25">
      <c r="A1" s="51" t="s">
        <v>43</v>
      </c>
      <c r="B1" s="51"/>
      <c r="C1" s="51"/>
      <c r="D1" s="51"/>
      <c r="E1" s="51"/>
      <c r="F1" s="51"/>
      <c r="G1" s="51"/>
      <c r="H1" s="51"/>
      <c r="I1" s="51"/>
      <c r="J1" s="51"/>
      <c r="K1" s="51"/>
      <c r="L1" s="51"/>
    </row>
    <row r="2" spans="1:12" ht="15" x14ac:dyDescent="0.25">
      <c r="A2" s="34" t="s">
        <v>45</v>
      </c>
      <c r="B2" s="5"/>
      <c r="C2" s="5"/>
      <c r="D2" s="5"/>
      <c r="E2" s="5"/>
      <c r="F2" s="5"/>
      <c r="G2" s="5"/>
      <c r="H2" s="5"/>
      <c r="I2" s="5"/>
      <c r="J2" s="5"/>
      <c r="K2" s="5"/>
    </row>
    <row r="3" spans="1:12" ht="15" x14ac:dyDescent="0.25">
      <c r="A3" s="34" t="s">
        <v>44</v>
      </c>
      <c r="B3" s="37">
        <v>0.25</v>
      </c>
      <c r="C3" s="5"/>
      <c r="D3" s="5"/>
      <c r="E3" s="5"/>
      <c r="F3" s="5"/>
      <c r="G3" s="5"/>
      <c r="H3" s="5"/>
      <c r="I3" s="5"/>
      <c r="J3" s="5"/>
      <c r="K3" s="5"/>
    </row>
    <row r="4" spans="1:12" ht="15" x14ac:dyDescent="0.25">
      <c r="A4" s="12"/>
      <c r="B4" s="5" t="str">
        <f>'VBA Correlation Mat'!B16</f>
        <v>MSFT</v>
      </c>
      <c r="C4" s="5" t="str">
        <f>'VBA Correlation Mat'!C16</f>
        <v>AAPL</v>
      </c>
      <c r="D4" s="5" t="str">
        <f>'VBA Correlation Mat'!D16</f>
        <v>AMZN</v>
      </c>
      <c r="E4" s="5" t="str">
        <f>'VBA Correlation Mat'!E16</f>
        <v>DIS</v>
      </c>
      <c r="F4" s="5" t="str">
        <f>'VBA Correlation Mat'!F16</f>
        <v>CSCO</v>
      </c>
      <c r="G4" s="5" t="str">
        <f>'VBA Correlation Mat'!G16</f>
        <v>JPM</v>
      </c>
      <c r="H4" s="5" t="str">
        <f>'VBA Correlation Mat'!H16</f>
        <v>GOOG</v>
      </c>
      <c r="I4" s="5" t="str">
        <f>'VBA Correlation Mat'!I16</f>
        <v>XOM</v>
      </c>
      <c r="J4" s="5" t="str">
        <f>'VBA Correlation Mat'!J16</f>
        <v>PG</v>
      </c>
      <c r="K4" s="5" t="str">
        <f>'VBA Correlation Mat'!K16</f>
        <v>BAC</v>
      </c>
    </row>
    <row r="5" spans="1:12" ht="15" x14ac:dyDescent="0.25">
      <c r="A5" s="5" t="str">
        <f>'VBA Correlation Mat'!A17</f>
        <v>MSFT</v>
      </c>
      <c r="B5" s="13">
        <f t="array" ref="B5:K14">ConstantCorVarCov(B17:K76,B3)</f>
        <v>3.4071294076869754E-3</v>
      </c>
      <c r="C5" s="13">
        <v>1.0481424485899551E-3</v>
      </c>
      <c r="D5" s="13">
        <v>1.2127051845287388E-3</v>
      </c>
      <c r="E5" s="13">
        <v>7.1824902872177996E-4</v>
      </c>
      <c r="F5" s="13">
        <v>8.410551093725175E-4</v>
      </c>
      <c r="G5" s="13">
        <v>8.1928897822117664E-4</v>
      </c>
      <c r="H5" s="13">
        <v>8.2317317799005636E-4</v>
      </c>
      <c r="I5" s="13">
        <v>6.9903905740580368E-4</v>
      </c>
      <c r="J5" s="13">
        <v>5.8682543935216947E-4</v>
      </c>
      <c r="K5" s="13">
        <v>1.1069742675319783E-3</v>
      </c>
      <c r="L5" t="str">
        <f ca="1">"&lt;--"&amp;_xlfn.FORMULATEXT(K5)</f>
        <v>&lt;--{=ConstantCorVarCov(B17:K76,B3)}</v>
      </c>
    </row>
    <row r="6" spans="1:12" ht="15" x14ac:dyDescent="0.25">
      <c r="A6" s="5" t="str">
        <f>'VBA Correlation Mat'!A18</f>
        <v>AAPL</v>
      </c>
      <c r="B6" s="13">
        <v>1.0481424485899551E-3</v>
      </c>
      <c r="C6" s="13">
        <v>5.1590765648409634E-3</v>
      </c>
      <c r="D6" s="13">
        <v>1.4922682756480315E-3</v>
      </c>
      <c r="E6" s="13">
        <v>8.8382589045583816E-4</v>
      </c>
      <c r="F6" s="13">
        <v>1.03494227104836E-3</v>
      </c>
      <c r="G6" s="13">
        <v>1.0081584266192934E-3</v>
      </c>
      <c r="H6" s="13">
        <v>1.012938045083307E-3</v>
      </c>
      <c r="I6" s="13">
        <v>8.6018747352099194E-4</v>
      </c>
      <c r="J6" s="13">
        <v>7.2210541989952879E-4</v>
      </c>
      <c r="K6" s="13">
        <v>1.3621633703484353E-3</v>
      </c>
    </row>
    <row r="7" spans="1:12" ht="15" x14ac:dyDescent="0.25">
      <c r="A7" s="5" t="str">
        <f>'VBA Correlation Mat'!A19</f>
        <v>AMZN</v>
      </c>
      <c r="B7" s="13">
        <v>1.2127051845287388E-3</v>
      </c>
      <c r="C7" s="13">
        <v>1.4922682756480315E-3</v>
      </c>
      <c r="D7" s="13">
        <v>6.9062424750401322E-3</v>
      </c>
      <c r="E7" s="13">
        <v>1.0225902414489768E-3</v>
      </c>
      <c r="F7" s="13">
        <v>1.1974325240588499E-3</v>
      </c>
      <c r="G7" s="13">
        <v>1.1664435043464661E-3</v>
      </c>
      <c r="H7" s="13">
        <v>1.171973542843787E-3</v>
      </c>
      <c r="I7" s="13">
        <v>9.9524049446610792E-4</v>
      </c>
      <c r="J7" s="13">
        <v>8.3547898252429647E-4</v>
      </c>
      <c r="K7" s="13">
        <v>1.5760287006970847E-3</v>
      </c>
    </row>
    <row r="8" spans="1:12" ht="15" x14ac:dyDescent="0.25">
      <c r="A8" s="5" t="str">
        <f>'VBA Correlation Mat'!A20</f>
        <v>DIS</v>
      </c>
      <c r="B8" s="13">
        <v>7.1824902872177996E-4</v>
      </c>
      <c r="C8" s="13">
        <v>8.8382589045583816E-4</v>
      </c>
      <c r="D8" s="13">
        <v>1.0225902414489768E-3</v>
      </c>
      <c r="E8" s="13">
        <v>2.4225985245920007E-3</v>
      </c>
      <c r="F8" s="13">
        <v>7.0920348847964935E-4</v>
      </c>
      <c r="G8" s="13">
        <v>6.9084961847610908E-4</v>
      </c>
      <c r="H8" s="13">
        <v>6.941248949655374E-4</v>
      </c>
      <c r="I8" s="13">
        <v>5.8945119359133562E-4</v>
      </c>
      <c r="J8" s="13">
        <v>4.9482922590846404E-4</v>
      </c>
      <c r="K8" s="13">
        <v>9.3343468631514222E-4</v>
      </c>
    </row>
    <row r="9" spans="1:12" ht="15" x14ac:dyDescent="0.25">
      <c r="A9" s="5" t="str">
        <f>'VBA Correlation Mat'!A21</f>
        <v>CSCO</v>
      </c>
      <c r="B9" s="13">
        <v>8.410551093725175E-4</v>
      </c>
      <c r="C9" s="13">
        <v>1.03494227104836E-3</v>
      </c>
      <c r="D9" s="13">
        <v>1.1974325240588499E-3</v>
      </c>
      <c r="E9" s="13">
        <v>7.0920348847964935E-4</v>
      </c>
      <c r="F9" s="13">
        <v>3.3218518576050814E-3</v>
      </c>
      <c r="G9" s="13">
        <v>8.0897095323808352E-4</v>
      </c>
      <c r="H9" s="13">
        <v>8.1280623587110521E-4</v>
      </c>
      <c r="I9" s="13">
        <v>6.9023544518813287E-4</v>
      </c>
      <c r="J9" s="13">
        <v>5.794350316878353E-4</v>
      </c>
      <c r="K9" s="13">
        <v>1.0930331692728084E-3</v>
      </c>
    </row>
    <row r="10" spans="1:12" ht="15" x14ac:dyDescent="0.25">
      <c r="A10" s="5" t="str">
        <f>'VBA Correlation Mat'!A22</f>
        <v>JPM</v>
      </c>
      <c r="B10" s="13">
        <v>8.1928897822117664E-4</v>
      </c>
      <c r="C10" s="13">
        <v>1.0081584266192934E-3</v>
      </c>
      <c r="D10" s="13">
        <v>1.1664435043464661E-3</v>
      </c>
      <c r="E10" s="13">
        <v>6.9084961847610908E-4</v>
      </c>
      <c r="F10" s="13">
        <v>8.0897095323808352E-4</v>
      </c>
      <c r="G10" s="13">
        <v>3.1521405829566577E-3</v>
      </c>
      <c r="H10" s="13">
        <v>7.9177117296803652E-4</v>
      </c>
      <c r="I10" s="13">
        <v>6.7237245968593696E-4</v>
      </c>
      <c r="J10" s="13">
        <v>5.644395114741738E-4</v>
      </c>
      <c r="K10" s="13">
        <v>1.0647459583040676E-3</v>
      </c>
    </row>
    <row r="11" spans="1:12" ht="15" x14ac:dyDescent="0.25">
      <c r="A11" s="5" t="str">
        <f>'VBA Correlation Mat'!A23</f>
        <v>GOOG</v>
      </c>
      <c r="B11" s="13">
        <v>8.2317317799005636E-4</v>
      </c>
      <c r="C11" s="13">
        <v>1.012938045083307E-3</v>
      </c>
      <c r="D11" s="13">
        <v>1.171973542843787E-3</v>
      </c>
      <c r="E11" s="13">
        <v>6.941248949655374E-4</v>
      </c>
      <c r="F11" s="13">
        <v>8.1280623587110521E-4</v>
      </c>
      <c r="G11" s="13">
        <v>7.9177117296803652E-4</v>
      </c>
      <c r="H11" s="13">
        <v>3.1820996499091767E-3</v>
      </c>
      <c r="I11" s="13">
        <v>6.7556013707686631E-4</v>
      </c>
      <c r="J11" s="13">
        <v>5.6711548524935468E-4</v>
      </c>
      <c r="K11" s="13">
        <v>1.0697938548522913E-3</v>
      </c>
    </row>
    <row r="12" spans="1:12" ht="15" x14ac:dyDescent="0.25">
      <c r="A12" s="5" t="str">
        <f>'VBA Correlation Mat'!A24</f>
        <v>XOM</v>
      </c>
      <c r="B12" s="13">
        <v>6.9903905740580368E-4</v>
      </c>
      <c r="C12" s="13">
        <v>8.6018747352099194E-4</v>
      </c>
      <c r="D12" s="13">
        <v>9.9524049446610792E-4</v>
      </c>
      <c r="E12" s="13">
        <v>5.8945119359133562E-4</v>
      </c>
      <c r="F12" s="13">
        <v>6.9023544518813287E-4</v>
      </c>
      <c r="G12" s="13">
        <v>6.7237245968593696E-4</v>
      </c>
      <c r="H12" s="13">
        <v>6.7556013707686631E-4</v>
      </c>
      <c r="I12" s="13">
        <v>2.2947439691668511E-3</v>
      </c>
      <c r="J12" s="13">
        <v>4.8159474196781066E-4</v>
      </c>
      <c r="K12" s="13">
        <v>9.0846945443538284E-4</v>
      </c>
    </row>
    <row r="13" spans="1:12" ht="15" x14ac:dyDescent="0.25">
      <c r="A13" s="5" t="str">
        <f>'VBA Correlation Mat'!A25</f>
        <v>PG</v>
      </c>
      <c r="B13" s="13">
        <v>5.8682543935216947E-4</v>
      </c>
      <c r="C13" s="13">
        <v>7.2210541989952879E-4</v>
      </c>
      <c r="D13" s="13">
        <v>8.3547898252429647E-4</v>
      </c>
      <c r="E13" s="13">
        <v>4.9482922590846404E-4</v>
      </c>
      <c r="F13" s="13">
        <v>5.794350316878353E-4</v>
      </c>
      <c r="G13" s="13">
        <v>5.644395114741738E-4</v>
      </c>
      <c r="H13" s="13">
        <v>5.6711548524935468E-4</v>
      </c>
      <c r="I13" s="13">
        <v>4.8159474196781066E-4</v>
      </c>
      <c r="J13" s="13">
        <v>1.6171459551559463E-3</v>
      </c>
      <c r="K13" s="13">
        <v>7.6263691003976102E-4</v>
      </c>
    </row>
    <row r="14" spans="1:12" ht="15" x14ac:dyDescent="0.25">
      <c r="A14" s="5" t="str">
        <f>'VBA Correlation Mat'!A26</f>
        <v>BAC</v>
      </c>
      <c r="B14" s="13">
        <v>1.1069742675319783E-3</v>
      </c>
      <c r="C14" s="13">
        <v>1.3621633703484353E-3</v>
      </c>
      <c r="D14" s="13">
        <v>1.5760287006970847E-3</v>
      </c>
      <c r="E14" s="13">
        <v>9.3343468631514222E-4</v>
      </c>
      <c r="F14" s="13">
        <v>1.0930331692728084E-3</v>
      </c>
      <c r="G14" s="13">
        <v>1.0647459583040676E-3</v>
      </c>
      <c r="H14" s="13">
        <v>1.0697938548522913E-3</v>
      </c>
      <c r="I14" s="13">
        <v>9.0846945443538284E-4</v>
      </c>
      <c r="J14" s="13">
        <v>7.6263691003976102E-4</v>
      </c>
      <c r="K14" s="13">
        <v>5.7544842351490294E-3</v>
      </c>
    </row>
    <row r="15" spans="1:12" ht="15" x14ac:dyDescent="0.25">
      <c r="A15" s="12"/>
      <c r="B15" s="12"/>
      <c r="C15" s="12"/>
      <c r="D15" s="12"/>
      <c r="E15" s="12"/>
      <c r="F15" s="12"/>
      <c r="G15" s="12"/>
      <c r="H15" s="12"/>
      <c r="I15" s="12"/>
      <c r="J15" s="12"/>
      <c r="K15" s="12"/>
    </row>
    <row r="16" spans="1:12" ht="15" x14ac:dyDescent="0.25">
      <c r="A16" s="4" t="str">
        <f>'5y 10 stocks Returns'!A2</f>
        <v>Date</v>
      </c>
      <c r="B16" s="5" t="str">
        <f>'5y 10 stocks Returns'!B2</f>
        <v>MSFT</v>
      </c>
      <c r="C16" s="5" t="str">
        <f>'5y 10 stocks Returns'!C2</f>
        <v>AAPL</v>
      </c>
      <c r="D16" s="5" t="str">
        <f>'5y 10 stocks Returns'!D2</f>
        <v>AMZN</v>
      </c>
      <c r="E16" s="5" t="str">
        <f>'5y 10 stocks Returns'!E2</f>
        <v>DIS</v>
      </c>
      <c r="F16" s="5" t="str">
        <f>'5y 10 stocks Returns'!F2</f>
        <v>CSCO</v>
      </c>
      <c r="G16" s="5" t="str">
        <f>'5y 10 stocks Returns'!G2</f>
        <v>JPM</v>
      </c>
      <c r="H16" s="5" t="str">
        <f>'5y 10 stocks Returns'!H2</f>
        <v>GOOG</v>
      </c>
      <c r="I16" s="5" t="str">
        <f>'5y 10 stocks Returns'!I2</f>
        <v>XOM</v>
      </c>
      <c r="J16" s="5" t="str">
        <f>'5y 10 stocks Returns'!J2</f>
        <v>PG</v>
      </c>
      <c r="K16" s="5" t="str">
        <f>'5y 10 stocks Returns'!K2</f>
        <v>BAC</v>
      </c>
    </row>
    <row r="17" spans="1:11" ht="15" x14ac:dyDescent="0.25">
      <c r="A17" s="7">
        <f>'5y 10 stocks Returns'!A3</f>
        <v>43466</v>
      </c>
      <c r="B17" s="35">
        <f>'5y 10 stocks Returns'!B3</f>
        <v>2.7768755101483619E-2</v>
      </c>
      <c r="C17" s="35">
        <f>'5y 10 stocks Returns'!C3</f>
        <v>5.3686737131524026E-2</v>
      </c>
      <c r="D17" s="35">
        <f>'5y 10 stocks Returns'!D3</f>
        <v>0.13480807389925051</v>
      </c>
      <c r="E17" s="35">
        <f>'5y 10 stocks Returns'!E3</f>
        <v>2.4637228765707325E-2</v>
      </c>
      <c r="F17" s="35">
        <f>'5y 10 stocks Returns'!F3</f>
        <v>8.7453665946398418E-2</v>
      </c>
      <c r="G17" s="35">
        <f>'5y 10 stocks Returns'!G3</f>
        <v>5.84891836627369E-2</v>
      </c>
      <c r="H17" s="35">
        <f>'5y 10 stocks Returns'!H3</f>
        <v>7.5091735148973104E-2</v>
      </c>
      <c r="I17" s="35">
        <f>'5y 10 stocks Returns'!I3</f>
        <v>7.1989745105178291E-2</v>
      </c>
      <c r="J17" s="35">
        <f>'5y 10 stocks Returns'!J3</f>
        <v>4.8313517087927305E-2</v>
      </c>
      <c r="K17" s="35">
        <f>'5y 10 stocks Returns'!K3</f>
        <v>0.15005287056245065</v>
      </c>
    </row>
    <row r="18" spans="1:11" ht="14.85" customHeight="1" x14ac:dyDescent="0.25">
      <c r="A18" s="7">
        <f>'5y 10 stocks Returns'!A4</f>
        <v>43435</v>
      </c>
      <c r="B18" s="35">
        <f>'5y 10 stocks Returns'!B4</f>
        <v>-8.3479711927557931E-2</v>
      </c>
      <c r="C18" s="35">
        <f>'5y 10 stocks Returns'!C4</f>
        <v>-0.12060541101283059</v>
      </c>
      <c r="D18" s="35">
        <f>'5y 10 stocks Returns'!D4</f>
        <v>-0.11805158115917956</v>
      </c>
      <c r="E18" s="35">
        <f>'5y 10 stocks Returns'!E4</f>
        <v>-5.1890423537517834E-2</v>
      </c>
      <c r="F18" s="35">
        <f>'5y 10 stocks Returns'!F4</f>
        <v>-9.9643735745620451E-2</v>
      </c>
      <c r="G18" s="35">
        <f>'5y 10 stocks Returns'!G4</f>
        <v>-0.13015804656847649</v>
      </c>
      <c r="H18" s="35">
        <f>'5y 10 stocks Returns'!H4</f>
        <v>-5.5243118529555484E-2</v>
      </c>
      <c r="I18" s="35">
        <f>'5y 10 stocks Returns'!I4</f>
        <v>-0.14337290953715212</v>
      </c>
      <c r="J18" s="35">
        <f>'5y 10 stocks Returns'!J4</f>
        <v>-2.7787090520592125E-2</v>
      </c>
      <c r="K18" s="35">
        <f>'5y 10 stocks Returns'!K4</f>
        <v>-0.14201806785790391</v>
      </c>
    </row>
    <row r="19" spans="1:11" ht="15" x14ac:dyDescent="0.25">
      <c r="A19" s="7">
        <f>'5y 10 stocks Returns'!A5</f>
        <v>43405</v>
      </c>
      <c r="B19" s="35">
        <f>'5y 10 stocks Returns'!B5</f>
        <v>3.7487186210999092E-2</v>
      </c>
      <c r="C19" s="35">
        <f>'5y 10 stocks Returns'!C5</f>
        <v>-0.20339558332906979</v>
      </c>
      <c r="D19" s="35">
        <f>'5y 10 stocks Returns'!D5</f>
        <v>5.607003022027119E-2</v>
      </c>
      <c r="E19" s="35">
        <f>'5y 10 stocks Returns'!E5</f>
        <v>5.7311289585348741E-3</v>
      </c>
      <c r="F19" s="35">
        <f>'5y 10 stocks Returns'!F5</f>
        <v>5.2035315825285491E-2</v>
      </c>
      <c r="G19" s="35">
        <f>'5y 10 stocks Returns'!G5</f>
        <v>2.6687567005036605E-2</v>
      </c>
      <c r="H19" s="35">
        <f>'5y 10 stocks Returns'!H5</f>
        <v>1.6267891364498185E-2</v>
      </c>
      <c r="I19" s="35">
        <f>'5y 10 stocks Returns'!I5</f>
        <v>-2.2614905372070997E-3</v>
      </c>
      <c r="J19" s="35">
        <f>'5y 10 stocks Returns'!J5</f>
        <v>7.2471265335208479E-2</v>
      </c>
      <c r="K19" s="35">
        <f>'5y 10 stocks Returns'!K5</f>
        <v>3.2203177895256486E-2</v>
      </c>
    </row>
    <row r="20" spans="1:11" ht="15" hidden="1" outlineLevel="1" x14ac:dyDescent="0.25">
      <c r="A20" s="7">
        <f>'5y 10 stocks Returns'!A6</f>
        <v>43374</v>
      </c>
      <c r="B20" s="35">
        <f>'5y 10 stocks Returns'!B6</f>
        <v>-6.8387318394534768E-2</v>
      </c>
      <c r="C20" s="35">
        <f>'5y 10 stocks Returns'!C6</f>
        <v>-3.0951724112478037E-2</v>
      </c>
      <c r="D20" s="35">
        <f>'5y 10 stocks Returns'!D6</f>
        <v>-0.22588694527911743</v>
      </c>
      <c r="E20" s="35">
        <f>'5y 10 stocks Returns'!E6</f>
        <v>-1.8208189116070337E-2</v>
      </c>
      <c r="F20" s="35">
        <f>'5y 10 stocks Returns'!F6</f>
        <v>-6.1459988745370717E-2</v>
      </c>
      <c r="G20" s="35">
        <f>'5y 10 stocks Returns'!G6</f>
        <v>-3.4439565961576872E-2</v>
      </c>
      <c r="H20" s="35">
        <f>'5y 10 stocks Returns'!H6</f>
        <v>-0.10289916826037319</v>
      </c>
      <c r="I20" s="35">
        <f>'5y 10 stocks Returns'!I6</f>
        <v>-6.4867904402383519E-2</v>
      </c>
      <c r="J20" s="35">
        <f>'5y 10 stocks Returns'!J6</f>
        <v>6.34264542951197E-2</v>
      </c>
      <c r="K20" s="35">
        <f>'5y 10 stocks Returns'!K6</f>
        <v>-6.4025001901034009E-2</v>
      </c>
    </row>
    <row r="21" spans="1:11" ht="15" hidden="1" outlineLevel="1" x14ac:dyDescent="0.25">
      <c r="A21" s="7">
        <f>'5y 10 stocks Returns'!A7</f>
        <v>43344</v>
      </c>
      <c r="B21" s="35">
        <f>'5y 10 stocks Returns'!B7</f>
        <v>2.1838662445722221E-2</v>
      </c>
      <c r="C21" s="35">
        <f>'5y 10 stocks Returns'!C7</f>
        <v>-4.8366154697142326E-3</v>
      </c>
      <c r="D21" s="35">
        <f>'5y 10 stocks Returns'!D7</f>
        <v>-4.8359966322712193E-3</v>
      </c>
      <c r="E21" s="35">
        <f>'5y 10 stocks Returns'!E7</f>
        <v>4.2983577563232317E-2</v>
      </c>
      <c r="F21" s="35">
        <f>'5y 10 stocks Returns'!F7</f>
        <v>1.8254017706717342E-2</v>
      </c>
      <c r="G21" s="35">
        <f>'5y 10 stocks Returns'!G7</f>
        <v>-1.5302462483284865E-2</v>
      </c>
      <c r="H21" s="35">
        <f>'5y 10 stocks Returns'!H7</f>
        <v>-2.0501096093571428E-2</v>
      </c>
      <c r="I21" s="35">
        <f>'5y 10 stocks Returns'!I7</f>
        <v>6.8998638783701008E-2</v>
      </c>
      <c r="J21" s="35">
        <f>'5y 10 stocks Returns'!J7</f>
        <v>3.369840733582524E-3</v>
      </c>
      <c r="K21" s="35">
        <f>'5y 10 stocks Returns'!K7</f>
        <v>-4.8693208297580434E-2</v>
      </c>
    </row>
    <row r="22" spans="1:11" ht="15" hidden="1" outlineLevel="1" x14ac:dyDescent="0.25">
      <c r="A22" s="7">
        <f>'5y 10 stocks Returns'!A8</f>
        <v>43313</v>
      </c>
      <c r="B22" s="35">
        <f>'5y 10 stocks Returns'!B8</f>
        <v>5.7247510625819661E-2</v>
      </c>
      <c r="C22" s="35">
        <f>'5y 10 stocks Returns'!C8</f>
        <v>0.17917236707741521</v>
      </c>
      <c r="D22" s="35">
        <f>'5y 10 stocks Returns'!D8</f>
        <v>0.12430795965848446</v>
      </c>
      <c r="E22" s="35">
        <f>'5y 10 stocks Returns'!E8</f>
        <v>-5.6477010157984855E-3</v>
      </c>
      <c r="F22" s="35">
        <f>'5y 10 stocks Returns'!F8</f>
        <v>0.12961087633800458</v>
      </c>
      <c r="G22" s="35">
        <f>'5y 10 stocks Returns'!G8</f>
        <v>2.1956057531413191E-3</v>
      </c>
      <c r="H22" s="35">
        <f>'5y 10 stocks Returns'!H8</f>
        <v>7.6366261997009254E-4</v>
      </c>
      <c r="I22" s="35">
        <f>'5y 10 stocks Returns'!I8</f>
        <v>-1.6576306061889246E-2</v>
      </c>
      <c r="J22" s="35">
        <f>'5y 10 stocks Returns'!J8</f>
        <v>3.4308702836033128E-2</v>
      </c>
      <c r="K22" s="35">
        <f>'5y 10 stocks Returns'!K8</f>
        <v>1.6178757996933369E-3</v>
      </c>
    </row>
    <row r="23" spans="1:11" ht="15" hidden="1" outlineLevel="1" x14ac:dyDescent="0.25">
      <c r="A23" s="7">
        <f>'5y 10 stocks Returns'!A9</f>
        <v>43282</v>
      </c>
      <c r="B23" s="35">
        <f>'5y 10 stocks Returns'!B9</f>
        <v>7.3020881392012155E-2</v>
      </c>
      <c r="C23" s="35">
        <f>'5y 10 stocks Returns'!C9</f>
        <v>2.7599030185097986E-2</v>
      </c>
      <c r="D23" s="35">
        <f>'5y 10 stocks Returns'!D9</f>
        <v>4.4663467748158651E-2</v>
      </c>
      <c r="E23" s="35">
        <f>'5y 10 stocks Returns'!E9</f>
        <v>8.0182122714708717E-2</v>
      </c>
      <c r="F23" s="35">
        <f>'5y 10 stocks Returns'!F9</f>
        <v>-1.7346805355109039E-2</v>
      </c>
      <c r="G23" s="35">
        <f>'5y 10 stocks Returns'!G9</f>
        <v>9.8185237300675479E-2</v>
      </c>
      <c r="H23" s="35">
        <f>'5y 10 stocks Returns'!H9</f>
        <v>8.716522329087098E-2</v>
      </c>
      <c r="I23" s="35">
        <f>'5y 10 stocks Returns'!I9</f>
        <v>-1.4856555529579131E-2</v>
      </c>
      <c r="J23" s="35">
        <f>'5y 10 stocks Returns'!J9</f>
        <v>3.5488660349331555E-2</v>
      </c>
      <c r="K23" s="35">
        <f>'5y 10 stocks Returns'!K9</f>
        <v>9.1141303420294709E-2</v>
      </c>
    </row>
    <row r="24" spans="1:11" ht="15" hidden="1" outlineLevel="1" x14ac:dyDescent="0.25">
      <c r="A24" s="7">
        <f>'5y 10 stocks Returns'!A10</f>
        <v>43252</v>
      </c>
      <c r="B24" s="35">
        <f>'5y 10 stocks Returns'!B10</f>
        <v>1.9953048782543879E-3</v>
      </c>
      <c r="C24" s="35">
        <f>'5y 10 stocks Returns'!C10</f>
        <v>-5.6142480473471796E-3</v>
      </c>
      <c r="D24" s="35">
        <f>'5y 10 stocks Returns'!D10</f>
        <v>4.2163770171944864E-2</v>
      </c>
      <c r="E24" s="35">
        <f>'5y 10 stocks Returns'!E10</f>
        <v>5.2293033050969516E-2</v>
      </c>
      <c r="F24" s="35">
        <f>'5y 10 stocks Returns'!F10</f>
        <v>7.4645699570576336E-3</v>
      </c>
      <c r="G24" s="35">
        <f>'5y 10 stocks Returns'!G10</f>
        <v>-2.6610258458796807E-2</v>
      </c>
      <c r="H24" s="35">
        <f>'5y 10 stocks Returns'!H10</f>
        <v>2.7866455067084607E-2</v>
      </c>
      <c r="I24" s="35">
        <f>'5y 10 stocks Returns'!I10</f>
        <v>2.8259500477553708E-2</v>
      </c>
      <c r="J24" s="35">
        <f>'5y 10 stocks Returns'!J10</f>
        <v>6.4692425645443016E-2</v>
      </c>
      <c r="K24" s="35">
        <f>'5y 10 stocks Returns'!K10</f>
        <v>-2.5629444754097879E-2</v>
      </c>
    </row>
    <row r="25" spans="1:11" ht="15" hidden="1" outlineLevel="1" x14ac:dyDescent="0.25">
      <c r="A25" s="7">
        <f>'5y 10 stocks Returns'!A11</f>
        <v>43221</v>
      </c>
      <c r="B25" s="35">
        <f>'5y 10 stocks Returns'!B11</f>
        <v>5.5327095337165448E-2</v>
      </c>
      <c r="C25" s="35">
        <f>'5y 10 stocks Returns'!C11</f>
        <v>0.1228931411464287</v>
      </c>
      <c r="D25" s="35">
        <f>'5y 10 stocks Returns'!D11</f>
        <v>3.9739244373114081E-2</v>
      </c>
      <c r="E25" s="35">
        <f>'5y 10 stocks Returns'!E11</f>
        <v>-8.6086360108893877E-3</v>
      </c>
      <c r="F25" s="35">
        <f>'5y 10 stocks Returns'!F11</f>
        <v>-2.8319080040533667E-2</v>
      </c>
      <c r="G25" s="35">
        <f>'5y 10 stocks Returns'!G11</f>
        <v>-1.1347064620984523E-2</v>
      </c>
      <c r="H25" s="35">
        <f>'5y 10 stocks Returns'!H11</f>
        <v>6.4389196224245646E-2</v>
      </c>
      <c r="I25" s="35">
        <f>'5y 10 stocks Returns'!I11</f>
        <v>4.3909261900562435E-2</v>
      </c>
      <c r="J25" s="35">
        <f>'5y 10 stocks Returns'!J11</f>
        <v>2.0621821778231679E-2</v>
      </c>
      <c r="K25" s="35">
        <f>'5y 10 stocks Returns'!K11</f>
        <v>-2.9852866065278968E-2</v>
      </c>
    </row>
    <row r="26" spans="1:11" ht="15" hidden="1" outlineLevel="1" x14ac:dyDescent="0.25">
      <c r="A26" s="7">
        <f>'5y 10 stocks Returns'!A12</f>
        <v>43191</v>
      </c>
      <c r="B26" s="35">
        <f>'5y 10 stocks Returns'!B12</f>
        <v>2.4353158984806833E-2</v>
      </c>
      <c r="C26" s="35">
        <f>'5y 10 stocks Returns'!C12</f>
        <v>-1.5133547257349368E-2</v>
      </c>
      <c r="D26" s="35">
        <f>'5y 10 stocks Returns'!D12</f>
        <v>7.8880245905968011E-2</v>
      </c>
      <c r="E26" s="35">
        <f>'5y 10 stocks Returns'!E12</f>
        <v>-1.0957923187709306E-3</v>
      </c>
      <c r="F26" s="35">
        <f>'5y 10 stocks Returns'!F12</f>
        <v>3.2120233564483576E-2</v>
      </c>
      <c r="G26" s="35">
        <f>'5y 10 stocks Returns'!G12</f>
        <v>-1.0880016811743281E-2</v>
      </c>
      <c r="H26" s="35">
        <f>'5y 10 stocks Returns'!H12</f>
        <v>-1.4113630859930837E-2</v>
      </c>
      <c r="I26" s="35">
        <f>'5y 10 stocks Returns'!I12</f>
        <v>4.1223971936209684E-2</v>
      </c>
      <c r="J26" s="35">
        <f>'5y 10 stocks Returns'!J12</f>
        <v>-9.1608683707176397E-2</v>
      </c>
      <c r="K26" s="35">
        <f>'5y 10 stocks Returns'!K12</f>
        <v>1.4084757245664582E-3</v>
      </c>
    </row>
    <row r="27" spans="1:11" ht="15" hidden="1" outlineLevel="1" x14ac:dyDescent="0.25">
      <c r="A27" s="7">
        <f>'5y 10 stocks Returns'!A13</f>
        <v>43160</v>
      </c>
      <c r="B27" s="35">
        <f>'5y 10 stocks Returns'!B13</f>
        <v>-2.2336294564664794E-2</v>
      </c>
      <c r="C27" s="35">
        <f>'5y 10 stocks Returns'!C13</f>
        <v>-5.5735164168757505E-2</v>
      </c>
      <c r="D27" s="35">
        <f>'5y 10 stocks Returns'!D13</f>
        <v>-4.4003454669149025E-2</v>
      </c>
      <c r="E27" s="35">
        <f>'5y 10 stocks Returns'!E13</f>
        <v>-2.6720664281223678E-2</v>
      </c>
      <c r="F27" s="35">
        <f>'5y 10 stocks Returns'!F13</f>
        <v>-4.3122886379665604E-2</v>
      </c>
      <c r="G27" s="35">
        <f>'5y 10 stocks Returns'!G13</f>
        <v>-4.9062988400518634E-2</v>
      </c>
      <c r="H27" s="35">
        <f>'5y 10 stocks Returns'!H13</f>
        <v>-6.8305747338411327E-2</v>
      </c>
      <c r="I27" s="35">
        <f>'5y 10 stocks Returns'!I13</f>
        <v>-4.8581237166398878E-3</v>
      </c>
      <c r="J27" s="35">
        <f>'5y 10 stocks Returns'!J13</f>
        <v>9.6326309324265627E-3</v>
      </c>
      <c r="K27" s="35">
        <f>'5y 10 stocks Returns'!K13</f>
        <v>-6.799199975667454E-2</v>
      </c>
    </row>
    <row r="28" spans="1:11" ht="15" hidden="1" outlineLevel="1" x14ac:dyDescent="0.25">
      <c r="A28" s="7">
        <f>'5y 10 stocks Returns'!A14</f>
        <v>43132</v>
      </c>
      <c r="B28" s="35">
        <f>'5y 10 stocks Returns'!B14</f>
        <v>-1.3137210166844032E-2</v>
      </c>
      <c r="C28" s="35">
        <f>'5y 10 stocks Returns'!C14</f>
        <v>6.1892183781320206E-2</v>
      </c>
      <c r="D28" s="35">
        <f>'5y 10 stocks Returns'!D14</f>
        <v>4.1553648546959927E-2</v>
      </c>
      <c r="E28" s="35">
        <f>'5y 10 stocks Returns'!E14</f>
        <v>-5.2034503423955596E-2</v>
      </c>
      <c r="F28" s="35">
        <f>'5y 10 stocks Returns'!F14</f>
        <v>8.2535915429695225E-2</v>
      </c>
      <c r="G28" s="35">
        <f>'5y 10 stocks Returns'!G14</f>
        <v>3.7251380326802494E-3</v>
      </c>
      <c r="H28" s="35">
        <f>'5y 10 stocks Returns'!H14</f>
        <v>-5.7351471895965657E-2</v>
      </c>
      <c r="I28" s="35">
        <f>'5y 10 stocks Returns'!I14</f>
        <v>-0.14204401854562648</v>
      </c>
      <c r="J28" s="35">
        <f>'5y 10 stocks Returns'!J14</f>
        <v>-8.734959116657591E-2</v>
      </c>
      <c r="K28" s="35">
        <f>'5y 10 stocks Returns'!K14</f>
        <v>3.1201311228689034E-3</v>
      </c>
    </row>
    <row r="29" spans="1:11" ht="15" hidden="1" outlineLevel="1" x14ac:dyDescent="0.25">
      <c r="A29" s="7">
        <f>'5y 10 stocks Returns'!A15</f>
        <v>43101</v>
      </c>
      <c r="B29" s="35">
        <f>'5y 10 stocks Returns'!B15</f>
        <v>0.10499808947812123</v>
      </c>
      <c r="C29" s="35">
        <f>'5y 10 stocks Returns'!C15</f>
        <v>-1.0693408838491927E-2</v>
      </c>
      <c r="D29" s="35">
        <f>'5y 10 stocks Returns'!D15</f>
        <v>0.21562654165297973</v>
      </c>
      <c r="E29" s="35">
        <f>'5y 10 stocks Returns'!E15</f>
        <v>1.8744034098510453E-2</v>
      </c>
      <c r="F29" s="35">
        <f>'5y 10 stocks Returns'!F15</f>
        <v>8.1206892810786371E-2</v>
      </c>
      <c r="G29" s="35">
        <f>'5y 10 stocks Returns'!G15</f>
        <v>7.8473251702493696E-2</v>
      </c>
      <c r="H29" s="35">
        <f>'5y 10 stocks Returns'!H15</f>
        <v>0.11159669035689881</v>
      </c>
      <c r="I29" s="35">
        <f>'5y 10 stocks Returns'!I15</f>
        <v>4.282858522195427E-2</v>
      </c>
      <c r="J29" s="35">
        <f>'5y 10 stocks Returns'!J15</f>
        <v>-6.2190296462294674E-2</v>
      </c>
      <c r="K29" s="35">
        <f>'5y 10 stocks Returns'!K15</f>
        <v>8.0667804072403926E-2</v>
      </c>
    </row>
    <row r="30" spans="1:11" ht="15" hidden="1" outlineLevel="1" x14ac:dyDescent="0.25">
      <c r="A30" s="7">
        <f>'5y 10 stocks Returns'!A16</f>
        <v>43070</v>
      </c>
      <c r="B30" s="35">
        <f>'5y 10 stocks Returns'!B16</f>
        <v>2.1154961358531132E-2</v>
      </c>
      <c r="C30" s="35">
        <f>'5y 10 stocks Returns'!C16</f>
        <v>-1.1774885185434176E-2</v>
      </c>
      <c r="D30" s="35">
        <f>'5y 10 stocks Returns'!D16</f>
        <v>-6.2057713716230263E-3</v>
      </c>
      <c r="E30" s="35">
        <f>'5y 10 stocks Returns'!E16</f>
        <v>2.5339332690062707E-2</v>
      </c>
      <c r="F30" s="35">
        <f>'5y 10 stocks Returns'!F16</f>
        <v>2.6456597112575173E-2</v>
      </c>
      <c r="G30" s="35">
        <f>'5y 10 stocks Returns'!G16</f>
        <v>2.2889616147062794E-2</v>
      </c>
      <c r="H30" s="35">
        <f>'5y 10 stocks Returns'!H16</f>
        <v>2.4171725423494207E-2</v>
      </c>
      <c r="I30" s="35">
        <f>'5y 10 stocks Returns'!I16</f>
        <v>1.3405714930946975E-2</v>
      </c>
      <c r="J30" s="35">
        <f>'5y 10 stocks Returns'!J16</f>
        <v>2.0784815590355055E-2</v>
      </c>
      <c r="K30" s="35">
        <f>'5y 10 stocks Returns'!K16</f>
        <v>5.1062706043282405E-2</v>
      </c>
    </row>
    <row r="31" spans="1:11" ht="15" hidden="1" outlineLevel="1" x14ac:dyDescent="0.25">
      <c r="A31" s="7">
        <f>'5y 10 stocks Returns'!A17</f>
        <v>43040</v>
      </c>
      <c r="B31" s="35">
        <f>'5y 10 stocks Returns'!B17</f>
        <v>1.183154092711514E-2</v>
      </c>
      <c r="C31" s="35">
        <f>'5y 10 stocks Returns'!C17</f>
        <v>1.6486647180623218E-2</v>
      </c>
      <c r="D31" s="35">
        <f>'5y 10 stocks Returns'!D17</f>
        <v>6.2657678525297536E-2</v>
      </c>
      <c r="E31" s="35">
        <f>'5y 10 stocks Returns'!E17</f>
        <v>6.9217827645680283E-2</v>
      </c>
      <c r="F31" s="35">
        <f>'5y 10 stocks Returns'!F17</f>
        <v>9.6834849203217555E-2</v>
      </c>
      <c r="G31" s="35">
        <f>'5y 10 stocks Returns'!G17</f>
        <v>4.395516561068985E-2</v>
      </c>
      <c r="H31" s="35">
        <f>'5y 10 stocks Returns'!H17</f>
        <v>4.6809123795830479E-3</v>
      </c>
      <c r="I31" s="35">
        <f>'5y 10 stocks Returns'!I17</f>
        <v>-7.2019906739141052E-4</v>
      </c>
      <c r="J31" s="35">
        <f>'5y 10 stocks Returns'!J17</f>
        <v>4.8866651312550594E-2</v>
      </c>
      <c r="K31" s="35">
        <f>'5y 10 stocks Returns'!K17</f>
        <v>2.807969369725978E-2</v>
      </c>
    </row>
    <row r="32" spans="1:11" ht="15" hidden="1" outlineLevel="1" x14ac:dyDescent="0.25">
      <c r="A32" s="7">
        <f>'5y 10 stocks Returns'!A18</f>
        <v>43009</v>
      </c>
      <c r="B32" s="35">
        <f>'5y 10 stocks Returns'!B18</f>
        <v>0.11034202973319564</v>
      </c>
      <c r="C32" s="35">
        <f>'5y 10 stocks Returns'!C18</f>
        <v>9.2403857069204273E-2</v>
      </c>
      <c r="D32" s="35">
        <f>'5y 10 stocks Returns'!D18</f>
        <v>0.13951548010250206</v>
      </c>
      <c r="E32" s="35">
        <f>'5y 10 stocks Returns'!E18</f>
        <v>-7.7401950235100759E-3</v>
      </c>
      <c r="F32" s="35">
        <f>'5y 10 stocks Returns'!F18</f>
        <v>1.5343952863247103E-2</v>
      </c>
      <c r="G32" s="35">
        <f>'5y 10 stocks Returns'!G18</f>
        <v>5.2020707436856238E-2</v>
      </c>
      <c r="H32" s="35">
        <f>'5y 10 stocks Returns'!H18</f>
        <v>5.8252610354129652E-2</v>
      </c>
      <c r="I32" s="35">
        <f>'5y 10 stocks Returns'!I18</f>
        <v>1.6573179940560897E-2</v>
      </c>
      <c r="J32" s="35">
        <f>'5y 10 stocks Returns'!J18</f>
        <v>-5.234667800583629E-2</v>
      </c>
      <c r="K32" s="35">
        <f>'5y 10 stocks Returns'!K18</f>
        <v>7.7793754901017906E-2</v>
      </c>
    </row>
    <row r="33" spans="1:11" ht="15" hidden="1" outlineLevel="1" x14ac:dyDescent="0.25">
      <c r="A33" s="7">
        <f>'5y 10 stocks Returns'!A19</f>
        <v>42979</v>
      </c>
      <c r="B33" s="35">
        <f>'5y 10 stocks Returns'!B19</f>
        <v>1.5622642533718121E-3</v>
      </c>
      <c r="C33" s="35">
        <f>'5y 10 stocks Returns'!C19</f>
        <v>-5.8215581268317329E-2</v>
      </c>
      <c r="D33" s="35">
        <f>'5y 10 stocks Returns'!D19</f>
        <v>-1.982608308886917E-2</v>
      </c>
      <c r="E33" s="35">
        <f>'5y 10 stocks Returns'!E19</f>
        <v>-2.6331773950443411E-2</v>
      </c>
      <c r="F33" s="35">
        <f>'5y 10 stocks Returns'!F19</f>
        <v>4.3141662997758123E-2</v>
      </c>
      <c r="G33" s="35">
        <f>'5y 10 stocks Returns'!G19</f>
        <v>4.9581044918052104E-2</v>
      </c>
      <c r="H33" s="35">
        <f>'5y 10 stocks Returns'!H19</f>
        <v>2.0838882215321337E-2</v>
      </c>
      <c r="I33" s="35">
        <f>'5y 10 stocks Returns'!I19</f>
        <v>8.1055615897580258E-2</v>
      </c>
      <c r="J33" s="35">
        <f>'5y 10 stocks Returns'!J19</f>
        <v>-1.4079179411544473E-2</v>
      </c>
      <c r="K33" s="35">
        <f>'5y 10 stocks Returns'!K19</f>
        <v>6.4026320716774346E-2</v>
      </c>
    </row>
    <row r="34" spans="1:11" ht="15" hidden="1" outlineLevel="1" x14ac:dyDescent="0.25">
      <c r="A34" s="7">
        <f>'5y 10 stocks Returns'!A20</f>
        <v>42948</v>
      </c>
      <c r="B34" s="35">
        <f>'5y 10 stocks Returns'!B20</f>
        <v>2.8075224752178034E-2</v>
      </c>
      <c r="C34" s="35">
        <f>'5y 10 stocks Returns'!C20</f>
        <v>9.7733906417343447E-2</v>
      </c>
      <c r="D34" s="35">
        <f>'5y 10 stocks Returns'!D20</f>
        <v>-7.2954255044278991E-3</v>
      </c>
      <c r="E34" s="35">
        <f>'5y 10 stocks Returns'!E20</f>
        <v>-7.5333409479809529E-2</v>
      </c>
      <c r="F34" s="35">
        <f>'5y 10 stocks Returns'!F20</f>
        <v>3.3177436277490722E-2</v>
      </c>
      <c r="G34" s="35">
        <f>'5y 10 stocks Returns'!G20</f>
        <v>-4.4769227427931702E-3</v>
      </c>
      <c r="H34" s="35">
        <f>'5y 10 stocks Returns'!H20</f>
        <v>9.444797183880204E-3</v>
      </c>
      <c r="I34" s="35">
        <f>'5y 10 stocks Returns'!I20</f>
        <v>-4.746057721454288E-2</v>
      </c>
      <c r="J34" s="35">
        <f>'5y 10 stocks Returns'!J20</f>
        <v>2.3649569501977483E-2</v>
      </c>
      <c r="K34" s="35">
        <f>'5y 10 stocks Returns'!K20</f>
        <v>-9.5814361081151198E-3</v>
      </c>
    </row>
    <row r="35" spans="1:11" ht="15" hidden="1" outlineLevel="1" x14ac:dyDescent="0.25">
      <c r="A35" s="7">
        <f>'5y 10 stocks Returns'!A21</f>
        <v>42917</v>
      </c>
      <c r="B35" s="35">
        <f>'5y 10 stocks Returns'!B21</f>
        <v>5.3249852248017628E-2</v>
      </c>
      <c r="C35" s="35">
        <f>'5y 10 stocks Returns'!C21</f>
        <v>3.218036312738784E-2</v>
      </c>
      <c r="D35" s="35">
        <f>'5y 10 stocks Returns'!D21</f>
        <v>2.0227942970172167E-2</v>
      </c>
      <c r="E35" s="35">
        <f>'5y 10 stocks Returns'!E21</f>
        <v>3.4048977531394305E-2</v>
      </c>
      <c r="F35" s="35">
        <f>'5y 10 stocks Returns'!F21</f>
        <v>4.780952063209068E-3</v>
      </c>
      <c r="G35" s="35">
        <f>'5y 10 stocks Returns'!G21</f>
        <v>4.3668218467382775E-3</v>
      </c>
      <c r="H35" s="35">
        <f>'5y 10 stocks Returns'!H21</f>
        <v>2.3674077738594191E-2</v>
      </c>
      <c r="I35" s="35">
        <f>'5y 10 stocks Returns'!I21</f>
        <v>-8.5838885642812932E-3</v>
      </c>
      <c r="J35" s="35">
        <f>'5y 10 stocks Returns'!J21</f>
        <v>4.1248669918651788E-2</v>
      </c>
      <c r="K35" s="35">
        <f>'5y 10 stocks Returns'!K21</f>
        <v>-5.7875840277312757E-3</v>
      </c>
    </row>
    <row r="36" spans="1:11" ht="15" hidden="1" outlineLevel="1" x14ac:dyDescent="0.25">
      <c r="A36" s="7">
        <f>'5y 10 stocks Returns'!A22</f>
        <v>42887</v>
      </c>
      <c r="B36" s="35">
        <f>'5y 10 stocks Returns'!B22</f>
        <v>-7.3998070597756987E-3</v>
      </c>
      <c r="C36" s="35">
        <f>'5y 10 stocks Returns'!C22</f>
        <v>-5.4796863654728974E-2</v>
      </c>
      <c r="D36" s="35">
        <f>'5y 10 stocks Returns'!D22</f>
        <v>-2.7128662361207066E-2</v>
      </c>
      <c r="E36" s="35">
        <f>'5y 10 stocks Returns'!E22</f>
        <v>-1.5780826630051977E-2</v>
      </c>
      <c r="F36" s="35">
        <f>'5y 10 stocks Returns'!F22</f>
        <v>-7.3214574180236868E-3</v>
      </c>
      <c r="G36" s="35">
        <f>'5y 10 stocks Returns'!G22</f>
        <v>0.10669876880547675</v>
      </c>
      <c r="H36" s="35">
        <f>'5y 10 stocks Returns'!H22</f>
        <v>-5.9934999203980044E-2</v>
      </c>
      <c r="I36" s="35">
        <f>'5y 10 stocks Returns'!I22</f>
        <v>1.2252202666831982E-2</v>
      </c>
      <c r="J36" s="35">
        <f>'5y 10 stocks Returns'!J22</f>
        <v>-1.072805984773826E-2</v>
      </c>
      <c r="K36" s="35">
        <f>'5y 10 stocks Returns'!K22</f>
        <v>8.260069082351261E-2</v>
      </c>
    </row>
    <row r="37" spans="1:11" ht="15" hidden="1" outlineLevel="1" x14ac:dyDescent="0.25">
      <c r="A37" s="7">
        <f>'5y 10 stocks Returns'!A23</f>
        <v>42856</v>
      </c>
      <c r="B37" s="35">
        <f>'5y 10 stocks Returns'!B23</f>
        <v>1.9957198271562115E-2</v>
      </c>
      <c r="C37" s="35">
        <f>'5y 10 stocks Returns'!C23</f>
        <v>6.1488367077123969E-2</v>
      </c>
      <c r="D37" s="35">
        <f>'5y 10 stocks Returns'!D23</f>
        <v>7.2577833805534647E-2</v>
      </c>
      <c r="E37" s="35">
        <f>'5y 10 stocks Returns'!E23</f>
        <v>-6.8560359071511437E-2</v>
      </c>
      <c r="F37" s="35">
        <f>'5y 10 stocks Returns'!F23</f>
        <v>-6.8804161662577495E-2</v>
      </c>
      <c r="G37" s="35">
        <f>'5y 10 stocks Returns'!G23</f>
        <v>-4.588880398730321E-2</v>
      </c>
      <c r="H37" s="35">
        <f>'5y 10 stocks Returns'!H23</f>
        <v>6.2987818306099549E-2</v>
      </c>
      <c r="I37" s="35">
        <f>'5y 10 stocks Returns'!I23</f>
        <v>-1.4184726427729773E-2</v>
      </c>
      <c r="J37" s="35">
        <f>'5y 10 stocks Returns'!J23</f>
        <v>1.628855829578614E-2</v>
      </c>
      <c r="K37" s="35">
        <f>'5y 10 stocks Returns'!K23</f>
        <v>-4.0661356584819161E-2</v>
      </c>
    </row>
    <row r="38" spans="1:11" ht="15" hidden="1" outlineLevel="1" x14ac:dyDescent="0.25">
      <c r="A38" s="7">
        <f>'5y 10 stocks Returns'!A24</f>
        <v>42826</v>
      </c>
      <c r="B38" s="35">
        <f>'5y 10 stocks Returns'!B24</f>
        <v>3.8718507853569673E-2</v>
      </c>
      <c r="C38" s="35">
        <f>'5y 10 stocks Returns'!C24</f>
        <v>-6.9608209905310556E-5</v>
      </c>
      <c r="D38" s="35">
        <f>'5y 10 stocks Returns'!D24</f>
        <v>4.245669488810043E-2</v>
      </c>
      <c r="E38" s="35">
        <f>'5y 10 stocks Returns'!E24</f>
        <v>1.9302806495983076E-2</v>
      </c>
      <c r="F38" s="35">
        <f>'5y 10 stocks Returns'!F24</f>
        <v>7.9563965411238828E-3</v>
      </c>
      <c r="G38" s="35">
        <f>'5y 10 stocks Returns'!G24</f>
        <v>-9.6087083214920974E-3</v>
      </c>
      <c r="H38" s="35">
        <f>'5y 10 stocks Returns'!H24</f>
        <v>8.809974190733455E-2</v>
      </c>
      <c r="I38" s="35">
        <f>'5y 10 stocks Returns'!I24</f>
        <v>-4.399517058079905E-3</v>
      </c>
      <c r="J38" s="35">
        <f>'5y 10 stocks Returns'!J24</f>
        <v>-2.8447533425919724E-2</v>
      </c>
      <c r="K38" s="35">
        <f>'5y 10 stocks Returns'!K24</f>
        <v>-7.6107004253155334E-3</v>
      </c>
    </row>
    <row r="39" spans="1:11" ht="15" hidden="1" outlineLevel="1" x14ac:dyDescent="0.25">
      <c r="A39" s="7">
        <f>'5y 10 stocks Returns'!A25</f>
        <v>42795</v>
      </c>
      <c r="B39" s="35">
        <f>'5y 10 stocks Returns'!B25</f>
        <v>3.5004729121912576E-2</v>
      </c>
      <c r="C39" s="35">
        <f>'5y 10 stocks Returns'!C25</f>
        <v>5.1867522925044617E-2</v>
      </c>
      <c r="D39" s="35">
        <f>'5y 10 stocks Returns'!D25</f>
        <v>4.7942283463512946E-2</v>
      </c>
      <c r="E39" s="35">
        <f>'5y 10 stocks Returns'!E25</f>
        <v>2.9535004670668035E-2</v>
      </c>
      <c r="F39" s="35">
        <f>'5y 10 stocks Returns'!F25</f>
        <v>-1.1179754986293615E-2</v>
      </c>
      <c r="G39" s="35">
        <f>'5y 10 stocks Returns'!G25</f>
        <v>-3.1158225624235661E-2</v>
      </c>
      <c r="H39" s="35">
        <f>'5y 10 stocks Returns'!H25</f>
        <v>7.6840784473203453E-3</v>
      </c>
      <c r="I39" s="35">
        <f>'5y 10 stocks Returns'!I25</f>
        <v>1.7552122296093646E-2</v>
      </c>
      <c r="J39" s="35">
        <f>'5y 10 stocks Returns'!J25</f>
        <v>-1.3486888935332562E-2</v>
      </c>
      <c r="K39" s="35">
        <f>'5y 10 stocks Returns'!K25</f>
        <v>-4.517033931768303E-2</v>
      </c>
    </row>
    <row r="40" spans="1:11" ht="15" hidden="1" outlineLevel="1" x14ac:dyDescent="0.25">
      <c r="A40" s="7">
        <f>'5y 10 stocks Returns'!A26</f>
        <v>42767</v>
      </c>
      <c r="B40" s="35">
        <f>'5y 10 stocks Returns'!B26</f>
        <v>-1.0417585558622837E-2</v>
      </c>
      <c r="C40" s="35">
        <f>'5y 10 stocks Returns'!C26</f>
        <v>0.12122912225301252</v>
      </c>
      <c r="D40" s="35">
        <f>'5y 10 stocks Returns'!D26</f>
        <v>2.5844699026700214E-2</v>
      </c>
      <c r="E40" s="35">
        <f>'5y 10 stocks Returns'!E26</f>
        <v>-5.0739452584739045E-3</v>
      </c>
      <c r="F40" s="35">
        <f>'5y 10 stocks Returns'!F26</f>
        <v>0.11527661268155724</v>
      </c>
      <c r="G40" s="35">
        <f>'5y 10 stocks Returns'!G26</f>
        <v>7.3903859323945331E-2</v>
      </c>
      <c r="H40" s="35">
        <f>'5y 10 stocks Returns'!H26</f>
        <v>3.2620230506894866E-2</v>
      </c>
      <c r="I40" s="35">
        <f>'5y 10 stocks Returns'!I26</f>
        <v>-3.1114349225965007E-2</v>
      </c>
      <c r="J40" s="35">
        <f>'5y 10 stocks Returns'!J26</f>
        <v>4.6735561386834379E-2</v>
      </c>
      <c r="K40" s="35">
        <f>'5y 10 stocks Returns'!K26</f>
        <v>8.6274959174733268E-2</v>
      </c>
    </row>
    <row r="41" spans="1:11" ht="15" hidden="1" outlineLevel="1" x14ac:dyDescent="0.25">
      <c r="A41" s="7">
        <f>'5y 10 stocks Returns'!A27</f>
        <v>42736</v>
      </c>
      <c r="B41" s="35">
        <f>'5y 10 stocks Returns'!B27</f>
        <v>3.9598346960542062E-2</v>
      </c>
      <c r="C41" s="35">
        <f>'5y 10 stocks Returns'!C27</f>
        <v>4.6641706156807447E-2</v>
      </c>
      <c r="D41" s="35">
        <f>'5y 10 stocks Returns'!D27</f>
        <v>6.8890534483602384E-2</v>
      </c>
      <c r="E41" s="35">
        <f>'5y 10 stocks Returns'!E27</f>
        <v>6.7545306093209717E-2</v>
      </c>
      <c r="F41" s="35">
        <f>'5y 10 stocks Returns'!F27</f>
        <v>1.640992688260539E-2</v>
      </c>
      <c r="G41" s="35">
        <f>'5y 10 stocks Returns'!G27</f>
        <v>-1.0110212228803983E-2</v>
      </c>
      <c r="H41" s="35">
        <f>'5y 10 stocks Returns'!H27</f>
        <v>3.1839757093719195E-2</v>
      </c>
      <c r="I41" s="35">
        <f>'5y 10 stocks Returns'!I27</f>
        <v>-7.318818466546273E-2</v>
      </c>
      <c r="J41" s="35">
        <f>'5y 10 stocks Returns'!J27</f>
        <v>4.1012232343690856E-2</v>
      </c>
      <c r="K41" s="35">
        <f>'5y 10 stocks Returns'!K27</f>
        <v>-1.9681542735076739E-2</v>
      </c>
    </row>
    <row r="42" spans="1:11" ht="15" hidden="1" outlineLevel="1" x14ac:dyDescent="0.25">
      <c r="A42" s="7">
        <f>'5y 10 stocks Returns'!A28</f>
        <v>42705</v>
      </c>
      <c r="B42" s="35">
        <f>'5y 10 stocks Returns'!B28</f>
        <v>3.7454146838764309E-2</v>
      </c>
      <c r="C42" s="35">
        <f>'5y 10 stocks Returns'!C28</f>
        <v>5.1961820821880868E-2</v>
      </c>
      <c r="D42" s="35">
        <f>'5y 10 stocks Returns'!D28</f>
        <v>2.3815776767489815E-2</v>
      </c>
      <c r="E42" s="35">
        <f>'5y 10 stocks Returns'!E28</f>
        <v>5.0172775888980135E-2</v>
      </c>
      <c r="F42" s="35">
        <f>'5y 10 stocks Returns'!F28</f>
        <v>1.3324823263930318E-2</v>
      </c>
      <c r="G42" s="35">
        <f>'5y 10 stocks Returns'!G28</f>
        <v>6.4249996923462518E-2</v>
      </c>
      <c r="H42" s="35">
        <f>'5y 10 stocks Returns'!H28</f>
        <v>1.801524560992928E-2</v>
      </c>
      <c r="I42" s="35">
        <f>'5y 10 stocks Returns'!I28</f>
        <v>4.2159675629096713E-2</v>
      </c>
      <c r="J42" s="35">
        <f>'5y 10 stocks Returns'!J28</f>
        <v>1.9455281347224251E-2</v>
      </c>
      <c r="K42" s="35">
        <f>'5y 10 stocks Returns'!K28</f>
        <v>9.288248770225177E-2</v>
      </c>
    </row>
    <row r="43" spans="1:11" ht="15" hidden="1" outlineLevel="1" x14ac:dyDescent="0.25">
      <c r="A43" s="7">
        <f>'5y 10 stocks Returns'!A29</f>
        <v>42675</v>
      </c>
      <c r="B43" s="35">
        <f>'5y 10 stocks Returns'!B29</f>
        <v>5.6581116448023152E-3</v>
      </c>
      <c r="C43" s="35">
        <f>'5y 10 stocks Returns'!C29</f>
        <v>-2.6958717024270256E-2</v>
      </c>
      <c r="D43" s="35">
        <f>'5y 10 stocks Returns'!D29</f>
        <v>-5.0972153058414578E-2</v>
      </c>
      <c r="E43" s="35">
        <f>'5y 10 stocks Returns'!E29</f>
        <v>6.7070708658138564E-2</v>
      </c>
      <c r="F43" s="35">
        <f>'5y 10 stocks Returns'!F29</f>
        <v>-2.0201328849509599E-2</v>
      </c>
      <c r="G43" s="35">
        <f>'5y 10 stocks Returns'!G29</f>
        <v>0.15352467864957731</v>
      </c>
      <c r="H43" s="35">
        <f>'5y 10 stocks Returns'!H29</f>
        <v>-3.4361405045320988E-2</v>
      </c>
      <c r="I43" s="35">
        <f>'5y 10 stocks Returns'!I29</f>
        <v>4.6661827272361747E-2</v>
      </c>
      <c r="J43" s="35">
        <f>'5y 10 stocks Returns'!J29</f>
        <v>-4.3607849676974605E-2</v>
      </c>
      <c r="K43" s="35">
        <f>'5y 10 stocks Returns'!K29</f>
        <v>0.24685993759692168</v>
      </c>
    </row>
    <row r="44" spans="1:11" ht="15" hidden="1" outlineLevel="1" x14ac:dyDescent="0.25">
      <c r="A44" s="7">
        <f>'5y 10 stocks Returns'!A30</f>
        <v>42644</v>
      </c>
      <c r="B44" s="35">
        <f>'5y 10 stocks Returns'!B30</f>
        <v>3.9487780436315553E-2</v>
      </c>
      <c r="C44" s="35">
        <f>'5y 10 stocks Returns'!C30</f>
        <v>4.3248877545664782E-3</v>
      </c>
      <c r="D44" s="35">
        <f>'5y 10 stocks Returns'!D30</f>
        <v>-5.8389289639810826E-2</v>
      </c>
      <c r="E44" s="35">
        <f>'5y 10 stocks Returns'!E30</f>
        <v>-1.8325167163699555E-3</v>
      </c>
      <c r="F44" s="35">
        <f>'5y 10 stocks Returns'!F30</f>
        <v>-3.3336480326230371E-2</v>
      </c>
      <c r="G44" s="35">
        <f>'5y 10 stocks Returns'!G30</f>
        <v>3.9313218739630028E-2</v>
      </c>
      <c r="H44" s="35">
        <f>'5y 10 stocks Returns'!H30</f>
        <v>9.2840479174319864E-3</v>
      </c>
      <c r="I44" s="35">
        <f>'5y 10 stocks Returns'!I30</f>
        <v>-4.6432433175506382E-2</v>
      </c>
      <c r="J44" s="35">
        <f>'5y 10 stocks Returns'!J30</f>
        <v>-3.3421401629968761E-2</v>
      </c>
      <c r="K44" s="35">
        <f>'5y 10 stocks Returns'!K30</f>
        <v>5.2889691052409794E-2</v>
      </c>
    </row>
    <row r="45" spans="1:11" ht="15" hidden="1" outlineLevel="1" x14ac:dyDescent="0.25">
      <c r="A45" s="7">
        <f>'5y 10 stocks Returns'!A31</f>
        <v>42614</v>
      </c>
      <c r="B45" s="35">
        <f>'5y 10 stocks Returns'!B31</f>
        <v>8.6468357821425576E-3</v>
      </c>
      <c r="C45" s="35">
        <f>'5y 10 stocks Returns'!C31</f>
        <v>6.8850915785179739E-2</v>
      </c>
      <c r="D45" s="35">
        <f>'5y 10 stocks Returns'!D31</f>
        <v>8.4895394721912362E-2</v>
      </c>
      <c r="E45" s="35">
        <f>'5y 10 stocks Returns'!E31</f>
        <v>-1.7083376112012355E-2</v>
      </c>
      <c r="F45" s="35">
        <f>'5y 10 stocks Returns'!F31</f>
        <v>8.8664650087735553E-3</v>
      </c>
      <c r="G45" s="35">
        <f>'5y 10 stocks Returns'!G31</f>
        <v>-1.3573212959008167E-2</v>
      </c>
      <c r="H45" s="35">
        <f>'5y 10 stocks Returns'!H31</f>
        <v>1.3261510157852166E-2</v>
      </c>
      <c r="I45" s="35">
        <f>'5y 10 stocks Returns'!I31</f>
        <v>1.0096529702083808E-2</v>
      </c>
      <c r="J45" s="35">
        <f>'5y 10 stocks Returns'!J31</f>
        <v>2.7563133441429851E-2</v>
      </c>
      <c r="K45" s="35">
        <f>'5y 10 stocks Returns'!K31</f>
        <v>-2.6186488666843435E-2</v>
      </c>
    </row>
    <row r="46" spans="1:11" ht="15" hidden="1" outlineLevel="1" x14ac:dyDescent="0.25">
      <c r="A46" s="7">
        <f>'5y 10 stocks Returns'!A32</f>
        <v>42583</v>
      </c>
      <c r="B46" s="35">
        <f>'5y 10 stocks Returns'!B32</f>
        <v>1.3667693073487096E-2</v>
      </c>
      <c r="C46" s="35">
        <f>'5y 10 stocks Returns'!C32</f>
        <v>1.7973973391415998E-2</v>
      </c>
      <c r="D46" s="35">
        <f>'5y 10 stocks Returns'!D32</f>
        <v>1.354756113762587E-2</v>
      </c>
      <c r="E46" s="35">
        <f>'5y 10 stocks Returns'!E32</f>
        <v>-8.4128366926886251E-3</v>
      </c>
      <c r="F46" s="35">
        <f>'5y 10 stocks Returns'!F32</f>
        <v>3.8439862255461865E-2</v>
      </c>
      <c r="G46" s="35">
        <f>'5y 10 stocks Returns'!G32</f>
        <v>6.1467951675039316E-2</v>
      </c>
      <c r="H46" s="35">
        <f>'5y 10 stocks Returns'!H32</f>
        <v>-2.2658490245801139E-3</v>
      </c>
      <c r="I46" s="35">
        <f>'5y 10 stocks Returns'!I32</f>
        <v>-2.0558275531738231E-2</v>
      </c>
      <c r="J46" s="35">
        <f>'5y 10 stocks Returns'!J32</f>
        <v>2.7696357272158877E-2</v>
      </c>
      <c r="K46" s="35">
        <f>'5y 10 stocks Returns'!K32</f>
        <v>0.10784195923127221</v>
      </c>
    </row>
    <row r="47" spans="1:11" ht="15" hidden="1" outlineLevel="1" x14ac:dyDescent="0.25">
      <c r="A47" s="7">
        <f>'5y 10 stocks Returns'!A33</f>
        <v>42552</v>
      </c>
      <c r="B47" s="35">
        <f>'5y 10 stocks Returns'!B33</f>
        <v>0.10226799949355682</v>
      </c>
      <c r="C47" s="35">
        <f>'5y 10 stocks Returns'!C33</f>
        <v>8.6235098275332878E-2</v>
      </c>
      <c r="D47" s="35">
        <f>'5y 10 stocks Returns'!D33</f>
        <v>5.8602121209846161E-2</v>
      </c>
      <c r="E47" s="35">
        <f>'5y 10 stocks Returns'!E33</f>
        <v>-1.9301887744877184E-2</v>
      </c>
      <c r="F47" s="35">
        <f>'5y 10 stocks Returns'!F33</f>
        <v>6.2161335072799417E-2</v>
      </c>
      <c r="G47" s="35">
        <f>'5y 10 stocks Returns'!G33</f>
        <v>2.9024322759167023E-2</v>
      </c>
      <c r="H47" s="35">
        <f>'5y 10 stocks Returns'!H33</f>
        <v>0.10508740250026335</v>
      </c>
      <c r="I47" s="35">
        <f>'5y 10 stocks Returns'!I33</f>
        <v>-5.245075704134862E-2</v>
      </c>
      <c r="J47" s="35">
        <f>'5y 10 stocks Returns'!J33</f>
        <v>1.0807046941407364E-2</v>
      </c>
      <c r="K47" s="35">
        <f>'5y 10 stocks Returns'!K33</f>
        <v>9.1339212438813003E-2</v>
      </c>
    </row>
    <row r="48" spans="1:11" ht="15" hidden="1" outlineLevel="1" x14ac:dyDescent="0.25">
      <c r="A48" s="7">
        <f>'5y 10 stocks Returns'!A34</f>
        <v>42522</v>
      </c>
      <c r="B48" s="35">
        <f>'5y 10 stocks Returns'!B34</f>
        <v>-2.816835647618952E-2</v>
      </c>
      <c r="C48" s="35">
        <f>'5y 10 stocks Returns'!C34</f>
        <v>-3.7526502588994197E-2</v>
      </c>
      <c r="D48" s="35">
        <f>'5y 10 stocks Returns'!D34</f>
        <v>-9.9694002672957097E-3</v>
      </c>
      <c r="E48" s="35">
        <f>'5y 10 stocks Returns'!E34</f>
        <v>-1.4210440617537505E-2</v>
      </c>
      <c r="F48" s="35">
        <f>'5y 10 stocks Returns'!F34</f>
        <v>-1.2469730111198007E-2</v>
      </c>
      <c r="G48" s="35">
        <f>'5y 10 stocks Returns'!G34</f>
        <v>-4.9142678377946183E-2</v>
      </c>
      <c r="H48" s="35">
        <f>'5y 10 stocks Returns'!H34</f>
        <v>-6.1119152974679292E-2</v>
      </c>
      <c r="I48" s="35">
        <f>'5y 10 stocks Returns'!I34</f>
        <v>6.0033254465928963E-2</v>
      </c>
      <c r="J48" s="35">
        <f>'5y 10 stocks Returns'!J34</f>
        <v>4.3818525504050479E-2</v>
      </c>
      <c r="K48" s="35">
        <f>'5y 10 stocks Returns'!K34</f>
        <v>-0.10844561673927364</v>
      </c>
    </row>
    <row r="49" spans="1:11" ht="15" hidden="1" outlineLevel="1" x14ac:dyDescent="0.25">
      <c r="A49" s="7">
        <f>'5y 10 stocks Returns'!A35</f>
        <v>42491</v>
      </c>
      <c r="B49" s="35">
        <f>'5y 10 stocks Returns'!B35</f>
        <v>6.0872252821212593E-2</v>
      </c>
      <c r="C49" s="35">
        <f>'5y 10 stocks Returns'!C35</f>
        <v>6.3244341840116305E-2</v>
      </c>
      <c r="D49" s="35">
        <f>'5y 10 stocks Returns'!D35</f>
        <v>9.1500222297398293E-2</v>
      </c>
      <c r="E49" s="35">
        <f>'5y 10 stocks Returns'!E35</f>
        <v>-3.9910488328585181E-2</v>
      </c>
      <c r="F49" s="35">
        <f>'5y 10 stocks Returns'!F35</f>
        <v>6.4299858741073496E-2</v>
      </c>
      <c r="G49" s="35">
        <f>'5y 10 stocks Returns'!G35</f>
        <v>3.9604576565522936E-2</v>
      </c>
      <c r="H49" s="35">
        <f>'5y 10 stocks Returns'!H35</f>
        <v>5.9805128615398918E-2</v>
      </c>
      <c r="I49" s="35">
        <f>'5y 10 stocks Returns'!I35</f>
        <v>6.9888650790855423E-3</v>
      </c>
      <c r="J49" s="35">
        <f>'5y 10 stocks Returns'!J35</f>
        <v>1.9569437190636096E-2</v>
      </c>
      <c r="K49" s="35">
        <f>'5y 10 stocks Returns'!K35</f>
        <v>1.5673361657907565E-2</v>
      </c>
    </row>
    <row r="50" spans="1:11" ht="15" hidden="1" outlineLevel="1" x14ac:dyDescent="0.25">
      <c r="A50" s="7">
        <f>'5y 10 stocks Returns'!A36</f>
        <v>42461</v>
      </c>
      <c r="B50" s="35">
        <f>'5y 10 stocks Returns'!B36</f>
        <v>-0.1020868106167368</v>
      </c>
      <c r="C50" s="35">
        <f>'5y 10 stocks Returns'!C36</f>
        <v>-0.15073120784337654</v>
      </c>
      <c r="D50" s="35">
        <f>'5y 10 stocks Returns'!D36</f>
        <v>0.10534537050612541</v>
      </c>
      <c r="E50" s="35">
        <f>'5y 10 stocks Returns'!E36</f>
        <v>3.900369334491384E-2</v>
      </c>
      <c r="F50" s="35">
        <f>'5y 10 stocks Returns'!F36</f>
        <v>-3.5028688281639631E-2</v>
      </c>
      <c r="G50" s="35">
        <f>'5y 10 stocks Returns'!G36</f>
        <v>6.5045023697400145E-2</v>
      </c>
      <c r="H50" s="35">
        <f>'5y 10 stocks Returns'!H36</f>
        <v>-7.2272674611784049E-2</v>
      </c>
      <c r="I50" s="35">
        <f>'5y 10 stocks Returns'!I36</f>
        <v>5.5948207484098712E-2</v>
      </c>
      <c r="J50" s="35">
        <f>'5y 10 stocks Returns'!J36</f>
        <v>-2.6966989001458157E-2</v>
      </c>
      <c r="K50" s="35">
        <f>'5y 10 stocks Returns'!K36</f>
        <v>7.7905891259944127E-2</v>
      </c>
    </row>
    <row r="51" spans="1:11" ht="15" hidden="1" outlineLevel="1" x14ac:dyDescent="0.25">
      <c r="A51" s="7">
        <f>'5y 10 stocks Returns'!A37</f>
        <v>42430</v>
      </c>
      <c r="B51" s="35">
        <f>'5y 10 stocks Returns'!B37</f>
        <v>8.9190787838824878E-2</v>
      </c>
      <c r="C51" s="35">
        <f>'5y 10 stocks Returns'!C37</f>
        <v>0.12515794470182226</v>
      </c>
      <c r="D51" s="35">
        <f>'5y 10 stocks Returns'!D37</f>
        <v>7.178343226591305E-2</v>
      </c>
      <c r="E51" s="35">
        <f>'5y 10 stocks Returns'!E37</f>
        <v>3.8910767751321601E-2</v>
      </c>
      <c r="F51" s="35">
        <f>'5y 10 stocks Returns'!F37</f>
        <v>8.3855149962530712E-2</v>
      </c>
      <c r="G51" s="35">
        <f>'5y 10 stocks Returns'!G37</f>
        <v>5.0564845258038074E-2</v>
      </c>
      <c r="H51" s="35">
        <f>'5y 10 stocks Returns'!H37</f>
        <v>6.5427553911985223E-2</v>
      </c>
      <c r="I51" s="35">
        <f>'5y 10 stocks Returns'!I37</f>
        <v>5.1059327318006886E-2</v>
      </c>
      <c r="J51" s="35">
        <f>'5y 10 stocks Returns'!J37</f>
        <v>2.484740674021128E-2</v>
      </c>
      <c r="K51" s="35">
        <f>'5y 10 stocks Returns'!K37</f>
        <v>7.6842694461803793E-2</v>
      </c>
    </row>
    <row r="52" spans="1:11" ht="15" hidden="1" outlineLevel="1" x14ac:dyDescent="0.25">
      <c r="A52" s="7">
        <f>'5y 10 stocks Returns'!A38</f>
        <v>42401</v>
      </c>
      <c r="B52" s="35">
        <f>'5y 10 stocks Returns'!B38</f>
        <v>-7.9498408951904728E-2</v>
      </c>
      <c r="C52" s="35">
        <f>'5y 10 stocks Returns'!C38</f>
        <v>-6.699895675983043E-3</v>
      </c>
      <c r="D52" s="35">
        <f>'5y 10 stocks Returns'!D38</f>
        <v>-6.0535151798553274E-2</v>
      </c>
      <c r="E52" s="35">
        <f>'5y 10 stocks Returns'!E38</f>
        <v>-3.1358590227043414E-3</v>
      </c>
      <c r="F52" s="35">
        <f>'5y 10 stocks Returns'!F38</f>
        <v>0.1034922775170844</v>
      </c>
      <c r="G52" s="35">
        <f>'5y 10 stocks Returns'!G38</f>
        <v>-4.8596020503727855E-2</v>
      </c>
      <c r="H52" s="35">
        <f>'5y 10 stocks Returns'!H38</f>
        <v>-6.2739199624356853E-2</v>
      </c>
      <c r="I52" s="35">
        <f>'5y 10 stocks Returns'!I38</f>
        <v>2.9116132021073229E-2</v>
      </c>
      <c r="J52" s="35">
        <f>'5y 10 stocks Returns'!J38</f>
        <v>-8.609665086033504E-3</v>
      </c>
      <c r="K52" s="35">
        <f>'5y 10 stocks Returns'!K38</f>
        <v>-0.12168024719436674</v>
      </c>
    </row>
    <row r="53" spans="1:11" ht="15" hidden="1" outlineLevel="1" x14ac:dyDescent="0.25">
      <c r="A53" s="7">
        <f>'5y 10 stocks Returns'!A39</f>
        <v>42370</v>
      </c>
      <c r="B53" s="35">
        <f>'5y 10 stocks Returns'!B39</f>
        <v>-7.0544599414097469E-3</v>
      </c>
      <c r="C53" s="35">
        <f>'5y 10 stocks Returns'!C39</f>
        <v>-7.8223725040940995E-2</v>
      </c>
      <c r="D53" s="35">
        <f>'5y 10 stocks Returns'!D39</f>
        <v>-0.14100554327369297</v>
      </c>
      <c r="E53" s="35">
        <f>'5y 10 stocks Returns'!E39</f>
        <v>-8.5860807616864585E-2</v>
      </c>
      <c r="F53" s="35">
        <f>'5y 10 stocks Returns'!F39</f>
        <v>-0.13247980953926153</v>
      </c>
      <c r="G53" s="35">
        <f>'5y 10 stocks Returns'!G39</f>
        <v>-0.10413282683585232</v>
      </c>
      <c r="H53" s="35">
        <f>'5y 10 stocks Returns'!H39</f>
        <v>-2.1214904863745037E-2</v>
      </c>
      <c r="I53" s="35">
        <f>'5y 10 stocks Returns'!I39</f>
        <v>-1.2838380626936112E-3</v>
      </c>
      <c r="J53" s="35">
        <f>'5y 10 stocks Returns'!J39</f>
        <v>2.8307546921708324E-2</v>
      </c>
      <c r="K53" s="35">
        <f>'5y 10 stocks Returns'!K39</f>
        <v>-0.17134387727964845</v>
      </c>
    </row>
    <row r="54" spans="1:11" ht="15" hidden="1" outlineLevel="1" x14ac:dyDescent="0.25">
      <c r="A54" s="7">
        <f>'5y 10 stocks Returns'!A40</f>
        <v>42339</v>
      </c>
      <c r="B54" s="35">
        <f>'5y 10 stocks Returns'!B40</f>
        <v>2.7295889469147166E-2</v>
      </c>
      <c r="C54" s="35">
        <f>'5y 10 stocks Returns'!C40</f>
        <v>-0.11251895163474272</v>
      </c>
      <c r="D54" s="35">
        <f>'5y 10 stocks Returns'!D40</f>
        <v>1.6544137611092583E-2</v>
      </c>
      <c r="E54" s="35">
        <f>'5y 10 stocks Returns'!E40</f>
        <v>-7.6816423824405053E-2</v>
      </c>
      <c r="F54" s="35">
        <f>'5y 10 stocks Returns'!F40</f>
        <v>-3.3083442396193556E-3</v>
      </c>
      <c r="G54" s="35">
        <f>'5y 10 stocks Returns'!G40</f>
        <v>-9.7958438656949674E-3</v>
      </c>
      <c r="H54" s="35">
        <f>'5y 10 stocks Returns'!H40</f>
        <v>2.1686159293828937E-2</v>
      </c>
      <c r="I54" s="35">
        <f>'5y 10 stocks Returns'!I40</f>
        <v>-3.7817044282234084E-2</v>
      </c>
      <c r="J54" s="35">
        <f>'5y 10 stocks Returns'!J40</f>
        <v>5.9271651373479499E-2</v>
      </c>
      <c r="K54" s="35">
        <f>'5y 10 stocks Returns'!K40</f>
        <v>-3.5029759055626414E-2</v>
      </c>
    </row>
    <row r="55" spans="1:11" ht="15" hidden="1" outlineLevel="1" x14ac:dyDescent="0.25">
      <c r="A55" s="7">
        <f>'5y 10 stocks Returns'!A41</f>
        <v>42309</v>
      </c>
      <c r="B55" s="35">
        <f>'5y 10 stocks Returns'!B41</f>
        <v>3.1968231416945173E-2</v>
      </c>
      <c r="C55" s="35">
        <f>'5y 10 stocks Returns'!C41</f>
        <v>-1.0092636970345589E-2</v>
      </c>
      <c r="D55" s="35">
        <f>'5y 10 stocks Returns'!D41</f>
        <v>6.0295573215258073E-2</v>
      </c>
      <c r="E55" s="35">
        <f>'5y 10 stocks Returns'!E41</f>
        <v>-2.3766066301358934E-3</v>
      </c>
      <c r="F55" s="35">
        <f>'5y 10 stocks Returns'!F41</f>
        <v>-4.9024209163779121E-2</v>
      </c>
      <c r="G55" s="35">
        <f>'5y 10 stocks Returns'!G41</f>
        <v>4.4312852587256701E-2</v>
      </c>
      <c r="H55" s="35">
        <f>'5y 10 stocks Returns'!H41</f>
        <v>4.3752347401220817E-2</v>
      </c>
      <c r="I55" s="35">
        <f>'5y 10 stocks Returns'!I41</f>
        <v>-1.3138658647392916E-2</v>
      </c>
      <c r="J55" s="35">
        <f>'5y 10 stocks Returns'!J41</f>
        <v>-1.142198264222488E-2</v>
      </c>
      <c r="K55" s="35">
        <f>'5y 10 stocks Returns'!K41</f>
        <v>3.8005058231951973E-2</v>
      </c>
    </row>
    <row r="56" spans="1:11" ht="15" hidden="1" outlineLevel="1" x14ac:dyDescent="0.25">
      <c r="A56" s="7">
        <f>'5y 10 stocks Returns'!A42</f>
        <v>42278</v>
      </c>
      <c r="B56" s="35">
        <f>'5y 10 stocks Returns'!B42</f>
        <v>0.17339513696177311</v>
      </c>
      <c r="C56" s="35">
        <f>'5y 10 stocks Returns'!C42</f>
        <v>8.011251366458956E-2</v>
      </c>
      <c r="D56" s="35">
        <f>'5y 10 stocks Returns'!D42</f>
        <v>0.20108086476498516</v>
      </c>
      <c r="E56" s="35">
        <f>'5y 10 stocks Returns'!E42</f>
        <v>0.10698346183164914</v>
      </c>
      <c r="F56" s="35">
        <f>'5y 10 stocks Returns'!F42</f>
        <v>9.4444033432991195E-2</v>
      </c>
      <c r="G56" s="35">
        <f>'5y 10 stocks Returns'!G42</f>
        <v>5.2399742966774826E-2</v>
      </c>
      <c r="H56" s="35">
        <f>'5y 10 stocks Returns'!H42</f>
        <v>0.15553975700947875</v>
      </c>
      <c r="I56" s="35">
        <f>'5y 10 stocks Returns'!I42</f>
        <v>0.10691941910402829</v>
      </c>
      <c r="J56" s="35">
        <f>'5y 10 stocks Returns'!J42</f>
        <v>5.9888348652446001E-2</v>
      </c>
      <c r="K56" s="35">
        <f>'5y 10 stocks Returns'!K42</f>
        <v>7.741405205274382E-2</v>
      </c>
    </row>
    <row r="57" spans="1:11" ht="15" hidden="1" outlineLevel="1" x14ac:dyDescent="0.25">
      <c r="A57" s="7">
        <f>'5y 10 stocks Returns'!A43</f>
        <v>42248</v>
      </c>
      <c r="B57" s="35">
        <f>'5y 10 stocks Returns'!B43</f>
        <v>2.3433337678948406E-2</v>
      </c>
      <c r="C57" s="35">
        <f>'5y 10 stocks Returns'!C43</f>
        <v>-1.895946514548413E-2</v>
      </c>
      <c r="D57" s="35">
        <f>'5y 10 stocks Returns'!D43</f>
        <v>-1.9516389627689909E-3</v>
      </c>
      <c r="E57" s="35">
        <f>'5y 10 stocks Returns'!E43</f>
        <v>3.1360798285119808E-3</v>
      </c>
      <c r="F57" s="35">
        <f>'5y 10 stocks Returns'!F43</f>
        <v>1.4195522745171637E-2</v>
      </c>
      <c r="G57" s="35">
        <f>'5y 10 stocks Returns'!G43</f>
        <v>-5.0062319683712241E-2</v>
      </c>
      <c r="H57" s="35">
        <f>'5y 10 stocks Returns'!H43</f>
        <v>-4.6861382628566602E-2</v>
      </c>
      <c r="I57" s="35">
        <f>'5y 10 stocks Returns'!I43</f>
        <v>-2.5862341432199678E-3</v>
      </c>
      <c r="J57" s="35">
        <f>'5y 10 stocks Returns'!J43</f>
        <v>1.7811608023284731E-2</v>
      </c>
      <c r="K57" s="35">
        <f>'5y 10 stocks Returns'!K43</f>
        <v>-5.3729425340257216E-2</v>
      </c>
    </row>
    <row r="58" spans="1:11" ht="15" hidden="1" outlineLevel="1" x14ac:dyDescent="0.25">
      <c r="A58" s="7">
        <f>'5y 10 stocks Returns'!A44</f>
        <v>42217</v>
      </c>
      <c r="B58" s="35">
        <f>'5y 10 stocks Returns'!B44</f>
        <v>-7.0523659560539201E-2</v>
      </c>
      <c r="C58" s="35">
        <f>'5y 10 stocks Returns'!C44</f>
        <v>-7.1587094627726888E-2</v>
      </c>
      <c r="D58" s="35">
        <f>'5y 10 stocks Returns'!D44</f>
        <v>-4.435259095652358E-2</v>
      </c>
      <c r="E58" s="35">
        <f>'5y 10 stocks Returns'!E44</f>
        <v>-0.15789703284018819</v>
      </c>
      <c r="F58" s="35">
        <f>'5y 10 stocks Returns'!F44</f>
        <v>-8.5945809257341271E-2</v>
      </c>
      <c r="G58" s="35">
        <f>'5y 10 stocks Returns'!G44</f>
        <v>-6.0312616338459642E-2</v>
      </c>
      <c r="H58" s="35">
        <f>'5y 10 stocks Returns'!H44</f>
        <v>1.8999637860486106E-2</v>
      </c>
      <c r="I58" s="35">
        <f>'5y 10 stocks Returns'!I44</f>
        <v>-5.1419553822687744E-2</v>
      </c>
      <c r="J58" s="35">
        <f>'5y 10 stocks Returns'!J44</f>
        <v>-7.3727043266385336E-2</v>
      </c>
      <c r="K58" s="35">
        <f>'5y 10 stocks Returns'!K44</f>
        <v>-8.3965073913456478E-2</v>
      </c>
    </row>
    <row r="59" spans="1:11" ht="15" hidden="1" outlineLevel="1" x14ac:dyDescent="0.25">
      <c r="A59" s="7">
        <f>'5y 10 stocks Returns'!A45</f>
        <v>42186</v>
      </c>
      <c r="B59" s="35">
        <f>'5y 10 stocks Returns'!B45</f>
        <v>5.615138950863606E-2</v>
      </c>
      <c r="C59" s="35">
        <f>'5y 10 stocks Returns'!C45</f>
        <v>-3.3481272359727109E-2</v>
      </c>
      <c r="D59" s="35">
        <f>'5y 10 stocks Returns'!D45</f>
        <v>0.21116214077099557</v>
      </c>
      <c r="E59" s="35">
        <f>'5y 10 stocks Returns'!E45</f>
        <v>5.0065888212511303E-2</v>
      </c>
      <c r="F59" s="35">
        <f>'5y 10 stocks Returns'!F45</f>
        <v>3.4362595825190106E-2</v>
      </c>
      <c r="G59" s="35">
        <f>'5y 10 stocks Returns'!G45</f>
        <v>1.1299758009413369E-2</v>
      </c>
      <c r="H59" s="35">
        <f>'5y 10 stocks Returns'!H45</f>
        <v>0.18391803040321489</v>
      </c>
      <c r="I59" s="35">
        <f>'5y 10 stocks Returns'!I45</f>
        <v>-4.9144760587851326E-2</v>
      </c>
      <c r="J59" s="35">
        <f>'5y 10 stocks Returns'!J45</f>
        <v>-1.987907409059032E-2</v>
      </c>
      <c r="K59" s="35">
        <f>'5y 10 stocks Returns'!K45</f>
        <v>5.2288266051541799E-2</v>
      </c>
    </row>
    <row r="60" spans="1:11" ht="15" hidden="1" outlineLevel="1" x14ac:dyDescent="0.25">
      <c r="A60" s="7">
        <f>'5y 10 stocks Returns'!A46</f>
        <v>42156</v>
      </c>
      <c r="B60" s="35">
        <f>'5y 10 stocks Returns'!B46</f>
        <v>-5.3093689293059229E-2</v>
      </c>
      <c r="C60" s="35">
        <f>'5y 10 stocks Returns'!C46</f>
        <v>-3.3769417824387027E-2</v>
      </c>
      <c r="D60" s="35">
        <f>'5y 10 stocks Returns'!D46</f>
        <v>1.1258945233946025E-2</v>
      </c>
      <c r="E60" s="35">
        <f>'5y 10 stocks Returns'!E46</f>
        <v>3.3587491495348384E-2</v>
      </c>
      <c r="F60" s="35">
        <f>'5y 10 stocks Returns'!F46</f>
        <v>-6.5198043203181441E-2</v>
      </c>
      <c r="G60" s="35">
        <f>'5y 10 stocks Returns'!G46</f>
        <v>2.9656018615170927E-2</v>
      </c>
      <c r="H60" s="35">
        <f>'5y 10 stocks Returns'!H46</f>
        <v>-2.2041087317678777E-2</v>
      </c>
      <c r="I60" s="35">
        <f>'5y 10 stocks Returns'!I46</f>
        <v>-1.5517252102805941E-2</v>
      </c>
      <c r="J60" s="35">
        <f>'5y 10 stocks Returns'!J46</f>
        <v>-1.9155329083835686E-3</v>
      </c>
      <c r="K60" s="35">
        <f>'5y 10 stocks Returns'!K46</f>
        <v>3.1028906159832025E-2</v>
      </c>
    </row>
    <row r="61" spans="1:11" ht="15" hidden="1" outlineLevel="1" x14ac:dyDescent="0.25">
      <c r="A61" s="7">
        <f>'5y 10 stocks Returns'!A47</f>
        <v>42125</v>
      </c>
      <c r="B61" s="35">
        <f>'5y 10 stocks Returns'!B47</f>
        <v>-3.7281890692137609E-2</v>
      </c>
      <c r="C61" s="35">
        <f>'5y 10 stocks Returns'!C47</f>
        <v>4.017262528978683E-2</v>
      </c>
      <c r="D61" s="35">
        <f>'5y 10 stocks Returns'!D47</f>
        <v>1.750908271209033E-2</v>
      </c>
      <c r="E61" s="35">
        <f>'5y 10 stocks Returns'!E47</f>
        <v>1.5062372477734507E-2</v>
      </c>
      <c r="F61" s="35">
        <f>'5y 10 stocks Returns'!F47</f>
        <v>1.6511968867305583E-2</v>
      </c>
      <c r="G61" s="35">
        <f>'5y 10 stocks Returns'!G47</f>
        <v>4.5687516000938684E-2</v>
      </c>
      <c r="H61" s="35">
        <f>'5y 10 stocks Returns'!H47</f>
        <v>-9.7808848209589953E-3</v>
      </c>
      <c r="I61" s="35">
        <f>'5y 10 stocks Returns'!I47</f>
        <v>-2.5150534453984495E-2</v>
      </c>
      <c r="J61" s="35">
        <f>'5y 10 stocks Returns'!J47</f>
        <v>-6.1761849933856545E-3</v>
      </c>
      <c r="K61" s="35">
        <f>'5y 10 stocks Returns'!K47</f>
        <v>3.5156106779985374E-2</v>
      </c>
    </row>
    <row r="62" spans="1:11" ht="15" hidden="1" outlineLevel="1" x14ac:dyDescent="0.25">
      <c r="A62" s="7">
        <f>'5y 10 stocks Returns'!A48</f>
        <v>42095</v>
      </c>
      <c r="B62" s="35">
        <f>'5y 10 stocks Returns'!B48</f>
        <v>0.1792015343686334</v>
      </c>
      <c r="C62" s="35">
        <f>'5y 10 stocks Returns'!C48</f>
        <v>5.769852184719519E-3</v>
      </c>
      <c r="D62" s="35">
        <f>'5y 10 stocks Returns'!D48</f>
        <v>0.12532119723543961</v>
      </c>
      <c r="E62" s="35">
        <f>'5y 10 stocks Returns'!E48</f>
        <v>3.5863729989297134E-2</v>
      </c>
      <c r="F62" s="35">
        <f>'5y 10 stocks Returns'!F48</f>
        <v>5.3764226838134789E-2</v>
      </c>
      <c r="G62" s="35">
        <f>'5y 10 stocks Returns'!G48</f>
        <v>4.3288310554342353E-2</v>
      </c>
      <c r="H62" s="35">
        <f>'5y 10 stocks Returns'!H48</f>
        <v>-1.4156270117590089E-2</v>
      </c>
      <c r="I62" s="35">
        <f>'5y 10 stocks Returns'!I48</f>
        <v>2.7500677399679891E-2</v>
      </c>
      <c r="J62" s="35">
        <f>'5y 10 stocks Returns'!J48</f>
        <v>-3.0104569978686994E-2</v>
      </c>
      <c r="K62" s="35">
        <f>'5y 10 stocks Returns'!K48</f>
        <v>3.7608347048366721E-2</v>
      </c>
    </row>
    <row r="63" spans="1:11" ht="15" hidden="1" outlineLevel="1" x14ac:dyDescent="0.25">
      <c r="A63" s="7">
        <f>'5y 10 stocks Returns'!A49</f>
        <v>42064</v>
      </c>
      <c r="B63" s="35">
        <f>'5y 10 stocks Returns'!B49</f>
        <v>-6.8438611238217303E-2</v>
      </c>
      <c r="C63" s="35">
        <f>'5y 10 stocks Returns'!C49</f>
        <v>-2.7935446788965736E-2</v>
      </c>
      <c r="D63" s="35">
        <f>'5y 10 stocks Returns'!D49</f>
        <v>-2.1429575778836519E-2</v>
      </c>
      <c r="E63" s="35">
        <f>'5y 10 stocks Returns'!E49</f>
        <v>7.7523065190286912E-3</v>
      </c>
      <c r="F63" s="35">
        <f>'5y 10 stocks Returns'!F49</f>
        <v>-6.9452835497528245E-2</v>
      </c>
      <c r="G63" s="35">
        <f>'5y 10 stocks Returns'!G49</f>
        <v>-1.1488872115892539E-2</v>
      </c>
      <c r="H63" s="35">
        <f>'5y 10 stocks Returns'!H49</f>
        <v>-1.8800259276843617E-2</v>
      </c>
      <c r="I63" s="35">
        <f>'5y 10 stocks Returns'!I49</f>
        <v>-3.3304387232789903E-2</v>
      </c>
      <c r="J63" s="35">
        <f>'5y 10 stocks Returns'!J49</f>
        <v>-3.8192020654178087E-2</v>
      </c>
      <c r="K63" s="35">
        <f>'5y 10 stocks Returns'!K49</f>
        <v>-2.6924700075699196E-2</v>
      </c>
    </row>
    <row r="64" spans="1:11" ht="15" hidden="1" outlineLevel="1" x14ac:dyDescent="0.25">
      <c r="A64" s="7">
        <f>'5y 10 stocks Returns'!A50</f>
        <v>42036</v>
      </c>
      <c r="B64" s="35">
        <f>'5y 10 stocks Returns'!B50</f>
        <v>8.1944851597246349E-2</v>
      </c>
      <c r="C64" s="35">
        <f>'5y 10 stocks Returns'!C50</f>
        <v>9.2077072482009276E-2</v>
      </c>
      <c r="D64" s="35">
        <f>'5y 10 stocks Returns'!D50</f>
        <v>6.979926145102977E-2</v>
      </c>
      <c r="E64" s="35">
        <f>'5y 10 stocks Returns'!E50</f>
        <v>0.13474014885877733</v>
      </c>
      <c r="F64" s="35">
        <f>'5y 10 stocks Returns'!F50</f>
        <v>0.1193553558571581</v>
      </c>
      <c r="G64" s="35">
        <f>'5y 10 stocks Returns'!G50</f>
        <v>0.1258694470652881</v>
      </c>
      <c r="H64" s="35">
        <f>'5y 10 stocks Returns'!H50</f>
        <v>4.3706444612852974E-2</v>
      </c>
      <c r="I64" s="35">
        <f>'5y 10 stocks Returns'!I50</f>
        <v>1.2730477652931411E-2</v>
      </c>
      <c r="J64" s="35">
        <f>'5y 10 stocks Returns'!J50</f>
        <v>1.6998861914288479E-2</v>
      </c>
      <c r="K64" s="35">
        <f>'5y 10 stocks Returns'!K50</f>
        <v>4.2642053529157134E-2</v>
      </c>
    </row>
    <row r="65" spans="1:11" ht="15" hidden="1" outlineLevel="1" x14ac:dyDescent="0.25">
      <c r="A65" s="7">
        <f>'5y 10 stocks Returns'!A51</f>
        <v>42005</v>
      </c>
      <c r="B65" s="35">
        <f>'5y 10 stocks Returns'!B51</f>
        <v>-0.13954662386843725</v>
      </c>
      <c r="C65" s="35">
        <f>'5y 10 stocks Returns'!C51</f>
        <v>5.9611509225418885E-2</v>
      </c>
      <c r="D65" s="35">
        <f>'5y 10 stocks Returns'!D51</f>
        <v>0.13309225361240848</v>
      </c>
      <c r="E65" s="35">
        <f>'5y 10 stocks Returns'!E51</f>
        <v>-2.2264536937621121E-2</v>
      </c>
      <c r="F65" s="35">
        <f>'5y 10 stocks Returns'!F51</f>
        <v>-5.3528306020408728E-2</v>
      </c>
      <c r="G65" s="35">
        <f>'5y 10 stocks Returns'!G51</f>
        <v>-0.14044914804855793</v>
      </c>
      <c r="H65" s="35">
        <f>'5y 10 stocks Returns'!H51</f>
        <v>1.5303224189097655E-2</v>
      </c>
      <c r="I65" s="35">
        <f>'5y 10 stocks Returns'!I51</f>
        <v>-5.5943739557713985E-2</v>
      </c>
      <c r="J65" s="35">
        <f>'5y 10 stocks Returns'!J51</f>
        <v>-7.7584749845044571E-2</v>
      </c>
      <c r="K65" s="35">
        <f>'5y 10 stocks Returns'!K51</f>
        <v>-0.16332164424839377</v>
      </c>
    </row>
    <row r="66" spans="1:11" ht="15" hidden="1" outlineLevel="1" x14ac:dyDescent="0.25">
      <c r="A66" s="7">
        <f>'5y 10 stocks Returns'!A52</f>
        <v>41974</v>
      </c>
      <c r="B66" s="35">
        <f>'5y 10 stocks Returns'!B52</f>
        <v>-2.2571042575590863E-2</v>
      </c>
      <c r="C66" s="35">
        <f>'5y 10 stocks Returns'!C52</f>
        <v>-7.0279343670232891E-2</v>
      </c>
      <c r="D66" s="35">
        <f>'5y 10 stocks Returns'!D52</f>
        <v>-8.7236928314820938E-2</v>
      </c>
      <c r="E66" s="35">
        <f>'5y 10 stocks Returns'!E52</f>
        <v>1.7997433677514853E-2</v>
      </c>
      <c r="F66" s="35">
        <f>'5y 10 stocks Returns'!F52</f>
        <v>6.4912421147194791E-3</v>
      </c>
      <c r="G66" s="35">
        <f>'5y 10 stocks Returns'!G52</f>
        <v>3.9437986701745746E-2</v>
      </c>
      <c r="H66" s="35">
        <f>'5y 10 stocks Returns'!H52</f>
        <v>-2.8890842527247829E-2</v>
      </c>
      <c r="I66" s="35">
        <f>'5y 10 stocks Returns'!I52</f>
        <v>2.8069896818990428E-2</v>
      </c>
      <c r="J66" s="35">
        <f>'5y 10 stocks Returns'!J52</f>
        <v>7.2720102949167262E-3</v>
      </c>
      <c r="K66" s="35">
        <f>'5y 10 stocks Returns'!K52</f>
        <v>4.8678506097706298E-2</v>
      </c>
    </row>
    <row r="67" spans="1:11" ht="15" hidden="1" outlineLevel="1" x14ac:dyDescent="0.25">
      <c r="A67" s="7">
        <f>'5y 10 stocks Returns'!A53</f>
        <v>41944</v>
      </c>
      <c r="B67" s="35">
        <f>'5y 10 stocks Returns'!B53</f>
        <v>1.815181689892496E-2</v>
      </c>
      <c r="C67" s="35">
        <f>'5y 10 stocks Returns'!C53</f>
        <v>9.6404026224830255E-2</v>
      </c>
      <c r="D67" s="35">
        <f>'5y 10 stocks Returns'!D53</f>
        <v>0.10311883282895394</v>
      </c>
      <c r="E67" s="35">
        <f>'5y 10 stocks Returns'!E53</f>
        <v>1.2290182917015485E-2</v>
      </c>
      <c r="F67" s="35">
        <f>'5y 10 stocks Returns'!F53</f>
        <v>0.12181605475209858</v>
      </c>
      <c r="G67" s="35">
        <f>'5y 10 stocks Returns'!G53</f>
        <v>1.4097516893444356E-3</v>
      </c>
      <c r="H67" s="35">
        <f>'5y 10 stocks Returns'!H53</f>
        <v>-3.1340335111102915E-2</v>
      </c>
      <c r="I67" s="35">
        <f>'5y 10 stocks Returns'!I53</f>
        <v>-6.5925167473773472E-2</v>
      </c>
      <c r="J67" s="35">
        <f>'5y 10 stocks Returns'!J53</f>
        <v>4.3205050661161669E-2</v>
      </c>
      <c r="K67" s="35">
        <f>'5y 10 stocks Returns'!K53</f>
        <v>-7.0180636537215688E-3</v>
      </c>
    </row>
    <row r="68" spans="1:11" ht="15" hidden="1" outlineLevel="1" x14ac:dyDescent="0.25">
      <c r="A68" s="7">
        <f>'5y 10 stocks Returns'!A54</f>
        <v>41913</v>
      </c>
      <c r="B68" s="35">
        <f>'5y 10 stocks Returns'!B54</f>
        <v>1.2646177264111347E-2</v>
      </c>
      <c r="C68" s="35">
        <f>'5y 10 stocks Returns'!C54</f>
        <v>6.9489134431214281E-2</v>
      </c>
      <c r="D68" s="35">
        <f>'5y 10 stocks Returns'!D54</f>
        <v>-5.4098270939564909E-2</v>
      </c>
      <c r="E68" s="35">
        <f>'5y 10 stocks Returns'!E54</f>
        <v>2.6053386099815293E-2</v>
      </c>
      <c r="F68" s="35">
        <f>'5y 10 stocks Returns'!F54</f>
        <v>-2.0612241577256246E-2</v>
      </c>
      <c r="G68" s="35">
        <f>'5y 10 stocks Returns'!G54</f>
        <v>3.9761462808152823E-3</v>
      </c>
      <c r="H68" s="35">
        <f>'5y 10 stocks Returns'!H54</f>
        <v>-3.2173336639437881E-2</v>
      </c>
      <c r="I68" s="35">
        <f>'5y 10 stocks Returns'!I54</f>
        <v>2.7890629502185689E-2</v>
      </c>
      <c r="J68" s="35">
        <f>'5y 10 stocks Returns'!J54</f>
        <v>4.1289687675910548E-2</v>
      </c>
      <c r="K68" s="35">
        <f>'5y 10 stocks Returns'!K54</f>
        <v>9.5090450287887724E-3</v>
      </c>
    </row>
    <row r="69" spans="1:11" ht="15" hidden="1" outlineLevel="1" x14ac:dyDescent="0.25">
      <c r="A69" s="7">
        <f>'5y 10 stocks Returns'!A55</f>
        <v>41883</v>
      </c>
      <c r="B69" s="35">
        <f>'5y 10 stocks Returns'!B55</f>
        <v>2.649072619445033E-2</v>
      </c>
      <c r="C69" s="35">
        <f>'5y 10 stocks Returns'!C55</f>
        <v>-1.2258965691305242E-2</v>
      </c>
      <c r="D69" s="35">
        <f>'5y 10 stocks Returns'!D55</f>
        <v>-5.0201042447424411E-2</v>
      </c>
      <c r="E69" s="35">
        <f>'5y 10 stocks Returns'!E55</f>
        <v>-9.5023677424643932E-3</v>
      </c>
      <c r="F69" s="35">
        <f>'5y 10 stocks Returns'!F55</f>
        <v>7.1768257753239686E-3</v>
      </c>
      <c r="G69" s="35">
        <f>'5y 10 stocks Returns'!G55</f>
        <v>1.3200898297788317E-2</v>
      </c>
      <c r="H69" s="35">
        <f>'5y 10 stocks Returns'!H55</f>
        <v>1.0026461171084243E-2</v>
      </c>
      <c r="I69" s="35">
        <f>'5y 10 stocks Returns'!I55</f>
        <v>-4.8986978288873183E-2</v>
      </c>
      <c r="J69" s="35">
        <f>'5y 10 stocks Returns'!J55</f>
        <v>7.5518218822893902E-3</v>
      </c>
      <c r="K69" s="35">
        <f>'5y 10 stocks Returns'!K55</f>
        <v>5.7952483446251389E-2</v>
      </c>
    </row>
    <row r="70" spans="1:11" ht="15" hidden="1" outlineLevel="1" x14ac:dyDescent="0.25">
      <c r="A70" s="7">
        <f>'5y 10 stocks Returns'!A56</f>
        <v>41852</v>
      </c>
      <c r="B70" s="35">
        <f>'5y 10 stocks Returns'!B56</f>
        <v>5.1258164544507177E-2</v>
      </c>
      <c r="C70" s="35">
        <f>'5y 10 stocks Returns'!C56</f>
        <v>6.9689913506244552E-2</v>
      </c>
      <c r="D70" s="35">
        <f>'5y 10 stocks Returns'!D56</f>
        <v>7.994691186744439E-2</v>
      </c>
      <c r="E70" s="35">
        <f>'5y 10 stocks Returns'!E56</f>
        <v>4.5524603112864409E-2</v>
      </c>
      <c r="F70" s="35">
        <f>'5y 10 stocks Returns'!F56</f>
        <v>-1.9534735592440663E-3</v>
      </c>
      <c r="G70" s="35">
        <f>'5y 10 stocks Returns'!G56</f>
        <v>3.7364788943806383E-2</v>
      </c>
      <c r="H70" s="35">
        <f>'5y 10 stocks Returns'!H56</f>
        <v>0</v>
      </c>
      <c r="I70" s="35">
        <f>'5y 10 stocks Returns'!I56</f>
        <v>5.2417217049638689E-3</v>
      </c>
      <c r="J70" s="35">
        <f>'5y 10 stocks Returns'!J56</f>
        <v>8.0164342007231909E-2</v>
      </c>
      <c r="K70" s="35">
        <f>'5y 10 stocks Returns'!K56</f>
        <v>5.3618173390220021E-2</v>
      </c>
    </row>
    <row r="71" spans="1:11" ht="15" hidden="1" outlineLevel="1" x14ac:dyDescent="0.25">
      <c r="A71" s="7">
        <f>'5y 10 stocks Returns'!A57</f>
        <v>41821</v>
      </c>
      <c r="B71" s="35">
        <f>'5y 10 stocks Returns'!B57</f>
        <v>3.4413427003542552E-2</v>
      </c>
      <c r="C71" s="35">
        <f>'5y 10 stocks Returns'!C57</f>
        <v>2.8326211167293194E-2</v>
      </c>
      <c r="D71" s="35">
        <f>'5y 10 stocks Returns'!D57</f>
        <v>-3.697681775984954E-2</v>
      </c>
      <c r="E71" s="35">
        <f>'5y 10 stocks Returns'!E57</f>
        <v>1.6314880836721603E-3</v>
      </c>
      <c r="F71" s="35">
        <f>'5y 10 stocks Returns'!F57</f>
        <v>1.5175799733401357E-2</v>
      </c>
      <c r="G71" s="35">
        <f>'5y 10 stocks Returns'!G57</f>
        <v>8.6730613929089412E-4</v>
      </c>
      <c r="H71" s="35">
        <f>'5y 10 stocks Returns'!H57</f>
        <v>-6.4173887592019899E-3</v>
      </c>
      <c r="I71" s="35">
        <f>'5y 10 stocks Returns'!I57</f>
        <v>-1.7433454370552701E-2</v>
      </c>
      <c r="J71" s="35">
        <f>'5y 10 stocks Returns'!J57</f>
        <v>-1.6291854808711974E-2</v>
      </c>
      <c r="K71" s="35">
        <f>'5y 10 stocks Returns'!K57</f>
        <v>-7.194575894108211E-3</v>
      </c>
    </row>
    <row r="72" spans="1:11" ht="15" hidden="1" outlineLevel="1" x14ac:dyDescent="0.25">
      <c r="A72" s="7">
        <f>'5y 10 stocks Returns'!A58</f>
        <v>41791</v>
      </c>
      <c r="B72" s="35">
        <f>'5y 10 stocks Returns'!B58</f>
        <v>2.5423224707595359E-2</v>
      </c>
      <c r="C72" s="35">
        <f>'5y 10 stocks Returns'!C58</f>
        <v>6.6942588408579057E-2</v>
      </c>
      <c r="D72" s="35">
        <f>'5y 10 stocks Returns'!D58</f>
        <v>3.8383608973970564E-2</v>
      </c>
      <c r="E72" s="35">
        <f>'5y 10 stocks Returns'!E58</f>
        <v>2.038368585650531E-2</v>
      </c>
      <c r="F72" s="35">
        <f>'5y 10 stocks Returns'!F58</f>
        <v>9.2988257305490329E-3</v>
      </c>
      <c r="G72" s="35">
        <f>'5y 10 stocks Returns'!G58</f>
        <v>3.6226382070200583E-2</v>
      </c>
      <c r="H72" s="35">
        <f>'5y 10 stocks Returns'!H58</f>
        <v>2.7116555279211019E-2</v>
      </c>
      <c r="I72" s="35">
        <f>'5y 10 stocks Returns'!I58</f>
        <v>8.25733364526904E-3</v>
      </c>
      <c r="J72" s="35">
        <f>'5y 10 stocks Returns'!J58</f>
        <v>-2.760845868009168E-2</v>
      </c>
      <c r="K72" s="35">
        <f>'5y 10 stocks Returns'!K58</f>
        <v>1.5077409469795135E-2</v>
      </c>
    </row>
    <row r="73" spans="1:11" ht="15" hidden="1" outlineLevel="1" x14ac:dyDescent="0.25">
      <c r="A73" s="7">
        <f>'5y 10 stocks Returns'!A59</f>
        <v>41760</v>
      </c>
      <c r="B73" s="35">
        <f>'5y 10 stocks Returns'!B59</f>
        <v>1.3277844844699864E-2</v>
      </c>
      <c r="C73" s="35">
        <f>'5y 10 stocks Returns'!C59</f>
        <v>7.0195279145547879E-2</v>
      </c>
      <c r="D73" s="35">
        <f>'5y 10 stocks Returns'!D59</f>
        <v>2.7309159966781946E-2</v>
      </c>
      <c r="E73" s="35">
        <f>'5y 10 stocks Returns'!E59</f>
        <v>5.7193442949980397E-2</v>
      </c>
      <c r="F73" s="35">
        <f>'5y 10 stocks Returns'!F59</f>
        <v>7.1804426139284533E-2</v>
      </c>
      <c r="G73" s="35">
        <f>'5y 10 stocks Returns'!G59</f>
        <v>-1.0678547030592513E-3</v>
      </c>
      <c r="H73" s="35">
        <f>'5y 10 stocks Returns'!H59</f>
        <v>6.1185150958204787E-2</v>
      </c>
      <c r="I73" s="35">
        <f>'5y 10 stocks Returns'!I59</f>
        <v>-1.8528363122124508E-2</v>
      </c>
      <c r="J73" s="35">
        <f>'5y 10 stocks Returns'!J59</f>
        <v>-1.3598591960603175E-2</v>
      </c>
      <c r="K73" s="35">
        <f>'5y 10 stocks Returns'!K59</f>
        <v>0</v>
      </c>
    </row>
    <row r="74" spans="1:11" ht="15" collapsed="1" x14ac:dyDescent="0.25">
      <c r="A74" s="7">
        <f>'5y 10 stocks Returns'!A60</f>
        <v>41730</v>
      </c>
      <c r="B74" s="35">
        <f>'5y 10 stocks Returns'!B60</f>
        <v>-1.4498480621072111E-2</v>
      </c>
      <c r="C74" s="35">
        <f>'5y 10 stocks Returns'!C60</f>
        <v>9.4761582267516131E-2</v>
      </c>
      <c r="D74" s="35">
        <f>'5y 10 stocks Returns'!D60</f>
        <v>-0.10075647169213836</v>
      </c>
      <c r="E74" s="35">
        <f>'5y 10 stocks Returns'!E60</f>
        <v>-9.1590065355342462E-3</v>
      </c>
      <c r="F74" s="35">
        <f>'5y 10 stocks Returns'!F60</f>
        <v>3.0311902210499342E-2</v>
      </c>
      <c r="G74" s="35">
        <f>'5y 10 stocks Returns'!G60</f>
        <v>-8.1114181078567951E-2</v>
      </c>
      <c r="H74" s="35">
        <f>'5y 10 stocks Returns'!H60</f>
        <v>-5.8697919141521511E-2</v>
      </c>
      <c r="I74" s="35">
        <f>'5y 10 stocks Returns'!I60</f>
        <v>4.7287823133748359E-2</v>
      </c>
      <c r="J74" s="35">
        <f>'5y 10 stocks Returns'!J60</f>
        <v>2.3905413221937212E-2</v>
      </c>
      <c r="K74" s="35">
        <f>'5y 10 stocks Returns'!K60</f>
        <v>-0.12697118589088233</v>
      </c>
    </row>
    <row r="75" spans="1:11" ht="15" x14ac:dyDescent="0.25">
      <c r="A75" s="7">
        <f>'5y 10 stocks Returns'!A61</f>
        <v>41699</v>
      </c>
      <c r="B75" s="35">
        <f>'5y 10 stocks Returns'!B61</f>
        <v>7.5087817016321515E-2</v>
      </c>
      <c r="C75" s="35">
        <f>'5y 10 stocks Returns'!C61</f>
        <v>6.2299741711851264E-2</v>
      </c>
      <c r="D75" s="35">
        <f>'5y 10 stocks Returns'!D61</f>
        <v>-7.3708703632283726E-2</v>
      </c>
      <c r="E75" s="35">
        <f>'5y 10 stocks Returns'!E61</f>
        <v>-9.1994136170981088E-3</v>
      </c>
      <c r="F75" s="35">
        <f>'5y 10 stocks Returns'!F61</f>
        <v>2.8043612386376673E-2</v>
      </c>
      <c r="G75" s="35">
        <f>'5y 10 stocks Returns'!G61</f>
        <v>6.6219997301183775E-2</v>
      </c>
      <c r="H75" s="35">
        <f>'5y 10 stocks Returns'!H61</f>
        <v>-8.3634406044967413E-2</v>
      </c>
      <c r="I75" s="35">
        <f>'5y 10 stocks Returns'!I61</f>
        <v>2.1597669635734531E-2</v>
      </c>
      <c r="J75" s="35">
        <f>'5y 10 stocks Returns'!J61</f>
        <v>2.4364059603593228E-2</v>
      </c>
      <c r="K75" s="35">
        <f>'5y 10 stocks Returns'!K61</f>
        <v>3.973213839134971E-2</v>
      </c>
    </row>
    <row r="76" spans="1:11" ht="15" x14ac:dyDescent="0.25">
      <c r="A76" s="7">
        <f>'5y 10 stocks Returns'!A62</f>
        <v>41671</v>
      </c>
      <c r="B76" s="35">
        <f>'5y 10 stocks Returns'!B62</f>
        <v>1.2344684711336566E-2</v>
      </c>
      <c r="C76" s="35">
        <f>'5y 10 stocks Returns'!C62</f>
        <v>4.9950257934585178E-2</v>
      </c>
      <c r="D76" s="35">
        <f>'5y 10 stocks Returns'!D62</f>
        <v>9.4619220660906861E-3</v>
      </c>
      <c r="E76" s="35">
        <f>'5y 10 stocks Returns'!E62</f>
        <v>0.10699798451961316</v>
      </c>
      <c r="F76" s="35">
        <f>'5y 10 stocks Returns'!F62</f>
        <v>2.5749360260421427E-3</v>
      </c>
      <c r="G76" s="35">
        <f>'5y 10 stocks Returns'!G62</f>
        <v>3.2550407465635825E-2</v>
      </c>
      <c r="H76" s="35">
        <f>'5y 10 stocks Returns'!H62</f>
        <v>2.8942704479535238E-2</v>
      </c>
      <c r="I76" s="35">
        <f>'5y 10 stocks Returns'!I62</f>
        <v>4.36303953525067E-2</v>
      </c>
      <c r="J76" s="35">
        <f>'5y 10 stocks Returns'!J62</f>
        <v>3.3806995826105947E-2</v>
      </c>
      <c r="K76" s="35">
        <f>'5y 10 stocks Returns'!K62</f>
        <v>-1.3221138974921283E-2</v>
      </c>
    </row>
  </sheetData>
  <mergeCells count="1">
    <mergeCell ref="A1:L1"/>
  </mergeCells>
  <printOptions headings="1" gridLines="1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39"/>
  <sheetViews>
    <sheetView workbookViewId="0">
      <selection activeCell="A3" sqref="A3:K3"/>
    </sheetView>
  </sheetViews>
  <sheetFormatPr defaultRowHeight="14.25" x14ac:dyDescent="0.2"/>
  <cols>
    <col min="12" max="12" width="31.375" customWidth="1"/>
  </cols>
  <sheetData>
    <row r="1" spans="1:12" ht="41.1" customHeight="1" x14ac:dyDescent="0.2">
      <c r="A1" s="52" t="str">
        <f>"ESTIMATING THE VARIANCE-COVARIANCE MATRIX USING THE SHRINKAGE APPROACH"&amp;CHAR(10)&amp;"Gives weight "&amp;TEXT(C28,"0.00")&amp;" (the shrinkage factor) to sample var-cov and weight "&amp;TEXT(1-C28,"0.00")&amp;" to a diagonal matrix of only variances"</f>
        <v>ESTIMATING THE VARIANCE-COVARIANCE MATRIX USING THE SHRINKAGE APPROACH
Gives weight 0.30 (the shrinkage factor) to sample var-cov and weight 0.70 to a diagonal matrix of only variances</v>
      </c>
      <c r="B1" s="52"/>
      <c r="C1" s="52"/>
      <c r="D1" s="52"/>
      <c r="E1" s="52"/>
      <c r="F1" s="52"/>
      <c r="G1" s="52"/>
      <c r="H1" s="52"/>
      <c r="I1" s="52"/>
      <c r="J1" s="52"/>
      <c r="K1" s="52"/>
      <c r="L1" s="52"/>
    </row>
    <row r="2" spans="1:12" ht="15" x14ac:dyDescent="0.25">
      <c r="A2" s="1"/>
      <c r="B2" s="48" t="s">
        <v>46</v>
      </c>
      <c r="C2" s="48"/>
      <c r="D2" s="48"/>
      <c r="E2" s="48"/>
      <c r="F2" s="48"/>
      <c r="G2" s="48"/>
      <c r="H2" s="48"/>
      <c r="I2" s="48"/>
      <c r="J2" s="48"/>
      <c r="K2" s="48"/>
      <c r="L2" s="1"/>
    </row>
    <row r="3" spans="1:12" ht="15" x14ac:dyDescent="0.25">
      <c r="A3" s="1"/>
      <c r="B3" s="5" t="str">
        <f>'5y 10 stocks Returns'!B130</f>
        <v>MSFT</v>
      </c>
      <c r="C3" s="5" t="str">
        <f>'5y 10 stocks Returns'!C130</f>
        <v>AAPL</v>
      </c>
      <c r="D3" s="5" t="str">
        <f>'5y 10 stocks Returns'!D130</f>
        <v>AMZN</v>
      </c>
      <c r="E3" s="5" t="str">
        <f>'5y 10 stocks Returns'!E130</f>
        <v>DIS</v>
      </c>
      <c r="F3" s="5" t="str">
        <f>'5y 10 stocks Returns'!F130</f>
        <v>CSCO</v>
      </c>
      <c r="G3" s="5" t="str">
        <f>'5y 10 stocks Returns'!G130</f>
        <v>JPM</v>
      </c>
      <c r="H3" s="5" t="str">
        <f>'5y 10 stocks Returns'!H130</f>
        <v>GOOG</v>
      </c>
      <c r="I3" s="5" t="str">
        <f>'5y 10 stocks Returns'!I130</f>
        <v>XOM</v>
      </c>
      <c r="J3" s="5" t="str">
        <f>'5y 10 stocks Returns'!J130</f>
        <v>PG</v>
      </c>
      <c r="K3" s="5" t="str">
        <f>'5y 10 stocks Returns'!K130</f>
        <v>BAC</v>
      </c>
      <c r="L3" s="1"/>
    </row>
    <row r="4" spans="1:12" ht="14.85" customHeight="1" x14ac:dyDescent="0.25">
      <c r="A4" s="5" t="str">
        <f>'5y 10 stocks Returns'!A131</f>
        <v>MSFT</v>
      </c>
      <c r="B4" s="6">
        <f t="array" ref="B4:K13">varcovar('5y 10 stocks Returns'!B3:K62)</f>
        <v>3.4071294076869758E-3</v>
      </c>
      <c r="C4" s="6">
        <v>1.6660402437003734E-3</v>
      </c>
      <c r="D4" s="6">
        <v>2.370907220292521E-3</v>
      </c>
      <c r="E4" s="6">
        <v>1.0243545406566012E-3</v>
      </c>
      <c r="F4" s="6">
        <v>1.5774997915111329E-3</v>
      </c>
      <c r="G4" s="6">
        <v>1.5631206370355559E-3</v>
      </c>
      <c r="H4" s="6">
        <v>1.8708174767195331E-3</v>
      </c>
      <c r="I4" s="6">
        <v>8.5586818448297704E-4</v>
      </c>
      <c r="J4" s="6">
        <v>4.8924886064409968E-4</v>
      </c>
      <c r="K4" s="6">
        <v>2.0556490513062337E-3</v>
      </c>
      <c r="L4" s="41" t="str">
        <f ca="1">"&lt;--"&amp;_xlfn.FORMULATEXT(K4)</f>
        <v>&lt;--{=varcovar('5y 10 stocks Returns'!B3:K62)}</v>
      </c>
    </row>
    <row r="5" spans="1:12" ht="15" x14ac:dyDescent="0.25">
      <c r="A5" s="5" t="str">
        <f>'5y 10 stocks Returns'!A132</f>
        <v>AAPL</v>
      </c>
      <c r="B5" s="6">
        <v>1.6660402437003734E-3</v>
      </c>
      <c r="C5" s="6">
        <v>5.1590765648409686E-3</v>
      </c>
      <c r="D5" s="6">
        <v>1.8410608261659944E-3</v>
      </c>
      <c r="E5" s="6">
        <v>7.7393245779215733E-4</v>
      </c>
      <c r="F5" s="6">
        <v>1.9649524016872913E-3</v>
      </c>
      <c r="G5" s="6">
        <v>5.5133819484517934E-4</v>
      </c>
      <c r="H5" s="6">
        <v>1.1712483209234284E-3</v>
      </c>
      <c r="I5" s="6">
        <v>1.876326426893075E-4</v>
      </c>
      <c r="J5" s="6">
        <v>3.8012689855759942E-4</v>
      </c>
      <c r="K5" s="6">
        <v>6.7562391563497299E-4</v>
      </c>
      <c r="L5" s="26"/>
    </row>
    <row r="6" spans="1:12" ht="15" x14ac:dyDescent="0.25">
      <c r="A6" s="5" t="str">
        <f>'5y 10 stocks Returns'!A133</f>
        <v>AMZN</v>
      </c>
      <c r="B6" s="6">
        <v>2.370907220292521E-3</v>
      </c>
      <c r="C6" s="6">
        <v>1.8410608261659944E-3</v>
      </c>
      <c r="D6" s="6">
        <v>6.9062424750401287E-3</v>
      </c>
      <c r="E6" s="6">
        <v>1.4009187299607419E-3</v>
      </c>
      <c r="F6" s="6">
        <v>2.3094537701590658E-3</v>
      </c>
      <c r="G6" s="6">
        <v>1.3592205598723917E-3</v>
      </c>
      <c r="H6" s="6">
        <v>3.1750899545182417E-3</v>
      </c>
      <c r="I6" s="6">
        <v>7.7855052899670953E-4</v>
      </c>
      <c r="J6" s="6">
        <v>-3.2055386451353558E-4</v>
      </c>
      <c r="K6" s="6">
        <v>2.197767840550896E-3</v>
      </c>
      <c r="L6" s="26"/>
    </row>
    <row r="7" spans="1:12" ht="15" x14ac:dyDescent="0.25">
      <c r="A7" s="5" t="str">
        <f>'5y 10 stocks Returns'!A134</f>
        <v>DIS</v>
      </c>
      <c r="B7" s="6">
        <v>1.0243545406566012E-3</v>
      </c>
      <c r="C7" s="6">
        <v>7.7393245779215733E-4</v>
      </c>
      <c r="D7" s="6">
        <v>1.4009187299607419E-3</v>
      </c>
      <c r="E7" s="6">
        <v>2.4225985245919998E-3</v>
      </c>
      <c r="F7" s="6">
        <v>1.0739788196399941E-3</v>
      </c>
      <c r="G7" s="6">
        <v>1.4287749413000735E-3</v>
      </c>
      <c r="H7" s="6">
        <v>7.446677798086099E-4</v>
      </c>
      <c r="I7" s="6">
        <v>9.5386365878548048E-4</v>
      </c>
      <c r="J7" s="6">
        <v>4.7965938398864476E-4</v>
      </c>
      <c r="K7" s="6">
        <v>1.6380512911954278E-3</v>
      </c>
      <c r="L7" s="5"/>
    </row>
    <row r="8" spans="1:12" ht="15" x14ac:dyDescent="0.25">
      <c r="A8" s="5" t="str">
        <f>'5y 10 stocks Returns'!A135</f>
        <v>CSCO</v>
      </c>
      <c r="B8" s="6">
        <v>1.5774997915111329E-3</v>
      </c>
      <c r="C8" s="6">
        <v>1.9649524016872913E-3</v>
      </c>
      <c r="D8" s="6">
        <v>2.3094537701590658E-3</v>
      </c>
      <c r="E8" s="6">
        <v>1.0739788196399941E-3</v>
      </c>
      <c r="F8" s="6">
        <v>3.3218518576050818E-3</v>
      </c>
      <c r="G8" s="6">
        <v>1.3902975153103933E-3</v>
      </c>
      <c r="H8" s="6">
        <v>8.9955091117386969E-4</v>
      </c>
      <c r="I8" s="6">
        <v>5.4129352053626663E-4</v>
      </c>
      <c r="J8" s="6">
        <v>4.3457987456630212E-4</v>
      </c>
      <c r="K8" s="6">
        <v>1.6764310157284135E-3</v>
      </c>
      <c r="L8" s="5"/>
    </row>
    <row r="9" spans="1:12" ht="15" x14ac:dyDescent="0.25">
      <c r="A9" s="5" t="str">
        <f>'5y 10 stocks Returns'!A136</f>
        <v>JPM</v>
      </c>
      <c r="B9" s="6">
        <v>1.5631206370355559E-3</v>
      </c>
      <c r="C9" s="6">
        <v>5.5133819484517934E-4</v>
      </c>
      <c r="D9" s="6">
        <v>1.3592205598723917E-3</v>
      </c>
      <c r="E9" s="6">
        <v>1.4287749413000735E-3</v>
      </c>
      <c r="F9" s="6">
        <v>1.3902975153103933E-3</v>
      </c>
      <c r="G9" s="6">
        <v>3.1521405829566568E-3</v>
      </c>
      <c r="H9" s="6">
        <v>7.8975897955210685E-4</v>
      </c>
      <c r="I9" s="6">
        <v>9.2640357180509959E-4</v>
      </c>
      <c r="J9" s="6">
        <v>1.7465697848004859E-4</v>
      </c>
      <c r="K9" s="6">
        <v>3.9101198307962366E-3</v>
      </c>
      <c r="L9" s="5"/>
    </row>
    <row r="10" spans="1:12" ht="15" x14ac:dyDescent="0.25">
      <c r="A10" s="5" t="str">
        <f>'5y 10 stocks Returns'!A137</f>
        <v>GOOG</v>
      </c>
      <c r="B10" s="6">
        <v>1.8708174767195331E-3</v>
      </c>
      <c r="C10" s="6">
        <v>1.1712483209234284E-3</v>
      </c>
      <c r="D10" s="6">
        <v>3.1750899545182417E-3</v>
      </c>
      <c r="E10" s="6">
        <v>7.446677798086099E-4</v>
      </c>
      <c r="F10" s="6">
        <v>8.9955091117386969E-4</v>
      </c>
      <c r="G10" s="6">
        <v>7.8975897955210685E-4</v>
      </c>
      <c r="H10" s="6">
        <v>3.1820996499091754E-3</v>
      </c>
      <c r="I10" s="6">
        <v>3.4703148748063694E-4</v>
      </c>
      <c r="J10" s="6">
        <v>7.1553530279177798E-5</v>
      </c>
      <c r="K10" s="6">
        <v>1.461396162598624E-3</v>
      </c>
      <c r="L10" s="5"/>
    </row>
    <row r="11" spans="1:12" ht="15" x14ac:dyDescent="0.25">
      <c r="A11" s="5" t="str">
        <f>'5y 10 stocks Returns'!A138</f>
        <v>XOM</v>
      </c>
      <c r="B11" s="6">
        <v>8.5586818448297704E-4</v>
      </c>
      <c r="C11" s="6">
        <v>1.876326426893075E-4</v>
      </c>
      <c r="D11" s="6">
        <v>7.7855052899670953E-4</v>
      </c>
      <c r="E11" s="6">
        <v>9.5386365878548048E-4</v>
      </c>
      <c r="F11" s="6">
        <v>5.4129352053626663E-4</v>
      </c>
      <c r="G11" s="6">
        <v>9.2640357180509959E-4</v>
      </c>
      <c r="H11" s="6">
        <v>3.4703148748063694E-4</v>
      </c>
      <c r="I11" s="6">
        <v>2.2947439691668506E-3</v>
      </c>
      <c r="J11" s="6">
        <v>3.5758503639108969E-4</v>
      </c>
      <c r="K11" s="6">
        <v>1.0036044827567902E-3</v>
      </c>
      <c r="L11" s="5"/>
    </row>
    <row r="12" spans="1:12" ht="15" x14ac:dyDescent="0.25">
      <c r="A12" s="5" t="str">
        <f>'5y 10 stocks Returns'!A139</f>
        <v>PG</v>
      </c>
      <c r="B12" s="6">
        <v>4.8924886064409968E-4</v>
      </c>
      <c r="C12" s="6">
        <v>3.8012689855759942E-4</v>
      </c>
      <c r="D12" s="6">
        <v>-3.2055386451353558E-4</v>
      </c>
      <c r="E12" s="6">
        <v>4.7965938398864476E-4</v>
      </c>
      <c r="F12" s="6">
        <v>4.3457987456630212E-4</v>
      </c>
      <c r="G12" s="6">
        <v>1.7465697848004859E-4</v>
      </c>
      <c r="H12" s="6">
        <v>7.1553530279177798E-5</v>
      </c>
      <c r="I12" s="6">
        <v>3.5758503639108969E-4</v>
      </c>
      <c r="J12" s="6">
        <v>1.6171459551559456E-3</v>
      </c>
      <c r="K12" s="6">
        <v>9.5324902763630124E-5</v>
      </c>
      <c r="L12" s="5"/>
    </row>
    <row r="13" spans="1:12" ht="15" x14ac:dyDescent="0.25">
      <c r="A13" s="5" t="str">
        <f>'5y 10 stocks Returns'!A140</f>
        <v>BAC</v>
      </c>
      <c r="B13" s="6">
        <v>2.0556490513062337E-3</v>
      </c>
      <c r="C13" s="6">
        <v>6.7562391563497299E-4</v>
      </c>
      <c r="D13" s="6">
        <v>2.197767840550896E-3</v>
      </c>
      <c r="E13" s="6">
        <v>1.6380512911954278E-3</v>
      </c>
      <c r="F13" s="6">
        <v>1.6764310157284135E-3</v>
      </c>
      <c r="G13" s="6">
        <v>3.9101198307962366E-3</v>
      </c>
      <c r="H13" s="6">
        <v>1.461396162598624E-3</v>
      </c>
      <c r="I13" s="6">
        <v>1.0036044827567902E-3</v>
      </c>
      <c r="J13" s="6">
        <v>9.5324902763630124E-5</v>
      </c>
      <c r="K13" s="6">
        <v>5.7544842351490294E-3</v>
      </c>
      <c r="L13" s="5"/>
    </row>
    <row r="15" spans="1:12" x14ac:dyDescent="0.2">
      <c r="B15" s="53" t="s">
        <v>49</v>
      </c>
      <c r="C15" s="53"/>
      <c r="D15" s="53"/>
      <c r="E15" s="53"/>
      <c r="F15" s="53"/>
      <c r="G15" s="53"/>
      <c r="H15" s="53"/>
      <c r="I15" s="53"/>
      <c r="J15" s="53"/>
      <c r="K15" s="53"/>
    </row>
    <row r="16" spans="1:12" ht="15" x14ac:dyDescent="0.25">
      <c r="A16" s="1"/>
      <c r="B16" s="5" t="str">
        <f>B3</f>
        <v>MSFT</v>
      </c>
      <c r="C16" s="5" t="str">
        <f t="shared" ref="C16:K16" si="0">C3</f>
        <v>AAPL</v>
      </c>
      <c r="D16" s="5" t="str">
        <f t="shared" si="0"/>
        <v>AMZN</v>
      </c>
      <c r="E16" s="5" t="str">
        <f t="shared" si="0"/>
        <v>DIS</v>
      </c>
      <c r="F16" s="5" t="str">
        <f t="shared" si="0"/>
        <v>CSCO</v>
      </c>
      <c r="G16" s="5" t="str">
        <f t="shared" si="0"/>
        <v>JPM</v>
      </c>
      <c r="H16" s="5" t="str">
        <f t="shared" si="0"/>
        <v>GOOG</v>
      </c>
      <c r="I16" s="5" t="str">
        <f t="shared" si="0"/>
        <v>XOM</v>
      </c>
      <c r="J16" s="5" t="str">
        <f t="shared" si="0"/>
        <v>PG</v>
      </c>
      <c r="K16" s="5" t="str">
        <f t="shared" si="0"/>
        <v>BAC</v>
      </c>
    </row>
    <row r="17" spans="1:12" ht="15" x14ac:dyDescent="0.25">
      <c r="A17" s="5" t="str">
        <f t="shared" ref="A17:A26" si="1">A4</f>
        <v>MSFT</v>
      </c>
      <c r="B17" s="6">
        <f t="shared" ref="B17:K17" si="2">IF($A17=B$16,B4,0)</f>
        <v>3.4071294076869758E-3</v>
      </c>
      <c r="C17" s="6">
        <f t="shared" si="2"/>
        <v>0</v>
      </c>
      <c r="D17" s="6">
        <f t="shared" si="2"/>
        <v>0</v>
      </c>
      <c r="E17" s="6">
        <f t="shared" si="2"/>
        <v>0</v>
      </c>
      <c r="F17" s="6">
        <f t="shared" si="2"/>
        <v>0</v>
      </c>
      <c r="G17" s="6">
        <f t="shared" si="2"/>
        <v>0</v>
      </c>
      <c r="H17" s="6">
        <f t="shared" si="2"/>
        <v>0</v>
      </c>
      <c r="I17" s="6">
        <f t="shared" si="2"/>
        <v>0</v>
      </c>
      <c r="J17" s="6">
        <f t="shared" si="2"/>
        <v>0</v>
      </c>
      <c r="K17" s="6">
        <f t="shared" si="2"/>
        <v>0</v>
      </c>
      <c r="L17" s="26" t="str">
        <f ca="1">"&lt;--"&amp;_xlfn.FORMULATEXT(K17)</f>
        <v>&lt;--=IF($A17=K$16,K4,0)</v>
      </c>
    </row>
    <row r="18" spans="1:12" ht="15" x14ac:dyDescent="0.25">
      <c r="A18" s="5" t="str">
        <f t="shared" si="1"/>
        <v>AAPL</v>
      </c>
      <c r="B18" s="6">
        <f t="shared" ref="B18:K18" si="3">IF($A18=B$16,B5,0)</f>
        <v>0</v>
      </c>
      <c r="C18" s="6">
        <f t="shared" si="3"/>
        <v>5.1590765648409686E-3</v>
      </c>
      <c r="D18" s="6">
        <f t="shared" si="3"/>
        <v>0</v>
      </c>
      <c r="E18" s="6">
        <f t="shared" si="3"/>
        <v>0</v>
      </c>
      <c r="F18" s="6">
        <f t="shared" si="3"/>
        <v>0</v>
      </c>
      <c r="G18" s="6">
        <f t="shared" si="3"/>
        <v>0</v>
      </c>
      <c r="H18" s="6">
        <f t="shared" si="3"/>
        <v>0</v>
      </c>
      <c r="I18" s="6">
        <f t="shared" si="3"/>
        <v>0</v>
      </c>
      <c r="J18" s="6">
        <f t="shared" si="3"/>
        <v>0</v>
      </c>
      <c r="K18" s="6">
        <f t="shared" si="3"/>
        <v>0</v>
      </c>
    </row>
    <row r="19" spans="1:12" ht="15" x14ac:dyDescent="0.25">
      <c r="A19" s="5" t="str">
        <f t="shared" si="1"/>
        <v>AMZN</v>
      </c>
      <c r="B19" s="6">
        <f t="shared" ref="B19:K19" si="4">IF($A19=B$16,B6,0)</f>
        <v>0</v>
      </c>
      <c r="C19" s="6">
        <f t="shared" si="4"/>
        <v>0</v>
      </c>
      <c r="D19" s="6">
        <f t="shared" si="4"/>
        <v>6.9062424750401287E-3</v>
      </c>
      <c r="E19" s="6">
        <f t="shared" si="4"/>
        <v>0</v>
      </c>
      <c r="F19" s="6">
        <f t="shared" si="4"/>
        <v>0</v>
      </c>
      <c r="G19" s="6">
        <f t="shared" si="4"/>
        <v>0</v>
      </c>
      <c r="H19" s="6">
        <f t="shared" si="4"/>
        <v>0</v>
      </c>
      <c r="I19" s="6">
        <f t="shared" si="4"/>
        <v>0</v>
      </c>
      <c r="J19" s="6">
        <f t="shared" si="4"/>
        <v>0</v>
      </c>
      <c r="K19" s="6">
        <f t="shared" si="4"/>
        <v>0</v>
      </c>
    </row>
    <row r="20" spans="1:12" ht="15" x14ac:dyDescent="0.25">
      <c r="A20" s="5" t="str">
        <f t="shared" si="1"/>
        <v>DIS</v>
      </c>
      <c r="B20" s="6">
        <f t="shared" ref="B20:K20" si="5">IF($A20=B$16,B7,0)</f>
        <v>0</v>
      </c>
      <c r="C20" s="6">
        <f t="shared" si="5"/>
        <v>0</v>
      </c>
      <c r="D20" s="6">
        <f t="shared" si="5"/>
        <v>0</v>
      </c>
      <c r="E20" s="6">
        <f t="shared" si="5"/>
        <v>2.4225985245919998E-3</v>
      </c>
      <c r="F20" s="6">
        <f t="shared" si="5"/>
        <v>0</v>
      </c>
      <c r="G20" s="6">
        <f t="shared" si="5"/>
        <v>0</v>
      </c>
      <c r="H20" s="6">
        <f t="shared" si="5"/>
        <v>0</v>
      </c>
      <c r="I20" s="6">
        <f t="shared" si="5"/>
        <v>0</v>
      </c>
      <c r="J20" s="6">
        <f t="shared" si="5"/>
        <v>0</v>
      </c>
      <c r="K20" s="6">
        <f t="shared" si="5"/>
        <v>0</v>
      </c>
    </row>
    <row r="21" spans="1:12" ht="15" x14ac:dyDescent="0.25">
      <c r="A21" s="5" t="str">
        <f t="shared" si="1"/>
        <v>CSCO</v>
      </c>
      <c r="B21" s="6">
        <f t="shared" ref="B21:K21" si="6">IF($A21=B$16,B8,0)</f>
        <v>0</v>
      </c>
      <c r="C21" s="6">
        <f t="shared" si="6"/>
        <v>0</v>
      </c>
      <c r="D21" s="6">
        <f t="shared" si="6"/>
        <v>0</v>
      </c>
      <c r="E21" s="6">
        <f t="shared" si="6"/>
        <v>0</v>
      </c>
      <c r="F21" s="6">
        <f t="shared" si="6"/>
        <v>3.3218518576050818E-3</v>
      </c>
      <c r="G21" s="6">
        <f t="shared" si="6"/>
        <v>0</v>
      </c>
      <c r="H21" s="6">
        <f t="shared" si="6"/>
        <v>0</v>
      </c>
      <c r="I21" s="6">
        <f t="shared" si="6"/>
        <v>0</v>
      </c>
      <c r="J21" s="6">
        <f t="shared" si="6"/>
        <v>0</v>
      </c>
      <c r="K21" s="6">
        <f t="shared" si="6"/>
        <v>0</v>
      </c>
    </row>
    <row r="22" spans="1:12" ht="15" x14ac:dyDescent="0.25">
      <c r="A22" s="5" t="str">
        <f t="shared" si="1"/>
        <v>JPM</v>
      </c>
      <c r="B22" s="6">
        <f t="shared" ref="B22:K22" si="7">IF($A22=B$16,B9,0)</f>
        <v>0</v>
      </c>
      <c r="C22" s="6">
        <f t="shared" si="7"/>
        <v>0</v>
      </c>
      <c r="D22" s="6">
        <f t="shared" si="7"/>
        <v>0</v>
      </c>
      <c r="E22" s="6">
        <f t="shared" si="7"/>
        <v>0</v>
      </c>
      <c r="F22" s="6">
        <f t="shared" si="7"/>
        <v>0</v>
      </c>
      <c r="G22" s="6">
        <f t="shared" si="7"/>
        <v>3.1521405829566568E-3</v>
      </c>
      <c r="H22" s="6">
        <f t="shared" si="7"/>
        <v>0</v>
      </c>
      <c r="I22" s="6">
        <f t="shared" si="7"/>
        <v>0</v>
      </c>
      <c r="J22" s="6">
        <f t="shared" si="7"/>
        <v>0</v>
      </c>
      <c r="K22" s="6">
        <f t="shared" si="7"/>
        <v>0</v>
      </c>
    </row>
    <row r="23" spans="1:12" ht="15" x14ac:dyDescent="0.25">
      <c r="A23" s="5" t="str">
        <f t="shared" si="1"/>
        <v>GOOG</v>
      </c>
      <c r="B23" s="6">
        <f t="shared" ref="B23:K23" si="8">IF($A23=B$16,B10,0)</f>
        <v>0</v>
      </c>
      <c r="C23" s="6">
        <f t="shared" si="8"/>
        <v>0</v>
      </c>
      <c r="D23" s="6">
        <f t="shared" si="8"/>
        <v>0</v>
      </c>
      <c r="E23" s="6">
        <f t="shared" si="8"/>
        <v>0</v>
      </c>
      <c r="F23" s="6">
        <f t="shared" si="8"/>
        <v>0</v>
      </c>
      <c r="G23" s="6">
        <f t="shared" si="8"/>
        <v>0</v>
      </c>
      <c r="H23" s="6">
        <f t="shared" si="8"/>
        <v>3.1820996499091754E-3</v>
      </c>
      <c r="I23" s="6">
        <f t="shared" si="8"/>
        <v>0</v>
      </c>
      <c r="J23" s="6">
        <f t="shared" si="8"/>
        <v>0</v>
      </c>
      <c r="K23" s="6">
        <f t="shared" si="8"/>
        <v>0</v>
      </c>
    </row>
    <row r="24" spans="1:12" ht="15" x14ac:dyDescent="0.25">
      <c r="A24" s="5" t="str">
        <f t="shared" si="1"/>
        <v>XOM</v>
      </c>
      <c r="B24" s="6">
        <f t="shared" ref="B24:K24" si="9">IF($A24=B$16,B11,0)</f>
        <v>0</v>
      </c>
      <c r="C24" s="6">
        <f t="shared" si="9"/>
        <v>0</v>
      </c>
      <c r="D24" s="6">
        <f t="shared" si="9"/>
        <v>0</v>
      </c>
      <c r="E24" s="6">
        <f t="shared" si="9"/>
        <v>0</v>
      </c>
      <c r="F24" s="6">
        <f t="shared" si="9"/>
        <v>0</v>
      </c>
      <c r="G24" s="6">
        <f t="shared" si="9"/>
        <v>0</v>
      </c>
      <c r="H24" s="6">
        <f t="shared" si="9"/>
        <v>0</v>
      </c>
      <c r="I24" s="6">
        <f t="shared" si="9"/>
        <v>2.2947439691668506E-3</v>
      </c>
      <c r="J24" s="6">
        <f t="shared" si="9"/>
        <v>0</v>
      </c>
      <c r="K24" s="6">
        <f t="shared" si="9"/>
        <v>0</v>
      </c>
    </row>
    <row r="25" spans="1:12" ht="15" x14ac:dyDescent="0.25">
      <c r="A25" s="5" t="str">
        <f t="shared" si="1"/>
        <v>PG</v>
      </c>
      <c r="B25" s="6">
        <f t="shared" ref="B25:K25" si="10">IF($A25=B$16,B12,0)</f>
        <v>0</v>
      </c>
      <c r="C25" s="6">
        <f t="shared" si="10"/>
        <v>0</v>
      </c>
      <c r="D25" s="6">
        <f t="shared" si="10"/>
        <v>0</v>
      </c>
      <c r="E25" s="6">
        <f t="shared" si="10"/>
        <v>0</v>
      </c>
      <c r="F25" s="6">
        <f t="shared" si="10"/>
        <v>0</v>
      </c>
      <c r="G25" s="6">
        <f t="shared" si="10"/>
        <v>0</v>
      </c>
      <c r="H25" s="6">
        <f t="shared" si="10"/>
        <v>0</v>
      </c>
      <c r="I25" s="6">
        <f t="shared" si="10"/>
        <v>0</v>
      </c>
      <c r="J25" s="6">
        <f t="shared" si="10"/>
        <v>1.6171459551559456E-3</v>
      </c>
      <c r="K25" s="6">
        <f t="shared" si="10"/>
        <v>0</v>
      </c>
    </row>
    <row r="26" spans="1:12" ht="15" x14ac:dyDescent="0.25">
      <c r="A26" s="5" t="str">
        <f t="shared" si="1"/>
        <v>BAC</v>
      </c>
      <c r="B26" s="6">
        <f t="shared" ref="B26:K26" si="11">IF($A26=B$16,B13,0)</f>
        <v>0</v>
      </c>
      <c r="C26" s="6">
        <f t="shared" si="11"/>
        <v>0</v>
      </c>
      <c r="D26" s="6">
        <f t="shared" si="11"/>
        <v>0</v>
      </c>
      <c r="E26" s="6">
        <f t="shared" si="11"/>
        <v>0</v>
      </c>
      <c r="F26" s="6">
        <f t="shared" si="11"/>
        <v>0</v>
      </c>
      <c r="G26" s="6">
        <f t="shared" si="11"/>
        <v>0</v>
      </c>
      <c r="H26" s="6">
        <f t="shared" si="11"/>
        <v>0</v>
      </c>
      <c r="I26" s="6">
        <f t="shared" si="11"/>
        <v>0</v>
      </c>
      <c r="J26" s="6">
        <f t="shared" si="11"/>
        <v>0</v>
      </c>
      <c r="K26" s="6">
        <f t="shared" si="11"/>
        <v>5.7544842351490294E-3</v>
      </c>
    </row>
    <row r="28" spans="1:12" x14ac:dyDescent="0.2">
      <c r="A28" s="38" t="s">
        <v>47</v>
      </c>
      <c r="B28" s="38"/>
      <c r="C28" s="39">
        <v>0.3</v>
      </c>
      <c r="D28" t="s">
        <v>48</v>
      </c>
    </row>
    <row r="29" spans="1:12" ht="15" x14ac:dyDescent="0.25">
      <c r="A29" s="1"/>
      <c r="B29" s="5" t="str">
        <f>B16</f>
        <v>MSFT</v>
      </c>
      <c r="C29" s="5" t="str">
        <f t="shared" ref="C29:K29" si="12">C16</f>
        <v>AAPL</v>
      </c>
      <c r="D29" s="5" t="str">
        <f t="shared" si="12"/>
        <v>AMZN</v>
      </c>
      <c r="E29" s="5" t="str">
        <f t="shared" si="12"/>
        <v>DIS</v>
      </c>
      <c r="F29" s="5" t="str">
        <f t="shared" si="12"/>
        <v>CSCO</v>
      </c>
      <c r="G29" s="5" t="str">
        <f t="shared" si="12"/>
        <v>JPM</v>
      </c>
      <c r="H29" s="5" t="str">
        <f t="shared" si="12"/>
        <v>GOOG</v>
      </c>
      <c r="I29" s="5" t="str">
        <f t="shared" si="12"/>
        <v>XOM</v>
      </c>
      <c r="J29" s="5" t="str">
        <f t="shared" si="12"/>
        <v>PG</v>
      </c>
      <c r="K29" s="5" t="str">
        <f t="shared" si="12"/>
        <v>BAC</v>
      </c>
    </row>
    <row r="30" spans="1:12" ht="15" x14ac:dyDescent="0.25">
      <c r="A30" s="5" t="str">
        <f t="shared" ref="A30:A39" si="13">A17</f>
        <v>MSFT</v>
      </c>
      <c r="B30" s="40">
        <f>$C$28*B4+(1-$C$28)*B17</f>
        <v>3.4071294076869758E-3</v>
      </c>
      <c r="C30" s="40">
        <f t="shared" ref="C30:K30" si="14">$C$28*C4+(1-$C$28)*C17</f>
        <v>4.9981207311011202E-4</v>
      </c>
      <c r="D30" s="40">
        <f t="shared" si="14"/>
        <v>7.1127216608775628E-4</v>
      </c>
      <c r="E30" s="40">
        <f t="shared" si="14"/>
        <v>3.0730636219698034E-4</v>
      </c>
      <c r="F30" s="40">
        <f t="shared" si="14"/>
        <v>4.7324993745333986E-4</v>
      </c>
      <c r="G30" s="40">
        <f t="shared" si="14"/>
        <v>4.6893619111066677E-4</v>
      </c>
      <c r="H30" s="40">
        <f t="shared" si="14"/>
        <v>5.6124524301585986E-4</v>
      </c>
      <c r="I30" s="40">
        <f t="shared" si="14"/>
        <v>2.5676045534489311E-4</v>
      </c>
      <c r="J30" s="40">
        <f t="shared" si="14"/>
        <v>1.4677465819322989E-4</v>
      </c>
      <c r="K30" s="40">
        <f t="shared" si="14"/>
        <v>6.1669471539187008E-4</v>
      </c>
      <c r="L30" t="str">
        <f ca="1">"&lt;--"&amp;_xlfn.FORMULATEXT(K30)</f>
        <v>&lt;--=$C$28*K4+(1-$C$28)*K17</v>
      </c>
    </row>
    <row r="31" spans="1:12" ht="15" x14ac:dyDescent="0.25">
      <c r="A31" s="5" t="str">
        <f t="shared" si="13"/>
        <v>AAPL</v>
      </c>
      <c r="B31" s="40">
        <f t="shared" ref="B31:K31" si="15">$C$28*B5+(1-$C$28)*B18</f>
        <v>4.9981207311011202E-4</v>
      </c>
      <c r="C31" s="40">
        <f t="shared" si="15"/>
        <v>5.1590765648409686E-3</v>
      </c>
      <c r="D31" s="40">
        <f t="shared" si="15"/>
        <v>5.523182478497983E-4</v>
      </c>
      <c r="E31" s="40">
        <f t="shared" si="15"/>
        <v>2.3217973733764718E-4</v>
      </c>
      <c r="F31" s="40">
        <f t="shared" si="15"/>
        <v>5.8948572050618743E-4</v>
      </c>
      <c r="G31" s="40">
        <f t="shared" si="15"/>
        <v>1.6540145845355379E-4</v>
      </c>
      <c r="H31" s="40">
        <f t="shared" si="15"/>
        <v>3.5137449627702853E-4</v>
      </c>
      <c r="I31" s="40">
        <f t="shared" si="15"/>
        <v>5.6289792806792251E-5</v>
      </c>
      <c r="J31" s="40">
        <f t="shared" si="15"/>
        <v>1.1403806956727982E-4</v>
      </c>
      <c r="K31" s="40">
        <f t="shared" si="15"/>
        <v>2.026871746904919E-4</v>
      </c>
    </row>
    <row r="32" spans="1:12" ht="15" x14ac:dyDescent="0.25">
      <c r="A32" s="5" t="str">
        <f t="shared" si="13"/>
        <v>AMZN</v>
      </c>
      <c r="B32" s="40">
        <f t="shared" ref="B32:K32" si="16">$C$28*B6+(1-$C$28)*B19</f>
        <v>7.1127216608775628E-4</v>
      </c>
      <c r="C32" s="40">
        <f t="shared" si="16"/>
        <v>5.523182478497983E-4</v>
      </c>
      <c r="D32" s="40">
        <f t="shared" si="16"/>
        <v>6.9062424750401287E-3</v>
      </c>
      <c r="E32" s="40">
        <f t="shared" si="16"/>
        <v>4.2027561898822256E-4</v>
      </c>
      <c r="F32" s="40">
        <f t="shared" si="16"/>
        <v>6.9283613104771972E-4</v>
      </c>
      <c r="G32" s="40">
        <f t="shared" si="16"/>
        <v>4.077661679617175E-4</v>
      </c>
      <c r="H32" s="40">
        <f t="shared" si="16"/>
        <v>9.5252698635547243E-4</v>
      </c>
      <c r="I32" s="40">
        <f t="shared" si="16"/>
        <v>2.3356515869901284E-4</v>
      </c>
      <c r="J32" s="40">
        <f t="shared" si="16"/>
        <v>-9.6166159354060669E-5</v>
      </c>
      <c r="K32" s="40">
        <f t="shared" si="16"/>
        <v>6.5933035216526881E-4</v>
      </c>
    </row>
    <row r="33" spans="1:11" ht="15" x14ac:dyDescent="0.25">
      <c r="A33" s="5" t="str">
        <f t="shared" si="13"/>
        <v>DIS</v>
      </c>
      <c r="B33" s="40">
        <f t="shared" ref="B33:K33" si="17">$C$28*B7+(1-$C$28)*B20</f>
        <v>3.0730636219698034E-4</v>
      </c>
      <c r="C33" s="40">
        <f t="shared" si="17"/>
        <v>2.3217973733764718E-4</v>
      </c>
      <c r="D33" s="40">
        <f t="shared" si="17"/>
        <v>4.2027561898822256E-4</v>
      </c>
      <c r="E33" s="40">
        <f t="shared" si="17"/>
        <v>2.4225985245919998E-3</v>
      </c>
      <c r="F33" s="40">
        <f t="shared" si="17"/>
        <v>3.2219364589199822E-4</v>
      </c>
      <c r="G33" s="40">
        <f t="shared" si="17"/>
        <v>4.2863248239002205E-4</v>
      </c>
      <c r="H33" s="40">
        <f t="shared" si="17"/>
        <v>2.2340033394258296E-4</v>
      </c>
      <c r="I33" s="40">
        <f t="shared" si="17"/>
        <v>2.8615909763564411E-4</v>
      </c>
      <c r="J33" s="40">
        <f t="shared" si="17"/>
        <v>1.4389781519659342E-4</v>
      </c>
      <c r="K33" s="40">
        <f t="shared" si="17"/>
        <v>4.9141538735862828E-4</v>
      </c>
    </row>
    <row r="34" spans="1:11" ht="15" x14ac:dyDescent="0.25">
      <c r="A34" s="5" t="str">
        <f t="shared" si="13"/>
        <v>CSCO</v>
      </c>
      <c r="B34" s="40">
        <f t="shared" ref="B34:K34" si="18">$C$28*B8+(1-$C$28)*B21</f>
        <v>4.7324993745333986E-4</v>
      </c>
      <c r="C34" s="40">
        <f t="shared" si="18"/>
        <v>5.8948572050618743E-4</v>
      </c>
      <c r="D34" s="40">
        <f t="shared" si="18"/>
        <v>6.9283613104771972E-4</v>
      </c>
      <c r="E34" s="40">
        <f t="shared" si="18"/>
        <v>3.2219364589199822E-4</v>
      </c>
      <c r="F34" s="40">
        <f t="shared" si="18"/>
        <v>3.3218518576050814E-3</v>
      </c>
      <c r="G34" s="40">
        <f t="shared" si="18"/>
        <v>4.1708925459311795E-4</v>
      </c>
      <c r="H34" s="40">
        <f t="shared" si="18"/>
        <v>2.6986527335216089E-4</v>
      </c>
      <c r="I34" s="40">
        <f t="shared" si="18"/>
        <v>1.6238805616087997E-4</v>
      </c>
      <c r="J34" s="40">
        <f t="shared" si="18"/>
        <v>1.3037396236989063E-4</v>
      </c>
      <c r="K34" s="40">
        <f t="shared" si="18"/>
        <v>5.0292930471852401E-4</v>
      </c>
    </row>
    <row r="35" spans="1:11" ht="15" x14ac:dyDescent="0.25">
      <c r="A35" s="5" t="str">
        <f t="shared" si="13"/>
        <v>JPM</v>
      </c>
      <c r="B35" s="40">
        <f t="shared" ref="B35:K35" si="19">$C$28*B9+(1-$C$28)*B22</f>
        <v>4.6893619111066677E-4</v>
      </c>
      <c r="C35" s="40">
        <f t="shared" si="19"/>
        <v>1.6540145845355379E-4</v>
      </c>
      <c r="D35" s="40">
        <f t="shared" si="19"/>
        <v>4.077661679617175E-4</v>
      </c>
      <c r="E35" s="40">
        <f t="shared" si="19"/>
        <v>4.2863248239002205E-4</v>
      </c>
      <c r="F35" s="40">
        <f t="shared" si="19"/>
        <v>4.1708925459311795E-4</v>
      </c>
      <c r="G35" s="40">
        <f t="shared" si="19"/>
        <v>3.1521405829566564E-3</v>
      </c>
      <c r="H35" s="40">
        <f t="shared" si="19"/>
        <v>2.3692769386563206E-4</v>
      </c>
      <c r="I35" s="40">
        <f t="shared" si="19"/>
        <v>2.7792107154152985E-4</v>
      </c>
      <c r="J35" s="40">
        <f t="shared" si="19"/>
        <v>5.2397093544014575E-5</v>
      </c>
      <c r="K35" s="40">
        <f t="shared" si="19"/>
        <v>1.1730359492388709E-3</v>
      </c>
    </row>
    <row r="36" spans="1:11" ht="15" x14ac:dyDescent="0.25">
      <c r="A36" s="5" t="str">
        <f t="shared" si="13"/>
        <v>GOOG</v>
      </c>
      <c r="B36" s="40">
        <f t="shared" ref="B36:K36" si="20">$C$28*B10+(1-$C$28)*B23</f>
        <v>5.6124524301585986E-4</v>
      </c>
      <c r="C36" s="40">
        <f t="shared" si="20"/>
        <v>3.5137449627702853E-4</v>
      </c>
      <c r="D36" s="40">
        <f t="shared" si="20"/>
        <v>9.5252698635547243E-4</v>
      </c>
      <c r="E36" s="40">
        <f t="shared" si="20"/>
        <v>2.2340033394258296E-4</v>
      </c>
      <c r="F36" s="40">
        <f t="shared" si="20"/>
        <v>2.6986527335216089E-4</v>
      </c>
      <c r="G36" s="40">
        <f t="shared" si="20"/>
        <v>2.3692769386563206E-4</v>
      </c>
      <c r="H36" s="40">
        <f t="shared" si="20"/>
        <v>3.182099649909175E-3</v>
      </c>
      <c r="I36" s="40">
        <f t="shared" si="20"/>
        <v>1.0410944624419108E-4</v>
      </c>
      <c r="J36" s="40">
        <f t="shared" si="20"/>
        <v>2.1466059083753339E-5</v>
      </c>
      <c r="K36" s="40">
        <f t="shared" si="20"/>
        <v>4.3841884877958719E-4</v>
      </c>
    </row>
    <row r="37" spans="1:11" ht="15" x14ac:dyDescent="0.25">
      <c r="A37" s="5" t="str">
        <f t="shared" si="13"/>
        <v>XOM</v>
      </c>
      <c r="B37" s="40">
        <f t="shared" ref="B37:K37" si="21">$C$28*B11+(1-$C$28)*B24</f>
        <v>2.5676045534489311E-4</v>
      </c>
      <c r="C37" s="40">
        <f t="shared" si="21"/>
        <v>5.6289792806792251E-5</v>
      </c>
      <c r="D37" s="40">
        <f t="shared" si="21"/>
        <v>2.3356515869901284E-4</v>
      </c>
      <c r="E37" s="40">
        <f t="shared" si="21"/>
        <v>2.8615909763564411E-4</v>
      </c>
      <c r="F37" s="40">
        <f t="shared" si="21"/>
        <v>1.6238805616087997E-4</v>
      </c>
      <c r="G37" s="40">
        <f t="shared" si="21"/>
        <v>2.7792107154152985E-4</v>
      </c>
      <c r="H37" s="40">
        <f t="shared" si="21"/>
        <v>1.0410944624419108E-4</v>
      </c>
      <c r="I37" s="40">
        <f t="shared" si="21"/>
        <v>2.2947439691668502E-3</v>
      </c>
      <c r="J37" s="40">
        <f t="shared" si="21"/>
        <v>1.072755109173269E-4</v>
      </c>
      <c r="K37" s="40">
        <f t="shared" si="21"/>
        <v>3.0108134482703707E-4</v>
      </c>
    </row>
    <row r="38" spans="1:11" ht="15" x14ac:dyDescent="0.25">
      <c r="A38" s="5" t="str">
        <f t="shared" si="13"/>
        <v>PG</v>
      </c>
      <c r="B38" s="40">
        <f t="shared" ref="B38:K38" si="22">$C$28*B12+(1-$C$28)*B25</f>
        <v>1.4677465819322989E-4</v>
      </c>
      <c r="C38" s="40">
        <f t="shared" si="22"/>
        <v>1.1403806956727982E-4</v>
      </c>
      <c r="D38" s="40">
        <f t="shared" si="22"/>
        <v>-9.6166159354060669E-5</v>
      </c>
      <c r="E38" s="40">
        <f t="shared" si="22"/>
        <v>1.4389781519659342E-4</v>
      </c>
      <c r="F38" s="40">
        <f t="shared" si="22"/>
        <v>1.3037396236989063E-4</v>
      </c>
      <c r="G38" s="40">
        <f t="shared" si="22"/>
        <v>5.2397093544014575E-5</v>
      </c>
      <c r="H38" s="40">
        <f t="shared" si="22"/>
        <v>2.1466059083753339E-5</v>
      </c>
      <c r="I38" s="40">
        <f t="shared" si="22"/>
        <v>1.072755109173269E-4</v>
      </c>
      <c r="J38" s="40">
        <f t="shared" si="22"/>
        <v>1.6171459551559454E-3</v>
      </c>
      <c r="K38" s="40">
        <f t="shared" si="22"/>
        <v>2.8597470829089035E-5</v>
      </c>
    </row>
    <row r="39" spans="1:11" ht="15" x14ac:dyDescent="0.25">
      <c r="A39" s="5" t="str">
        <f t="shared" si="13"/>
        <v>BAC</v>
      </c>
      <c r="B39" s="40">
        <f t="shared" ref="B39:K39" si="23">$C$28*B13+(1-$C$28)*B26</f>
        <v>6.1669471539187008E-4</v>
      </c>
      <c r="C39" s="40">
        <f t="shared" si="23"/>
        <v>2.026871746904919E-4</v>
      </c>
      <c r="D39" s="40">
        <f t="shared" si="23"/>
        <v>6.5933035216526881E-4</v>
      </c>
      <c r="E39" s="40">
        <f t="shared" si="23"/>
        <v>4.9141538735862828E-4</v>
      </c>
      <c r="F39" s="40">
        <f t="shared" si="23"/>
        <v>5.0292930471852401E-4</v>
      </c>
      <c r="G39" s="40">
        <f t="shared" si="23"/>
        <v>1.1730359492388709E-3</v>
      </c>
      <c r="H39" s="40">
        <f t="shared" si="23"/>
        <v>4.3841884877958719E-4</v>
      </c>
      <c r="I39" s="40">
        <f t="shared" si="23"/>
        <v>3.0108134482703707E-4</v>
      </c>
      <c r="J39" s="40">
        <f t="shared" si="23"/>
        <v>2.8597470829089035E-5</v>
      </c>
      <c r="K39" s="40">
        <f t="shared" si="23"/>
        <v>5.7544842351490294E-3</v>
      </c>
    </row>
  </sheetData>
  <mergeCells count="3">
    <mergeCell ref="B2:K2"/>
    <mergeCell ref="A1:L1"/>
    <mergeCell ref="B15:K15"/>
  </mergeCells>
  <printOptions headings="1" gridLines="1"/>
  <pageMargins left="0.70866141732283505" right="0.70866141732283505" top="0.74803149606299202" bottom="0.74803149606299202" header="0.31496062992126" footer="0.31496062992126"/>
  <pageSetup orientation="portrait" cellComments="atEnd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16"/>
  <sheetViews>
    <sheetView tabSelected="1" zoomScaleNormal="100" workbookViewId="0">
      <selection activeCell="K20" sqref="K20"/>
    </sheetView>
  </sheetViews>
  <sheetFormatPr defaultRowHeight="14.25" x14ac:dyDescent="0.2"/>
  <cols>
    <col min="1" max="1" width="14" customWidth="1"/>
    <col min="2" max="11" width="6.75" bestFit="1" customWidth="1"/>
    <col min="12" max="12" width="28.375" bestFit="1" customWidth="1"/>
  </cols>
  <sheetData>
    <row r="1" spans="1:12" ht="18" x14ac:dyDescent="0.25">
      <c r="A1" s="51" t="s">
        <v>22</v>
      </c>
      <c r="B1" s="51"/>
      <c r="C1" s="51"/>
      <c r="D1" s="51"/>
      <c r="E1" s="51"/>
      <c r="F1" s="51"/>
      <c r="G1" s="51"/>
      <c r="H1" s="51"/>
      <c r="I1" s="51"/>
      <c r="J1" s="51"/>
      <c r="K1" s="51"/>
      <c r="L1" s="51"/>
    </row>
    <row r="2" spans="1:12" ht="15" x14ac:dyDescent="0.25">
      <c r="A2" s="1"/>
      <c r="B2" s="5" t="str">
        <f>'5y 10 stocks Returns'!B130</f>
        <v>MSFT</v>
      </c>
      <c r="C2" s="5" t="str">
        <f>'5y 10 stocks Returns'!C130</f>
        <v>AAPL</v>
      </c>
      <c r="D2" s="5" t="str">
        <f>'5y 10 stocks Returns'!D130</f>
        <v>AMZN</v>
      </c>
      <c r="E2" s="5" t="str">
        <f>'5y 10 stocks Returns'!E130</f>
        <v>DIS</v>
      </c>
      <c r="F2" s="5" t="str">
        <f>'5y 10 stocks Returns'!F130</f>
        <v>CSCO</v>
      </c>
      <c r="G2" s="5" t="str">
        <f>'5y 10 stocks Returns'!G130</f>
        <v>JPM</v>
      </c>
      <c r="H2" s="5" t="str">
        <f>'5y 10 stocks Returns'!H130</f>
        <v>GOOG</v>
      </c>
      <c r="I2" s="5" t="str">
        <f>'5y 10 stocks Returns'!I130</f>
        <v>XOM</v>
      </c>
      <c r="J2" s="5" t="str">
        <f>'5y 10 stocks Returns'!J130</f>
        <v>PG</v>
      </c>
      <c r="K2" s="5" t="str">
        <f>'5y 10 stocks Returns'!K130</f>
        <v>BAC</v>
      </c>
    </row>
    <row r="3" spans="1:12" x14ac:dyDescent="0.2">
      <c r="A3" t="s">
        <v>20</v>
      </c>
      <c r="B3" s="42">
        <v>0.33989999999999998</v>
      </c>
      <c r="C3" s="42">
        <v>0.31790000000000002</v>
      </c>
      <c r="D3" s="42">
        <v>0.2354</v>
      </c>
      <c r="E3" s="42">
        <v>0.23980000000000001</v>
      </c>
      <c r="F3" s="42">
        <v>0.21190000000000001</v>
      </c>
      <c r="G3" s="42">
        <v>0.54979999999999996</v>
      </c>
      <c r="H3" s="42">
        <v>0.2276</v>
      </c>
      <c r="I3" s="42">
        <v>0.21679999999999999</v>
      </c>
      <c r="J3" s="42">
        <v>0.17119999999999999</v>
      </c>
      <c r="K3" s="42">
        <v>0.21779999999999999</v>
      </c>
      <c r="L3" t="s">
        <v>50</v>
      </c>
    </row>
    <row r="4" spans="1:12" x14ac:dyDescent="0.2">
      <c r="B4" s="43"/>
      <c r="C4" s="43"/>
      <c r="D4" s="43"/>
      <c r="E4" s="43"/>
      <c r="F4" s="43"/>
      <c r="G4" s="43"/>
      <c r="H4" s="43"/>
      <c r="I4" s="43"/>
      <c r="J4" s="43"/>
      <c r="K4" s="43"/>
    </row>
    <row r="5" spans="1:12" x14ac:dyDescent="0.2">
      <c r="A5" t="s">
        <v>18</v>
      </c>
      <c r="B5" s="11">
        <v>0.25</v>
      </c>
    </row>
    <row r="6" spans="1:12" ht="15" x14ac:dyDescent="0.25">
      <c r="B6" s="5" t="str">
        <f>B2</f>
        <v>MSFT</v>
      </c>
      <c r="C6" s="5" t="str">
        <f t="shared" ref="C6:K6" si="0">C2</f>
        <v>AAPL</v>
      </c>
      <c r="D6" s="5" t="str">
        <f t="shared" si="0"/>
        <v>AMZN</v>
      </c>
      <c r="E6" s="5" t="str">
        <f t="shared" si="0"/>
        <v>DIS</v>
      </c>
      <c r="F6" s="5" t="str">
        <f t="shared" si="0"/>
        <v>CSCO</v>
      </c>
      <c r="G6" s="5" t="str">
        <f t="shared" si="0"/>
        <v>JPM</v>
      </c>
      <c r="H6" s="5" t="str">
        <f t="shared" si="0"/>
        <v>GOOG</v>
      </c>
      <c r="I6" s="5" t="str">
        <f t="shared" si="0"/>
        <v>XOM</v>
      </c>
      <c r="J6" s="5" t="str">
        <f t="shared" si="0"/>
        <v>PG</v>
      </c>
      <c r="K6" s="5" t="str">
        <f t="shared" si="0"/>
        <v>BAC</v>
      </c>
    </row>
    <row r="7" spans="1:12" ht="15" x14ac:dyDescent="0.25">
      <c r="A7" s="5" t="str">
        <f t="array" ref="A7:A16">TRANSPOSE(B6:K6)</f>
        <v>MSFT</v>
      </c>
      <c r="B7" s="9">
        <f t="array" ref="B7:K16">ImpliedVolvarcov(B3:K3,B5)</f>
        <v>0.11553200999999999</v>
      </c>
      <c r="C7" s="9">
        <v>2.7013552499999999E-2</v>
      </c>
      <c r="D7" s="9">
        <v>2.0003114999999998E-2</v>
      </c>
      <c r="E7" s="9">
        <v>2.0377005E-2</v>
      </c>
      <c r="F7" s="9">
        <v>1.8006202499999999E-2</v>
      </c>
      <c r="G7" s="9">
        <v>4.6719254999999994E-2</v>
      </c>
      <c r="H7" s="9">
        <v>1.9340309999999999E-2</v>
      </c>
      <c r="I7" s="9">
        <v>1.8422579999999997E-2</v>
      </c>
      <c r="J7" s="9">
        <v>1.4547719999999998E-2</v>
      </c>
      <c r="K7" s="9">
        <v>1.8507554999999998E-2</v>
      </c>
      <c r="L7" t="str">
        <f ca="1">"&lt;--"&amp;_xlfn.FORMULATEXT(K7)</f>
        <v>&lt;--{=ImpliedVolvarcov(B3:K3,B5)}</v>
      </c>
    </row>
    <row r="8" spans="1:12" ht="15" x14ac:dyDescent="0.25">
      <c r="A8" s="5" t="str">
        <v>AAPL</v>
      </c>
      <c r="B8" s="9">
        <v>2.7013552499999999E-2</v>
      </c>
      <c r="C8" s="9">
        <v>0.10106041</v>
      </c>
      <c r="D8" s="9">
        <v>1.8708414999999999E-2</v>
      </c>
      <c r="E8" s="9">
        <v>1.9058105000000002E-2</v>
      </c>
      <c r="F8" s="9">
        <v>1.68407525E-2</v>
      </c>
      <c r="G8" s="9">
        <v>4.3695354999999998E-2</v>
      </c>
      <c r="H8" s="9">
        <v>1.8088510000000002E-2</v>
      </c>
      <c r="I8" s="9">
        <v>1.7230180000000001E-2</v>
      </c>
      <c r="J8" s="9">
        <v>1.3606119999999999E-2</v>
      </c>
      <c r="K8" s="9">
        <v>1.7309655E-2</v>
      </c>
    </row>
    <row r="9" spans="1:12" ht="15" x14ac:dyDescent="0.25">
      <c r="A9" s="5" t="str">
        <v>AMZN</v>
      </c>
      <c r="B9" s="9">
        <v>2.0003114999999998E-2</v>
      </c>
      <c r="C9" s="9">
        <v>1.8708414999999999E-2</v>
      </c>
      <c r="D9" s="9">
        <v>5.5413159999999996E-2</v>
      </c>
      <c r="E9" s="9">
        <v>1.411223E-2</v>
      </c>
      <c r="F9" s="9">
        <v>1.2470315000000001E-2</v>
      </c>
      <c r="G9" s="9">
        <v>3.2355729999999999E-2</v>
      </c>
      <c r="H9" s="9">
        <v>1.339426E-2</v>
      </c>
      <c r="I9" s="9">
        <v>1.275868E-2</v>
      </c>
      <c r="J9" s="9">
        <v>1.007512E-2</v>
      </c>
      <c r="K9" s="9">
        <v>1.2817529999999999E-2</v>
      </c>
    </row>
    <row r="10" spans="1:12" ht="15" x14ac:dyDescent="0.25">
      <c r="A10" s="5" t="str">
        <v>DIS</v>
      </c>
      <c r="B10" s="9">
        <v>2.0377005E-2</v>
      </c>
      <c r="C10" s="9">
        <v>1.9058105000000002E-2</v>
      </c>
      <c r="D10" s="9">
        <v>1.411223E-2</v>
      </c>
      <c r="E10" s="9">
        <v>5.7504040000000006E-2</v>
      </c>
      <c r="F10" s="9">
        <v>1.2703405000000001E-2</v>
      </c>
      <c r="G10" s="9">
        <v>3.2960509999999998E-2</v>
      </c>
      <c r="H10" s="9">
        <v>1.3644620000000001E-2</v>
      </c>
      <c r="I10" s="9">
        <v>1.2997160000000001E-2</v>
      </c>
      <c r="J10" s="9">
        <v>1.026344E-2</v>
      </c>
      <c r="K10" s="9">
        <v>1.305711E-2</v>
      </c>
    </row>
    <row r="11" spans="1:12" ht="15" x14ac:dyDescent="0.25">
      <c r="A11" s="5" t="str">
        <v>CSCO</v>
      </c>
      <c r="B11" s="9">
        <v>1.8006202499999999E-2</v>
      </c>
      <c r="C11" s="9">
        <v>1.68407525E-2</v>
      </c>
      <c r="D11" s="9">
        <v>1.2470315000000001E-2</v>
      </c>
      <c r="E11" s="9">
        <v>1.2703405000000001E-2</v>
      </c>
      <c r="F11" s="9">
        <v>4.4901610000000002E-2</v>
      </c>
      <c r="G11" s="9">
        <v>2.9125654999999997E-2</v>
      </c>
      <c r="H11" s="9">
        <v>1.2057109999999999E-2</v>
      </c>
      <c r="I11" s="9">
        <v>1.1484980000000001E-2</v>
      </c>
      <c r="J11" s="9">
        <v>9.0693200000000005E-3</v>
      </c>
      <c r="K11" s="9">
        <v>1.1537955000000001E-2</v>
      </c>
    </row>
    <row r="12" spans="1:12" ht="15" x14ac:dyDescent="0.25">
      <c r="A12" s="5" t="str">
        <v>JPM</v>
      </c>
      <c r="B12" s="9">
        <v>4.6719254999999994E-2</v>
      </c>
      <c r="C12" s="9">
        <v>4.3695354999999998E-2</v>
      </c>
      <c r="D12" s="9">
        <v>3.2355729999999999E-2</v>
      </c>
      <c r="E12" s="9">
        <v>3.2960509999999998E-2</v>
      </c>
      <c r="F12" s="9">
        <v>2.9125654999999997E-2</v>
      </c>
      <c r="G12" s="9">
        <v>0.30228003999999997</v>
      </c>
      <c r="H12" s="9">
        <v>3.1283619999999998E-2</v>
      </c>
      <c r="I12" s="9">
        <v>2.9799159999999998E-2</v>
      </c>
      <c r="J12" s="9">
        <v>2.3531439999999997E-2</v>
      </c>
      <c r="K12" s="9">
        <v>2.9936609999999995E-2</v>
      </c>
    </row>
    <row r="13" spans="1:12" ht="15" x14ac:dyDescent="0.25">
      <c r="A13" s="5" t="str">
        <v>GOOG</v>
      </c>
      <c r="B13" s="9">
        <v>1.9340309999999999E-2</v>
      </c>
      <c r="C13" s="9">
        <v>1.8088510000000002E-2</v>
      </c>
      <c r="D13" s="9">
        <v>1.339426E-2</v>
      </c>
      <c r="E13" s="9">
        <v>1.3644620000000001E-2</v>
      </c>
      <c r="F13" s="9">
        <v>1.2057109999999999E-2</v>
      </c>
      <c r="G13" s="9">
        <v>3.1283619999999998E-2</v>
      </c>
      <c r="H13" s="9">
        <v>5.1801759999999995E-2</v>
      </c>
      <c r="I13" s="9">
        <v>1.233592E-2</v>
      </c>
      <c r="J13" s="9">
        <v>9.7412799999999997E-3</v>
      </c>
      <c r="K13" s="9">
        <v>1.2392819999999999E-2</v>
      </c>
    </row>
    <row r="14" spans="1:12" ht="15" x14ac:dyDescent="0.25">
      <c r="A14" s="5" t="str">
        <v>XOM</v>
      </c>
      <c r="B14" s="9">
        <v>1.8422579999999997E-2</v>
      </c>
      <c r="C14" s="9">
        <v>1.7230180000000001E-2</v>
      </c>
      <c r="D14" s="9">
        <v>1.275868E-2</v>
      </c>
      <c r="E14" s="9">
        <v>1.2997160000000001E-2</v>
      </c>
      <c r="F14" s="9">
        <v>1.1484980000000001E-2</v>
      </c>
      <c r="G14" s="9">
        <v>2.9799159999999998E-2</v>
      </c>
      <c r="H14" s="9">
        <v>1.233592E-2</v>
      </c>
      <c r="I14" s="9">
        <v>4.7002239999999994E-2</v>
      </c>
      <c r="J14" s="9">
        <v>9.2790399999999988E-3</v>
      </c>
      <c r="K14" s="9">
        <v>1.1804759999999999E-2</v>
      </c>
    </row>
    <row r="15" spans="1:12" ht="15" x14ac:dyDescent="0.25">
      <c r="A15" s="5" t="str">
        <v>PG</v>
      </c>
      <c r="B15" s="9">
        <v>1.4547719999999998E-2</v>
      </c>
      <c r="C15" s="9">
        <v>1.3606119999999999E-2</v>
      </c>
      <c r="D15" s="9">
        <v>1.007512E-2</v>
      </c>
      <c r="E15" s="9">
        <v>1.026344E-2</v>
      </c>
      <c r="F15" s="9">
        <v>9.0693200000000005E-3</v>
      </c>
      <c r="G15" s="9">
        <v>2.3531439999999997E-2</v>
      </c>
      <c r="H15" s="9">
        <v>9.7412799999999997E-3</v>
      </c>
      <c r="I15" s="9">
        <v>9.2790399999999988E-3</v>
      </c>
      <c r="J15" s="9">
        <v>2.9309439999999996E-2</v>
      </c>
      <c r="K15" s="9">
        <v>9.3218399999999996E-3</v>
      </c>
    </row>
    <row r="16" spans="1:12" ht="15" x14ac:dyDescent="0.25">
      <c r="A16" s="5" t="str">
        <v>BAC</v>
      </c>
      <c r="B16" s="9">
        <v>1.8507554999999998E-2</v>
      </c>
      <c r="C16" s="9">
        <v>1.7309655E-2</v>
      </c>
      <c r="D16" s="9">
        <v>1.2817529999999999E-2</v>
      </c>
      <c r="E16" s="9">
        <v>1.305711E-2</v>
      </c>
      <c r="F16" s="9">
        <v>1.1537955000000001E-2</v>
      </c>
      <c r="G16" s="9">
        <v>2.9936609999999995E-2</v>
      </c>
      <c r="H16" s="9">
        <v>1.2392819999999999E-2</v>
      </c>
      <c r="I16" s="9">
        <v>1.1804759999999999E-2</v>
      </c>
      <c r="J16" s="9">
        <v>9.3218399999999996E-3</v>
      </c>
      <c r="K16" s="9">
        <v>4.7436839999999994E-2</v>
      </c>
    </row>
  </sheetData>
  <mergeCells count="1">
    <mergeCell ref="A1:L1"/>
  </mergeCells>
  <printOptions headings="1" gridLines="1"/>
  <pageMargins left="0.70866141732283505" right="0.70866141732283505" top="0.74803149606299202" bottom="0.74803149606299202" header="0.31496062992126" footer="0.31496062992126"/>
  <pageSetup orientation="portrait" cellComments="atEnd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5y 10 stocks data</vt:lpstr>
      <vt:lpstr>5y 10 stocks Returns</vt:lpstr>
      <vt:lpstr>VBA Var-Cov</vt:lpstr>
      <vt:lpstr>VBA Correlation Mat</vt:lpstr>
      <vt:lpstr>SIM Var-Cov</vt:lpstr>
      <vt:lpstr>Const. correl Var-Cov</vt:lpstr>
      <vt:lpstr>Shrinkage var-cov</vt:lpstr>
      <vt:lpstr>Implied vol+Const cor. var-cov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mehran kianvand</cp:lastModifiedBy>
  <dcterms:created xsi:type="dcterms:W3CDTF">2012-07-05T14:21:51Z</dcterms:created>
  <dcterms:modified xsi:type="dcterms:W3CDTF">2023-07-02T09:49:45Z</dcterms:modified>
</cp:coreProperties>
</file>