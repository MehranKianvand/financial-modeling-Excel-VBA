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drawings/drawing11.xml" ContentType="application/vnd.openxmlformats-officedocument.drawing+xml"/>
  <Override PartName="/xl/charts/chart9.xml" ContentType="application/vnd.openxmlformats-officedocument.drawingml.chart+xml"/>
  <Override PartName="/xl/drawings/drawing12.xml" ContentType="application/vnd.openxmlformats-officedocument.drawing+xml"/>
  <Override PartName="/xl/charts/chart10.xml" ContentType="application/vnd.openxmlformats-officedocument.drawingml.chart+xml"/>
  <Override PartName="/xl/drawings/drawing13.xml" ContentType="application/vnd.openxmlformats-officedocument.drawing+xml"/>
  <Override PartName="/xl/ctrlProps/ctrlProp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ianvand.m\Desktop\financial modeling-20230701T032104Z-001\financial modeling\Chapter 11 - Efficient portfolios\"/>
    </mc:Choice>
  </mc:AlternateContent>
  <bookViews>
    <workbookView xWindow="-105" yWindow="-105" windowWidth="23250" windowHeight="12450" firstSheet="11" activeTab="16"/>
  </bookViews>
  <sheets>
    <sheet name="Portfolio Numenclature" sheetId="11" r:id="rId1"/>
    <sheet name="Zero Beta" sheetId="13" r:id="rId2"/>
    <sheet name="Eff portfolios and frontier" sheetId="1" r:id="rId3"/>
    <sheet name="Efficient port 1 step" sheetId="2" r:id="rId4"/>
    <sheet name="Efficient port 1 step (names)" sheetId="14" r:id="rId5"/>
    <sheet name="All c's -&gt; same envelope" sheetId="6" r:id="rId6"/>
    <sheet name="High c -&gt; inefficient" sheetId="16" r:id="rId7"/>
    <sheet name="CML" sheetId="12" r:id="rId8"/>
    <sheet name="GMVP" sheetId="18" r:id="rId9"/>
    <sheet name="Testing the SML c=0.5%" sheetId="10" r:id="rId10"/>
    <sheet name="Testing the SML c=1%" sheetId="17" r:id="rId11"/>
    <sheet name="No short intro" sheetId="19" r:id="rId12"/>
    <sheet name="No short intro (solver)" sheetId="20" r:id="rId13"/>
    <sheet name="No short (solver)" sheetId="21" r:id="rId14"/>
    <sheet name="No short (solver 2nd approach)" sheetId="22" r:id="rId15"/>
    <sheet name="No short vs general eff. front." sheetId="24" r:id="rId16"/>
    <sheet name="Other restrictions" sheetId="25" r:id="rId17"/>
  </sheets>
  <functionGroups builtInGroupCount="18"/>
  <externalReferences>
    <externalReference r:id="rId18"/>
  </externalReferences>
  <definedNames>
    <definedName name="portfolio_mean">'[1]Page 301'!$B$17</definedName>
    <definedName name="Portfolio_sigma">'[1]Page 301'!$B$18</definedName>
    <definedName name="solver_adj" localSheetId="14" hidden="1">'No short (solver 2nd approach)'!$B$11:$B$14</definedName>
    <definedName name="solver_adj" localSheetId="13" hidden="1">'No short (solver)'!$B$11:$B$14</definedName>
    <definedName name="solver_adj" localSheetId="11" hidden="1">'No short intro'!$B$12:$B$15</definedName>
    <definedName name="solver_adj" localSheetId="12" hidden="1">'No short intro (solver)'!$B$11:$B$14</definedName>
    <definedName name="solver_adj" localSheetId="15" hidden="1">'No short vs general eff. front.'!$B$11:$B$14</definedName>
    <definedName name="solver_adj" localSheetId="16" hidden="1">'Other restrictions'!$B$11:$B$14</definedName>
    <definedName name="solver_cvg" localSheetId="14" hidden="1">0.001</definedName>
    <definedName name="solver_cvg" localSheetId="13" hidden="1">0.001</definedName>
    <definedName name="solver_cvg" localSheetId="11" hidden="1">0.001</definedName>
    <definedName name="solver_cvg" localSheetId="12" hidden="1">0.001</definedName>
    <definedName name="solver_cvg" localSheetId="15" hidden="1">0.001</definedName>
    <definedName name="solver_cvg" localSheetId="16" hidden="1">0.001</definedName>
    <definedName name="solver_drv" localSheetId="14" hidden="1">1</definedName>
    <definedName name="solver_drv" localSheetId="13" hidden="1">1</definedName>
    <definedName name="solver_drv" localSheetId="11" hidden="1">1</definedName>
    <definedName name="solver_drv" localSheetId="12" hidden="1">1</definedName>
    <definedName name="solver_drv" localSheetId="15" hidden="1">1</definedName>
    <definedName name="solver_drv" localSheetId="16" hidden="1">1</definedName>
    <definedName name="solver_eng" localSheetId="14" hidden="1">1</definedName>
    <definedName name="solver_eng" localSheetId="13" hidden="1">1</definedName>
    <definedName name="solver_eng" localSheetId="11" hidden="1">1</definedName>
    <definedName name="solver_eng" localSheetId="12" hidden="1">1</definedName>
    <definedName name="solver_eng" localSheetId="15" hidden="1">1</definedName>
    <definedName name="solver_eng" localSheetId="16" hidden="1">1</definedName>
    <definedName name="solver_est" localSheetId="14" hidden="1">1</definedName>
    <definedName name="solver_est" localSheetId="13" hidden="1">1</definedName>
    <definedName name="solver_est" localSheetId="11" hidden="1">1</definedName>
    <definedName name="solver_est" localSheetId="12" hidden="1">1</definedName>
    <definedName name="solver_est" localSheetId="15" hidden="1">1</definedName>
    <definedName name="solver_est" localSheetId="16" hidden="1">1</definedName>
    <definedName name="solver_ibd" localSheetId="14" hidden="1">2</definedName>
    <definedName name="solver_ibd" localSheetId="13" hidden="1">2</definedName>
    <definedName name="solver_ibd" localSheetId="11" hidden="1">2</definedName>
    <definedName name="solver_ibd" localSheetId="12" hidden="1">2</definedName>
    <definedName name="solver_ibd" localSheetId="15" hidden="1">2</definedName>
    <definedName name="solver_ibd" localSheetId="16" hidden="1">2</definedName>
    <definedName name="solver_itr" localSheetId="14" hidden="1">100</definedName>
    <definedName name="solver_itr" localSheetId="13" hidden="1">100</definedName>
    <definedName name="solver_itr" localSheetId="11" hidden="1">100</definedName>
    <definedName name="solver_itr" localSheetId="12" hidden="1">100</definedName>
    <definedName name="solver_itr" localSheetId="15" hidden="1">100</definedName>
    <definedName name="solver_itr" localSheetId="16" hidden="1">100</definedName>
    <definedName name="solver_lhs1" localSheetId="14" hidden="1">'No short (solver 2nd approach)'!$B$11:$B$14</definedName>
    <definedName name="solver_lhs1" localSheetId="13" hidden="1">'No short (solver)'!$B$11:$B$14</definedName>
    <definedName name="solver_lhs1" localSheetId="11" hidden="1">'No short intro'!$B$12:$B$15</definedName>
    <definedName name="solver_lhs1" localSheetId="12" hidden="1">'No short intro (solver)'!$B$15</definedName>
    <definedName name="solver_lhs1" localSheetId="15" hidden="1">'No short vs general eff. front.'!$B$11:$B$14</definedName>
    <definedName name="solver_lhs1" localSheetId="16" hidden="1">'Other restrictions'!$B$11:$B$14</definedName>
    <definedName name="solver_lhs10" localSheetId="14" hidden="1">'No short (solver 2nd approach)'!$B$11:$B$14</definedName>
    <definedName name="solver_lhs10" localSheetId="15" hidden="1">'No short vs general eff. front.'!$B$17</definedName>
    <definedName name="solver_lhs10" localSheetId="16" hidden="1">'Other restrictions'!$B$11:$B$14</definedName>
    <definedName name="solver_lhs100" localSheetId="14" hidden="1">'No short (solver 2nd approach)'!$B$11:$B$14</definedName>
    <definedName name="solver_lhs100" localSheetId="15" hidden="1">'No short vs general eff. front.'!$B$17</definedName>
    <definedName name="solver_lhs100" localSheetId="16" hidden="1">'Other restrictions'!$B$11:$B$14</definedName>
    <definedName name="solver_lhs101" localSheetId="14" hidden="1">'No short (solver 2nd approach)'!$B$11:$B$14</definedName>
    <definedName name="solver_lhs101" localSheetId="15" hidden="1">'No short vs general eff. front.'!$B$17</definedName>
    <definedName name="solver_lhs101" localSheetId="16" hidden="1">'Other restrictions'!$B$11:$B$14</definedName>
    <definedName name="solver_lhs102" localSheetId="14" hidden="1">'No short (solver 2nd approach)'!$B$11:$B$14</definedName>
    <definedName name="solver_lhs102" localSheetId="15" hidden="1">'No short vs general eff. front.'!$B$17</definedName>
    <definedName name="solver_lhs102" localSheetId="16" hidden="1">'Other restrictions'!$B$11:$B$14</definedName>
    <definedName name="solver_lhs103" localSheetId="14" hidden="1">'No short (solver 2nd approach)'!$B$11:$B$14</definedName>
    <definedName name="solver_lhs103" localSheetId="15" hidden="1">'No short vs general eff. front.'!$B$17</definedName>
    <definedName name="solver_lhs103" localSheetId="16" hidden="1">'Other restrictions'!$B$11:$B$14</definedName>
    <definedName name="solver_lhs104" localSheetId="14" hidden="1">'No short (solver 2nd approach)'!$B$11:$B$14</definedName>
    <definedName name="solver_lhs104" localSheetId="15" hidden="1">'No short vs general eff. front.'!$B$17</definedName>
    <definedName name="solver_lhs104" localSheetId="16" hidden="1">'Other restrictions'!$B$11:$B$14</definedName>
    <definedName name="solver_lhs105" localSheetId="14" hidden="1">'No short (solver 2nd approach)'!$B$11:$B$14</definedName>
    <definedName name="solver_lhs105" localSheetId="15" hidden="1">'No short vs general eff. front.'!$B$17</definedName>
    <definedName name="solver_lhs105" localSheetId="16" hidden="1">'Other restrictions'!$B$11:$B$14</definedName>
    <definedName name="solver_lhs106" localSheetId="14" hidden="1">'No short (solver 2nd approach)'!$B$11:$B$14</definedName>
    <definedName name="solver_lhs106" localSheetId="15" hidden="1">'No short vs general eff. front.'!$B$17</definedName>
    <definedName name="solver_lhs106" localSheetId="16" hidden="1">'Other restrictions'!$B$11:$B$14</definedName>
    <definedName name="solver_lhs107" localSheetId="14" hidden="1">'No short (solver 2nd approach)'!$B$11:$B$14</definedName>
    <definedName name="solver_lhs107" localSheetId="15" hidden="1">'No short vs general eff. front.'!$B$17</definedName>
    <definedName name="solver_lhs107" localSheetId="16" hidden="1">'Other restrictions'!$B$11:$B$14</definedName>
    <definedName name="solver_lhs108" localSheetId="14" hidden="1">'No short (solver 2nd approach)'!$B$11:$B$14</definedName>
    <definedName name="solver_lhs108" localSheetId="15" hidden="1">'No short vs general eff. front.'!$B$17</definedName>
    <definedName name="solver_lhs108" localSheetId="16" hidden="1">'Other restrictions'!$B$11:$B$14</definedName>
    <definedName name="solver_lhs109" localSheetId="14" hidden="1">'No short (solver 2nd approach)'!$B$11:$B$14</definedName>
    <definedName name="solver_lhs109" localSheetId="15" hidden="1">'No short vs general eff. front.'!$B$17</definedName>
    <definedName name="solver_lhs109" localSheetId="16" hidden="1">'Other restrictions'!$B$11:$B$14</definedName>
    <definedName name="solver_lhs11" localSheetId="14" hidden="1">'No short (solver 2nd approach)'!$B$11:$B$14</definedName>
    <definedName name="solver_lhs11" localSheetId="15" hidden="1">'No short vs general eff. front.'!$B$17</definedName>
    <definedName name="solver_lhs11" localSheetId="16" hidden="1">'Other restrictions'!$B$11:$B$14</definedName>
    <definedName name="solver_lhs110" localSheetId="14" hidden="1">'No short (solver 2nd approach)'!$B$11:$B$14</definedName>
    <definedName name="solver_lhs110" localSheetId="15" hidden="1">'No short vs general eff. front.'!$B$17</definedName>
    <definedName name="solver_lhs110" localSheetId="16" hidden="1">'Other restrictions'!$B$11:$B$14</definedName>
    <definedName name="solver_lhs111" localSheetId="14" hidden="1">'No short (solver 2nd approach)'!$B$11:$B$14</definedName>
    <definedName name="solver_lhs111" localSheetId="15" hidden="1">'No short vs general eff. front.'!$B$17</definedName>
    <definedName name="solver_lhs111" localSheetId="16" hidden="1">'Other restrictions'!$B$11:$B$14</definedName>
    <definedName name="solver_lhs112" localSheetId="14" hidden="1">'No short (solver 2nd approach)'!$B$11:$B$14</definedName>
    <definedName name="solver_lhs112" localSheetId="15" hidden="1">'No short vs general eff. front.'!$B$17</definedName>
    <definedName name="solver_lhs112" localSheetId="16" hidden="1">'Other restrictions'!$B$11:$B$14</definedName>
    <definedName name="solver_lhs113" localSheetId="14" hidden="1">'No short (solver 2nd approach)'!$B$11:$B$14</definedName>
    <definedName name="solver_lhs113" localSheetId="15" hidden="1">'No short vs general eff. front.'!$B$17</definedName>
    <definedName name="solver_lhs113" localSheetId="16" hidden="1">'Other restrictions'!$B$11:$B$14</definedName>
    <definedName name="solver_lhs114" localSheetId="14" hidden="1">'No short (solver 2nd approach)'!$B$11:$B$14</definedName>
    <definedName name="solver_lhs114" localSheetId="15" hidden="1">'No short vs general eff. front.'!$B$17</definedName>
    <definedName name="solver_lhs114" localSheetId="16" hidden="1">'Other restrictions'!$B$11:$B$14</definedName>
    <definedName name="solver_lhs115" localSheetId="14" hidden="1">'No short (solver 2nd approach)'!$B$11:$B$14</definedName>
    <definedName name="solver_lhs115" localSheetId="15" hidden="1">'No short vs general eff. front.'!$B$17</definedName>
    <definedName name="solver_lhs115" localSheetId="16" hidden="1">'Other restrictions'!$B$11:$B$14</definedName>
    <definedName name="solver_lhs116" localSheetId="14" hidden="1">'No short (solver 2nd approach)'!$B$11:$B$14</definedName>
    <definedName name="solver_lhs116" localSheetId="15" hidden="1">'No short vs general eff. front.'!$B$17</definedName>
    <definedName name="solver_lhs116" localSheetId="16" hidden="1">'Other restrictions'!$B$11:$B$14</definedName>
    <definedName name="solver_lhs117" localSheetId="14" hidden="1">'No short (solver 2nd approach)'!$B$11:$B$14</definedName>
    <definedName name="solver_lhs117" localSheetId="15" hidden="1">'No short vs general eff. front.'!$B$17</definedName>
    <definedName name="solver_lhs117" localSheetId="16" hidden="1">'Other restrictions'!$B$11:$B$14</definedName>
    <definedName name="solver_lhs118" localSheetId="14" hidden="1">'No short (solver 2nd approach)'!$B$11:$B$14</definedName>
    <definedName name="solver_lhs118" localSheetId="15" hidden="1">'No short vs general eff. front.'!$B$17</definedName>
    <definedName name="solver_lhs118" localSheetId="16" hidden="1">'Other restrictions'!$B$11:$B$14</definedName>
    <definedName name="solver_lhs119" localSheetId="14" hidden="1">'No short (solver 2nd approach)'!$B$11:$B$14</definedName>
    <definedName name="solver_lhs119" localSheetId="15" hidden="1">'No short vs general eff. front.'!$B$17</definedName>
    <definedName name="solver_lhs119" localSheetId="16" hidden="1">'Other restrictions'!$B$11:$B$14</definedName>
    <definedName name="solver_lhs12" localSheetId="14" hidden="1">'No short (solver 2nd approach)'!$B$11:$B$14</definedName>
    <definedName name="solver_lhs12" localSheetId="15" hidden="1">'No short vs general eff. front.'!$B$17</definedName>
    <definedName name="solver_lhs12" localSheetId="16" hidden="1">'Other restrictions'!$B$11:$B$14</definedName>
    <definedName name="solver_lhs120" localSheetId="14" hidden="1">'No short (solver 2nd approach)'!$B$11:$B$14</definedName>
    <definedName name="solver_lhs120" localSheetId="15" hidden="1">'No short vs general eff. front.'!$B$17</definedName>
    <definedName name="solver_lhs120" localSheetId="16" hidden="1">'Other restrictions'!$B$11:$B$14</definedName>
    <definedName name="solver_lhs121" localSheetId="14" hidden="1">'No short (solver 2nd approach)'!$B$11:$B$14</definedName>
    <definedName name="solver_lhs121" localSheetId="15" hidden="1">'No short vs general eff. front.'!$B$17</definedName>
    <definedName name="solver_lhs121" localSheetId="16" hidden="1">'Other restrictions'!$B$11:$B$14</definedName>
    <definedName name="solver_lhs122" localSheetId="14" hidden="1">'No short (solver 2nd approach)'!$B$11:$B$14</definedName>
    <definedName name="solver_lhs122" localSheetId="15" hidden="1">'No short vs general eff. front.'!$B$17</definedName>
    <definedName name="solver_lhs122" localSheetId="16" hidden="1">'Other restrictions'!$B$11:$B$14</definedName>
    <definedName name="solver_lhs123" localSheetId="14" hidden="1">'No short (solver 2nd approach)'!$B$11:$B$14</definedName>
    <definedName name="solver_lhs123" localSheetId="15" hidden="1">'No short vs general eff. front.'!$B$17</definedName>
    <definedName name="solver_lhs123" localSheetId="16" hidden="1">'Other restrictions'!$B$11:$B$14</definedName>
    <definedName name="solver_lhs124" localSheetId="14" hidden="1">'No short (solver 2nd approach)'!$B$11:$B$14</definedName>
    <definedName name="solver_lhs124" localSheetId="15" hidden="1">'No short vs general eff. front.'!$B$15</definedName>
    <definedName name="solver_lhs124" localSheetId="16" hidden="1">'Other restrictions'!$B$11:$B$14</definedName>
    <definedName name="solver_lhs125" localSheetId="14" hidden="1">'No short (solver 2nd approach)'!$B$11:$B$14</definedName>
    <definedName name="solver_lhs125" localSheetId="15" hidden="1">'No short vs general eff. front.'!$B$11:$B$14</definedName>
    <definedName name="solver_lhs125" localSheetId="16" hidden="1">'Other restrictions'!$B$11:$B$14</definedName>
    <definedName name="solver_lhs126" localSheetId="14" hidden="1">'No short (solver 2nd approach)'!$B$11:$B$14</definedName>
    <definedName name="solver_lhs126" localSheetId="15" hidden="1">'No short vs general eff. front.'!$B$11:$B$14</definedName>
    <definedName name="solver_lhs126" localSheetId="16" hidden="1">'Other restrictions'!$B$11:$B$14</definedName>
    <definedName name="solver_lhs127" localSheetId="14" hidden="1">'No short (solver 2nd approach)'!$B$11:$B$14</definedName>
    <definedName name="solver_lhs127" localSheetId="15" hidden="1">'No short vs general eff. front.'!$B$11:$B$14</definedName>
    <definedName name="solver_lhs127" localSheetId="16" hidden="1">'Other restrictions'!$B$11:$B$14</definedName>
    <definedName name="solver_lhs128" localSheetId="14" hidden="1">'No short (solver 2nd approach)'!$B$11:$B$14</definedName>
    <definedName name="solver_lhs128" localSheetId="15" hidden="1">'No short vs general eff. front.'!$B$11:$B$14</definedName>
    <definedName name="solver_lhs128" localSheetId="16" hidden="1">'Other restrictions'!$B$11:$B$14</definedName>
    <definedName name="solver_lhs129" localSheetId="14" hidden="1">'No short (solver 2nd approach)'!$B$11:$B$14</definedName>
    <definedName name="solver_lhs129" localSheetId="15" hidden="1">'No short vs general eff. front.'!$B$11:$B$14</definedName>
    <definedName name="solver_lhs129" localSheetId="16" hidden="1">'Other restrictions'!$B$11:$B$14</definedName>
    <definedName name="solver_lhs13" localSheetId="14" hidden="1">'No short (solver 2nd approach)'!$B$11:$B$14</definedName>
    <definedName name="solver_lhs13" localSheetId="15" hidden="1">'No short vs general eff. front.'!$B$17</definedName>
    <definedName name="solver_lhs13" localSheetId="16" hidden="1">'Other restrictions'!$B$11:$B$14</definedName>
    <definedName name="solver_lhs130" localSheetId="14" hidden="1">'No short (solver 2nd approach)'!$B$11:$B$14</definedName>
    <definedName name="solver_lhs130" localSheetId="15" hidden="1">'No short vs general eff. front.'!$B$11:$B$14</definedName>
    <definedName name="solver_lhs130" localSheetId="16" hidden="1">'Other restrictions'!$B$11:$B$14</definedName>
    <definedName name="solver_lhs131" localSheetId="14" hidden="1">'No short (solver 2nd approach)'!$B$11:$B$14</definedName>
    <definedName name="solver_lhs131" localSheetId="15" hidden="1">'No short vs general eff. front.'!$B$11:$B$14</definedName>
    <definedName name="solver_lhs131" localSheetId="16" hidden="1">'Other restrictions'!$B$11:$B$14</definedName>
    <definedName name="solver_lhs132" localSheetId="14" hidden="1">'No short (solver 2nd approach)'!$B$11:$B$14</definedName>
    <definedName name="solver_lhs132" localSheetId="15" hidden="1">'No short vs general eff. front.'!$B$11:$B$14</definedName>
    <definedName name="solver_lhs132" localSheetId="16" hidden="1">'Other restrictions'!$B$11:$B$14</definedName>
    <definedName name="solver_lhs133" localSheetId="14" hidden="1">'No short (solver 2nd approach)'!$B$11:$B$14</definedName>
    <definedName name="solver_lhs133" localSheetId="15" hidden="1">'No short vs general eff. front.'!$B$11:$B$14</definedName>
    <definedName name="solver_lhs133" localSheetId="16" hidden="1">'Other restrictions'!$B$11:$B$14</definedName>
    <definedName name="solver_lhs134" localSheetId="14" hidden="1">'No short (solver 2nd approach)'!$B$11:$B$14</definedName>
    <definedName name="solver_lhs134" localSheetId="15" hidden="1">'No short vs general eff. front.'!$B$11:$B$14</definedName>
    <definedName name="solver_lhs134" localSheetId="16" hidden="1">'Other restrictions'!$B$11:$B$14</definedName>
    <definedName name="solver_lhs135" localSheetId="14" hidden="1">'No short (solver 2nd approach)'!$B$11:$B$14</definedName>
    <definedName name="solver_lhs135" localSheetId="15" hidden="1">'No short vs general eff. front.'!$B$11:$B$14</definedName>
    <definedName name="solver_lhs135" localSheetId="16" hidden="1">'Other restrictions'!$B$11:$B$14</definedName>
    <definedName name="solver_lhs136" localSheetId="14" hidden="1">'No short (solver 2nd approach)'!$B$11:$B$14</definedName>
    <definedName name="solver_lhs136" localSheetId="15" hidden="1">'No short vs general eff. front.'!$B$11:$B$14</definedName>
    <definedName name="solver_lhs136" localSheetId="16" hidden="1">'Other restrictions'!$B$11:$B$14</definedName>
    <definedName name="solver_lhs137" localSheetId="14" hidden="1">'No short (solver 2nd approach)'!$B$11:$B$14</definedName>
    <definedName name="solver_lhs137" localSheetId="15" hidden="1">'No short vs general eff. front.'!$B$11:$B$14</definedName>
    <definedName name="solver_lhs137" localSheetId="16" hidden="1">'Other restrictions'!$B$11:$B$14</definedName>
    <definedName name="solver_lhs138" localSheetId="14" hidden="1">'No short (solver 2nd approach)'!$B$11:$B$14</definedName>
    <definedName name="solver_lhs138" localSheetId="15" hidden="1">'No short vs general eff. front.'!$B$11:$B$14</definedName>
    <definedName name="solver_lhs138" localSheetId="16" hidden="1">'Other restrictions'!$B$11:$B$14</definedName>
    <definedName name="solver_lhs139" localSheetId="14" hidden="1">'No short (solver 2nd approach)'!$B$11:$B$14</definedName>
    <definedName name="solver_lhs139" localSheetId="15" hidden="1">'No short vs general eff. front.'!$B$11:$B$14</definedName>
    <definedName name="solver_lhs139" localSheetId="16" hidden="1">'Other restrictions'!$B$11:$B$14</definedName>
    <definedName name="solver_lhs14" localSheetId="14" hidden="1">'No short (solver 2nd approach)'!$B$11:$B$14</definedName>
    <definedName name="solver_lhs14" localSheetId="15" hidden="1">'No short vs general eff. front.'!$B$17</definedName>
    <definedName name="solver_lhs14" localSheetId="16" hidden="1">'Other restrictions'!$B$11:$B$14</definedName>
    <definedName name="solver_lhs140" localSheetId="14" hidden="1">'No short (solver 2nd approach)'!$B$11:$B$14</definedName>
    <definedName name="solver_lhs140" localSheetId="15" hidden="1">'No short vs general eff. front.'!$B$11:$B$14</definedName>
    <definedName name="solver_lhs140" localSheetId="16" hidden="1">'Other restrictions'!$B$11:$B$14</definedName>
    <definedName name="solver_lhs141" localSheetId="14" hidden="1">'No short (solver 2nd approach)'!$B$11:$B$14</definedName>
    <definedName name="solver_lhs141" localSheetId="15" hidden="1">'No short vs general eff. front.'!$B$11:$B$14</definedName>
    <definedName name="solver_lhs141" localSheetId="16" hidden="1">'Other restrictions'!$B$11:$B$14</definedName>
    <definedName name="solver_lhs142" localSheetId="14" hidden="1">'No short (solver 2nd approach)'!$B$11:$B$14</definedName>
    <definedName name="solver_lhs142" localSheetId="15" hidden="1">'No short vs general eff. front.'!$B$11:$B$14</definedName>
    <definedName name="solver_lhs142" localSheetId="16" hidden="1">'Other restrictions'!$B$11:$B$14</definedName>
    <definedName name="solver_lhs143" localSheetId="14" hidden="1">'No short (solver 2nd approach)'!$B$11:$B$14</definedName>
    <definedName name="solver_lhs143" localSheetId="15" hidden="1">'No short vs general eff. front.'!$B$11:$B$14</definedName>
    <definedName name="solver_lhs143" localSheetId="16" hidden="1">'Other restrictions'!$B$11:$B$14</definedName>
    <definedName name="solver_lhs144" localSheetId="14" hidden="1">'No short (solver 2nd approach)'!$B$11:$B$14</definedName>
    <definedName name="solver_lhs144" localSheetId="15" hidden="1">'No short vs general eff. front.'!$B$11:$B$14</definedName>
    <definedName name="solver_lhs144" localSheetId="16" hidden="1">'Other restrictions'!$B$11:$B$14</definedName>
    <definedName name="solver_lhs145" localSheetId="14" hidden="1">'No short (solver 2nd approach)'!$B$11:$B$14</definedName>
    <definedName name="solver_lhs145" localSheetId="15" hidden="1">'No short vs general eff. front.'!$B$11:$B$14</definedName>
    <definedName name="solver_lhs145" localSheetId="16" hidden="1">'Other restrictions'!$B$11:$B$14</definedName>
    <definedName name="solver_lhs146" localSheetId="14" hidden="1">'No short (solver 2nd approach)'!$B$11:$B$14</definedName>
    <definedName name="solver_lhs146" localSheetId="15" hidden="1">'No short vs general eff. front.'!$B$11:$B$14</definedName>
    <definedName name="solver_lhs146" localSheetId="16" hidden="1">'Other restrictions'!$B$11:$B$14</definedName>
    <definedName name="solver_lhs147" localSheetId="14" hidden="1">'No short (solver 2nd approach)'!$B$11:$B$14</definedName>
    <definedName name="solver_lhs147" localSheetId="15" hidden="1">'No short vs general eff. front.'!$B$11:$B$14</definedName>
    <definedName name="solver_lhs147" localSheetId="16" hidden="1">'Other restrictions'!$B$11:$B$14</definedName>
    <definedName name="solver_lhs148" localSheetId="14" hidden="1">'No short (solver 2nd approach)'!$B$11:$B$14</definedName>
    <definedName name="solver_lhs148" localSheetId="15" hidden="1">'No short vs general eff. front.'!$B$11:$B$14</definedName>
    <definedName name="solver_lhs148" localSheetId="16" hidden="1">'Other restrictions'!$B$11:$B$14</definedName>
    <definedName name="solver_lhs149" localSheetId="14" hidden="1">'No short (solver 2nd approach)'!$B$11:$B$14</definedName>
    <definedName name="solver_lhs149" localSheetId="15" hidden="1">'No short vs general eff. front.'!$B$11:$B$14</definedName>
    <definedName name="solver_lhs149" localSheetId="16" hidden="1">'Other restrictions'!$B$11:$B$14</definedName>
    <definedName name="solver_lhs15" localSheetId="14" hidden="1">'No short (solver 2nd approach)'!$B$11:$B$14</definedName>
    <definedName name="solver_lhs15" localSheetId="15" hidden="1">'No short vs general eff. front.'!$B$17</definedName>
    <definedName name="solver_lhs15" localSheetId="16" hidden="1">'Other restrictions'!$B$11:$B$14</definedName>
    <definedName name="solver_lhs150" localSheetId="14" hidden="1">'No short (solver 2nd approach)'!$B$11:$B$14</definedName>
    <definedName name="solver_lhs150" localSheetId="15" hidden="1">'No short vs general eff. front.'!$B$11:$B$14</definedName>
    <definedName name="solver_lhs150" localSheetId="16" hidden="1">'Other restrictions'!$B$11:$B$14</definedName>
    <definedName name="solver_lhs151" localSheetId="14" hidden="1">'No short (solver 2nd approach)'!$B$11:$B$14</definedName>
    <definedName name="solver_lhs151" localSheetId="15" hidden="1">'No short vs general eff. front.'!$B$11:$B$14</definedName>
    <definedName name="solver_lhs151" localSheetId="16" hidden="1">'Other restrictions'!$B$11:$B$14</definedName>
    <definedName name="solver_lhs152" localSheetId="14" hidden="1">'No short (solver 2nd approach)'!$B$11:$B$14</definedName>
    <definedName name="solver_lhs152" localSheetId="15" hidden="1">'No short vs general eff. front.'!$B$11:$B$14</definedName>
    <definedName name="solver_lhs152" localSheetId="16" hidden="1">'Other restrictions'!$B$11:$B$14</definedName>
    <definedName name="solver_lhs153" localSheetId="14" hidden="1">'No short (solver 2nd approach)'!$B$11:$B$14</definedName>
    <definedName name="solver_lhs153" localSheetId="15" hidden="1">'No short vs general eff. front.'!$B$11:$B$14</definedName>
    <definedName name="solver_lhs153" localSheetId="16" hidden="1">'Other restrictions'!$B$11:$B$14</definedName>
    <definedName name="solver_lhs154" localSheetId="14" hidden="1">'No short (solver 2nd approach)'!$B$11:$B$14</definedName>
    <definedName name="solver_lhs154" localSheetId="15" hidden="1">'No short vs general eff. front.'!$B$11:$B$14</definedName>
    <definedName name="solver_lhs154" localSheetId="16" hidden="1">'Other restrictions'!$B$11:$B$14</definedName>
    <definedName name="solver_lhs155" localSheetId="14" hidden="1">'No short (solver 2nd approach)'!$B$11:$B$14</definedName>
    <definedName name="solver_lhs155" localSheetId="15" hidden="1">'No short vs general eff. front.'!$B$11:$B$14</definedName>
    <definedName name="solver_lhs155" localSheetId="16" hidden="1">'Other restrictions'!$B$11:$B$14</definedName>
    <definedName name="solver_lhs156" localSheetId="14" hidden="1">'No short (solver 2nd approach)'!$B$11:$B$14</definedName>
    <definedName name="solver_lhs156" localSheetId="15" hidden="1">'No short vs general eff. front.'!$B$11:$B$14</definedName>
    <definedName name="solver_lhs156" localSheetId="16" hidden="1">'Other restrictions'!$B$11:$B$14</definedName>
    <definedName name="solver_lhs157" localSheetId="14" hidden="1">'No short (solver 2nd approach)'!$B$11:$B$14</definedName>
    <definedName name="solver_lhs157" localSheetId="15" hidden="1">'No short vs general eff. front.'!$B$11:$B$14</definedName>
    <definedName name="solver_lhs157" localSheetId="16" hidden="1">'Other restrictions'!$B$11:$B$14</definedName>
    <definedName name="solver_lhs158" localSheetId="14" hidden="1">'No short (solver 2nd approach)'!$B$11:$B$14</definedName>
    <definedName name="solver_lhs158" localSheetId="15" hidden="1">'No short vs general eff. front.'!$B$11:$B$14</definedName>
    <definedName name="solver_lhs158" localSheetId="16" hidden="1">'Other restrictions'!$B$11:$B$14</definedName>
    <definedName name="solver_lhs159" localSheetId="14" hidden="1">'No short (solver 2nd approach)'!$B$11:$B$14</definedName>
    <definedName name="solver_lhs159" localSheetId="15" hidden="1">'No short vs general eff. front.'!$B$11:$B$14</definedName>
    <definedName name="solver_lhs159" localSheetId="16" hidden="1">'Other restrictions'!$B$11:$B$14</definedName>
    <definedName name="solver_lhs16" localSheetId="14" hidden="1">'No short (solver 2nd approach)'!$B$11:$B$14</definedName>
    <definedName name="solver_lhs16" localSheetId="15" hidden="1">'No short vs general eff. front.'!$B$17</definedName>
    <definedName name="solver_lhs16" localSheetId="16" hidden="1">'Other restrictions'!$B$11:$B$14</definedName>
    <definedName name="solver_lhs160" localSheetId="14" hidden="1">'No short (solver 2nd approach)'!$B$11:$B$14</definedName>
    <definedName name="solver_lhs160" localSheetId="15" hidden="1">'No short vs general eff. front.'!$B$11:$B$14</definedName>
    <definedName name="solver_lhs160" localSheetId="16" hidden="1">'Other restrictions'!$B$11:$B$14</definedName>
    <definedName name="solver_lhs161" localSheetId="14" hidden="1">'No short (solver 2nd approach)'!$B$11:$B$14</definedName>
    <definedName name="solver_lhs161" localSheetId="15" hidden="1">'No short vs general eff. front.'!$B$11:$B$14</definedName>
    <definedName name="solver_lhs161" localSheetId="16" hidden="1">'Other restrictions'!$B$11:$B$14</definedName>
    <definedName name="solver_lhs162" localSheetId="14" hidden="1">'No short (solver 2nd approach)'!$B$11:$B$14</definedName>
    <definedName name="solver_lhs162" localSheetId="15" hidden="1">'No short vs general eff. front.'!$B$11:$B$14</definedName>
    <definedName name="solver_lhs162" localSheetId="16" hidden="1">'Other restrictions'!$B$11:$B$14</definedName>
    <definedName name="solver_lhs163" localSheetId="14" hidden="1">'No short (solver 2nd approach)'!$B$11:$B$14</definedName>
    <definedName name="solver_lhs163" localSheetId="15" hidden="1">'No short vs general eff. front.'!$B$11:$B$14</definedName>
    <definedName name="solver_lhs163" localSheetId="16" hidden="1">'Other restrictions'!$B$11:$B$14</definedName>
    <definedName name="solver_lhs164" localSheetId="14" hidden="1">'No short (solver 2nd approach)'!$B$11:$B$14</definedName>
    <definedName name="solver_lhs164" localSheetId="15" hidden="1">'No short vs general eff. front.'!$B$11:$B$14</definedName>
    <definedName name="solver_lhs164" localSheetId="16" hidden="1">'Other restrictions'!$B$11:$B$14</definedName>
    <definedName name="solver_lhs165" localSheetId="14" hidden="1">'No short (solver 2nd approach)'!$B$11:$B$14</definedName>
    <definedName name="solver_lhs165" localSheetId="15" hidden="1">'No short vs general eff. front.'!$B$11:$B$14</definedName>
    <definedName name="solver_lhs165" localSheetId="16" hidden="1">'Other restrictions'!$B$11:$B$14</definedName>
    <definedName name="solver_lhs166" localSheetId="14" hidden="1">'No short (solver 2nd approach)'!$B$11:$B$14</definedName>
    <definedName name="solver_lhs166" localSheetId="15" hidden="1">'No short vs general eff. front.'!$B$11:$B$14</definedName>
    <definedName name="solver_lhs166" localSheetId="16" hidden="1">'Other restrictions'!$B$11:$B$14</definedName>
    <definedName name="solver_lhs167" localSheetId="14" hidden="1">'No short (solver 2nd approach)'!$B$11:$B$14</definedName>
    <definedName name="solver_lhs167" localSheetId="15" hidden="1">'No short vs general eff. front.'!$B$11:$B$14</definedName>
    <definedName name="solver_lhs167" localSheetId="16" hidden="1">'Other restrictions'!$B$11:$B$14</definedName>
    <definedName name="solver_lhs168" localSheetId="14" hidden="1">'No short (solver 2nd approach)'!$B$11:$B$14</definedName>
    <definedName name="solver_lhs168" localSheetId="15" hidden="1">'No short vs general eff. front.'!$B$11:$B$14</definedName>
    <definedName name="solver_lhs168" localSheetId="16" hidden="1">'Other restrictions'!$B$11:$B$14</definedName>
    <definedName name="solver_lhs169" localSheetId="14" hidden="1">'No short (solver 2nd approach)'!$B$11:$B$14</definedName>
    <definedName name="solver_lhs169" localSheetId="15" hidden="1">'No short vs general eff. front.'!$B$11:$B$14</definedName>
    <definedName name="solver_lhs169" localSheetId="16" hidden="1">'Other restrictions'!$B$11:$B$14</definedName>
    <definedName name="solver_lhs17" localSheetId="14" hidden="1">'No short (solver 2nd approach)'!$B$11:$B$14</definedName>
    <definedName name="solver_lhs17" localSheetId="15" hidden="1">'No short vs general eff. front.'!$B$17</definedName>
    <definedName name="solver_lhs17" localSheetId="16" hidden="1">'Other restrictions'!$B$11:$B$14</definedName>
    <definedName name="solver_lhs170" localSheetId="14" hidden="1">'No short (solver 2nd approach)'!$B$11:$B$14</definedName>
    <definedName name="solver_lhs170" localSheetId="15" hidden="1">'No short vs general eff. front.'!$B$11:$B$14</definedName>
    <definedName name="solver_lhs170" localSheetId="16" hidden="1">'Other restrictions'!$B$11:$B$14</definedName>
    <definedName name="solver_lhs171" localSheetId="14" hidden="1">'No short (solver 2nd approach)'!$B$11:$B$14</definedName>
    <definedName name="solver_lhs171" localSheetId="15" hidden="1">'No short vs general eff. front.'!$B$11:$B$14</definedName>
    <definedName name="solver_lhs171" localSheetId="16" hidden="1">'Other restrictions'!$B$11:$B$14</definedName>
    <definedName name="solver_lhs172" localSheetId="14" hidden="1">'No short (solver 2nd approach)'!$B$11:$B$14</definedName>
    <definedName name="solver_lhs172" localSheetId="15" hidden="1">'No short vs general eff. front.'!$B$11:$B$14</definedName>
    <definedName name="solver_lhs172" localSheetId="16" hidden="1">'Other restrictions'!$B$11:$B$14</definedName>
    <definedName name="solver_lhs173" localSheetId="14" hidden="1">'No short (solver 2nd approach)'!$B$11:$B$14</definedName>
    <definedName name="solver_lhs173" localSheetId="15" hidden="1">'No short vs general eff. front.'!$B$11:$B$14</definedName>
    <definedName name="solver_lhs173" localSheetId="16" hidden="1">'Other restrictions'!$B$11:$B$14</definedName>
    <definedName name="solver_lhs174" localSheetId="14" hidden="1">'No short (solver 2nd approach)'!$B$11:$B$14</definedName>
    <definedName name="solver_lhs174" localSheetId="15" hidden="1">'No short vs general eff. front.'!$B$11:$B$14</definedName>
    <definedName name="solver_lhs174" localSheetId="16" hidden="1">'Other restrictions'!$B$11:$B$14</definedName>
    <definedName name="solver_lhs175" localSheetId="14" hidden="1">'No short (solver 2nd approach)'!$B$11:$B$14</definedName>
    <definedName name="solver_lhs175" localSheetId="15" hidden="1">'No short vs general eff. front.'!$B$11:$B$14</definedName>
    <definedName name="solver_lhs175" localSheetId="16" hidden="1">'Other restrictions'!$B$11:$B$14</definedName>
    <definedName name="solver_lhs176" localSheetId="14" hidden="1">'No short (solver 2nd approach)'!$B$11:$B$14</definedName>
    <definedName name="solver_lhs176" localSheetId="15" hidden="1">'No short vs general eff. front.'!$B$11:$B$14</definedName>
    <definedName name="solver_lhs176" localSheetId="16" hidden="1">'Other restrictions'!$B$11:$B$14</definedName>
    <definedName name="solver_lhs177" localSheetId="14" hidden="1">'No short (solver 2nd approach)'!$B$11:$B$14</definedName>
    <definedName name="solver_lhs177" localSheetId="15" hidden="1">'No short vs general eff. front.'!$B$11:$B$14</definedName>
    <definedName name="solver_lhs177" localSheetId="16" hidden="1">'Other restrictions'!$B$11:$B$14</definedName>
    <definedName name="solver_lhs178" localSheetId="14" hidden="1">'No short (solver 2nd approach)'!$B$11:$B$14</definedName>
    <definedName name="solver_lhs178" localSheetId="15" hidden="1">'No short vs general eff. front.'!$B$11:$B$14</definedName>
    <definedName name="solver_lhs178" localSheetId="16" hidden="1">'Other restrictions'!$B$11:$B$14</definedName>
    <definedName name="solver_lhs179" localSheetId="14" hidden="1">'No short (solver 2nd approach)'!$B$11:$B$14</definedName>
    <definedName name="solver_lhs179" localSheetId="15" hidden="1">'No short vs general eff. front.'!$B$11:$B$14</definedName>
    <definedName name="solver_lhs179" localSheetId="16" hidden="1">'Other restrictions'!$B$11:$B$14</definedName>
    <definedName name="solver_lhs18" localSheetId="14" hidden="1">'No short (solver 2nd approach)'!$B$11:$B$14</definedName>
    <definedName name="solver_lhs18" localSheetId="15" hidden="1">'No short vs general eff. front.'!$B$17</definedName>
    <definedName name="solver_lhs18" localSheetId="16" hidden="1">'Other restrictions'!$B$11:$B$14</definedName>
    <definedName name="solver_lhs180" localSheetId="14" hidden="1">'No short (solver 2nd approach)'!$B$11:$B$14</definedName>
    <definedName name="solver_lhs180" localSheetId="15" hidden="1">'No short vs general eff. front.'!$B$11:$B$14</definedName>
    <definedName name="solver_lhs180" localSheetId="16" hidden="1">'Other restrictions'!$B$11:$B$14</definedName>
    <definedName name="solver_lhs181" localSheetId="14" hidden="1">'No short (solver 2nd approach)'!$B$11:$B$14</definedName>
    <definedName name="solver_lhs181" localSheetId="15" hidden="1">'No short vs general eff. front.'!$B$11:$B$14</definedName>
    <definedName name="solver_lhs181" localSheetId="16" hidden="1">'Other restrictions'!$B$11:$B$14</definedName>
    <definedName name="solver_lhs182" localSheetId="14" hidden="1">'No short (solver 2nd approach)'!$B$11:$B$14</definedName>
    <definedName name="solver_lhs182" localSheetId="15" hidden="1">'No short vs general eff. front.'!$B$11:$B$14</definedName>
    <definedName name="solver_lhs182" localSheetId="16" hidden="1">'Other restrictions'!$B$11:$B$14</definedName>
    <definedName name="solver_lhs183" localSheetId="14" hidden="1">'No short (solver 2nd approach)'!$B$11:$B$14</definedName>
    <definedName name="solver_lhs183" localSheetId="15" hidden="1">'No short vs general eff. front.'!$B$11:$B$14</definedName>
    <definedName name="solver_lhs183" localSheetId="16" hidden="1">'Other restrictions'!$B$11:$B$14</definedName>
    <definedName name="solver_lhs184" localSheetId="14" hidden="1">'No short (solver 2nd approach)'!$B$11:$B$14</definedName>
    <definedName name="solver_lhs184" localSheetId="15" hidden="1">'No short vs general eff. front.'!$B$11:$B$14</definedName>
    <definedName name="solver_lhs184" localSheetId="16" hidden="1">'Other restrictions'!$B$11:$B$14</definedName>
    <definedName name="solver_lhs185" localSheetId="14" hidden="1">'No short (solver 2nd approach)'!$B$11:$B$14</definedName>
    <definedName name="solver_lhs185" localSheetId="15" hidden="1">'No short vs general eff. front.'!$B$11:$B$14</definedName>
    <definedName name="solver_lhs185" localSheetId="16" hidden="1">'Other restrictions'!$B$11:$B$14</definedName>
    <definedName name="solver_lhs186" localSheetId="14" hidden="1">'No short (solver 2nd approach)'!$B$11:$B$14</definedName>
    <definedName name="solver_lhs186" localSheetId="15" hidden="1">'No short vs general eff. front.'!$B$11:$B$14</definedName>
    <definedName name="solver_lhs186" localSheetId="16" hidden="1">'Other restrictions'!$B$11:$B$14</definedName>
    <definedName name="solver_lhs187" localSheetId="14" hidden="1">'No short (solver 2nd approach)'!$B$11:$B$14</definedName>
    <definedName name="solver_lhs187" localSheetId="15" hidden="1">'No short vs general eff. front.'!$B$11:$B$14</definedName>
    <definedName name="solver_lhs187" localSheetId="16" hidden="1">'Other restrictions'!$B$11:$B$14</definedName>
    <definedName name="solver_lhs188" localSheetId="14" hidden="1">'No short (solver 2nd approach)'!$B$11:$B$14</definedName>
    <definedName name="solver_lhs188" localSheetId="15" hidden="1">'No short vs general eff. front.'!$B$11:$B$14</definedName>
    <definedName name="solver_lhs188" localSheetId="16" hidden="1">'Other restrictions'!$B$11:$B$14</definedName>
    <definedName name="solver_lhs189" localSheetId="14" hidden="1">'No short (solver 2nd approach)'!$B$11:$B$14</definedName>
    <definedName name="solver_lhs189" localSheetId="15" hidden="1">'No short vs general eff. front.'!$B$11:$B$14</definedName>
    <definedName name="solver_lhs189" localSheetId="16" hidden="1">'Other restrictions'!$B$11:$B$14</definedName>
    <definedName name="solver_lhs19" localSheetId="14" hidden="1">'No short (solver 2nd approach)'!$B$11:$B$14</definedName>
    <definedName name="solver_lhs19" localSheetId="15" hidden="1">'No short vs general eff. front.'!$B$17</definedName>
    <definedName name="solver_lhs19" localSheetId="16" hidden="1">'Other restrictions'!$B$11:$B$14</definedName>
    <definedName name="solver_lhs190" localSheetId="14" hidden="1">'No short (solver 2nd approach)'!$B$11:$B$14</definedName>
    <definedName name="solver_lhs190" localSheetId="15" hidden="1">'No short vs general eff. front.'!$B$11:$B$14</definedName>
    <definedName name="solver_lhs190" localSheetId="16" hidden="1">'Other restrictions'!$B$11:$B$14</definedName>
    <definedName name="solver_lhs191" localSheetId="14" hidden="1">'No short (solver 2nd approach)'!$B$11:$B$14</definedName>
    <definedName name="solver_lhs191" localSheetId="15" hidden="1">'No short vs general eff. front.'!$B$11:$B$14</definedName>
    <definedName name="solver_lhs191" localSheetId="16" hidden="1">'Other restrictions'!$B$11:$B$14</definedName>
    <definedName name="solver_lhs192" localSheetId="14" hidden="1">'No short (solver 2nd approach)'!$B$11:$B$14</definedName>
    <definedName name="solver_lhs192" localSheetId="15" hidden="1">'No short vs general eff. front.'!$B$11:$B$14</definedName>
    <definedName name="solver_lhs192" localSheetId="16" hidden="1">'Other restrictions'!$B$11:$B$14</definedName>
    <definedName name="solver_lhs193" localSheetId="14" hidden="1">'No short (solver 2nd approach)'!$B$11:$B$14</definedName>
    <definedName name="solver_lhs193" localSheetId="15" hidden="1">'No short vs general eff. front.'!$B$11:$B$14</definedName>
    <definedName name="solver_lhs193" localSheetId="16" hidden="1">'Other restrictions'!$B$11:$B$14</definedName>
    <definedName name="solver_lhs194" localSheetId="14" hidden="1">'No short (solver 2nd approach)'!$B$11:$B$14</definedName>
    <definedName name="solver_lhs194" localSheetId="15" hidden="1">'No short vs general eff. front.'!$B$11:$B$14</definedName>
    <definedName name="solver_lhs194" localSheetId="16" hidden="1">'Other restrictions'!$B$11:$B$14</definedName>
    <definedName name="solver_lhs195" localSheetId="14" hidden="1">'No short (solver 2nd approach)'!$B$11:$B$14</definedName>
    <definedName name="solver_lhs195" localSheetId="15" hidden="1">'No short vs general eff. front.'!$B$11:$B$14</definedName>
    <definedName name="solver_lhs195" localSheetId="16" hidden="1">'Other restrictions'!$B$11:$B$14</definedName>
    <definedName name="solver_lhs196" localSheetId="14" hidden="1">'No short (solver 2nd approach)'!$B$11:$B$14</definedName>
    <definedName name="solver_lhs196" localSheetId="15" hidden="1">'No short vs general eff. front.'!$B$11:$B$14</definedName>
    <definedName name="solver_lhs196" localSheetId="16" hidden="1">'Other restrictions'!$B$11:$B$14</definedName>
    <definedName name="solver_lhs197" localSheetId="14" hidden="1">'No short (solver 2nd approach)'!$B$11:$B$14</definedName>
    <definedName name="solver_lhs197" localSheetId="15" hidden="1">'No short vs general eff. front.'!$B$11:$B$14</definedName>
    <definedName name="solver_lhs197" localSheetId="16" hidden="1">'Other restrictions'!$B$11:$B$14</definedName>
    <definedName name="solver_lhs198" localSheetId="14" hidden="1">'No short (solver 2nd approach)'!$B$11:$B$14</definedName>
    <definedName name="solver_lhs198" localSheetId="15" hidden="1">'No short vs general eff. front.'!$B$11:$B$14</definedName>
    <definedName name="solver_lhs198" localSheetId="16" hidden="1">'Other restrictions'!$B$11:$B$14</definedName>
    <definedName name="solver_lhs199" localSheetId="14" hidden="1">'No short (solver 2nd approach)'!$B$11:$B$14</definedName>
    <definedName name="solver_lhs199" localSheetId="15" hidden="1">'No short vs general eff. front.'!$B$11:$B$14</definedName>
    <definedName name="solver_lhs199" localSheetId="16" hidden="1">'Other restrictions'!$B$11:$B$14</definedName>
    <definedName name="solver_lhs2" localSheetId="14" hidden="1">'No short (solver 2nd approach)'!$B$15</definedName>
    <definedName name="solver_lhs2" localSheetId="13" hidden="1">'No short (solver)'!$B$15</definedName>
    <definedName name="solver_lhs2" localSheetId="11" hidden="1">'No short intro'!#REF!</definedName>
    <definedName name="solver_lhs2" localSheetId="12" hidden="1">'No short intro (solver)'!$B$15</definedName>
    <definedName name="solver_lhs2" localSheetId="15" hidden="1">'No short vs general eff. front.'!$B$17</definedName>
    <definedName name="solver_lhs2" localSheetId="16" hidden="1">'Other restrictions'!$B$11:$B$14</definedName>
    <definedName name="solver_lhs20" localSheetId="14" hidden="1">'No short (solver 2nd approach)'!$B$11:$B$14</definedName>
    <definedName name="solver_lhs20" localSheetId="15" hidden="1">'No short vs general eff. front.'!$B$17</definedName>
    <definedName name="solver_lhs20" localSheetId="16" hidden="1">'Other restrictions'!$B$11:$B$14</definedName>
    <definedName name="solver_lhs200" localSheetId="14" hidden="1">'No short (solver 2nd approach)'!$B$11:$B$14</definedName>
    <definedName name="solver_lhs200" localSheetId="15" hidden="1">'No short vs general eff. front.'!$B$11:$B$14</definedName>
    <definedName name="solver_lhs200" localSheetId="16" hidden="1">'Other restrictions'!$B$11:$B$14</definedName>
    <definedName name="solver_lhs201" localSheetId="14" hidden="1">'No short (solver 2nd approach)'!$B$11:$B$14</definedName>
    <definedName name="solver_lhs201" localSheetId="15" hidden="1">'No short vs general eff. front.'!$B$11:$B$14</definedName>
    <definedName name="solver_lhs201" localSheetId="16" hidden="1">'Other restrictions'!$B$11:$B$14</definedName>
    <definedName name="solver_lhs202" localSheetId="14" hidden="1">'No short (solver 2nd approach)'!$B$11:$B$14</definedName>
    <definedName name="solver_lhs202" localSheetId="15" hidden="1">'No short vs general eff. front.'!$B$11:$B$14</definedName>
    <definedName name="solver_lhs202" localSheetId="16" hidden="1">'Other restrictions'!$B$11:$B$14</definedName>
    <definedName name="solver_lhs203" localSheetId="14" hidden="1">'No short (solver 2nd approach)'!$B$11:$B$14</definedName>
    <definedName name="solver_lhs203" localSheetId="15" hidden="1">'No short vs general eff. front.'!$B$11:$B$14</definedName>
    <definedName name="solver_lhs203" localSheetId="16" hidden="1">'Other restrictions'!$B$11:$B$14</definedName>
    <definedName name="solver_lhs204" localSheetId="14" hidden="1">'No short (solver 2nd approach)'!$B$11:$B$14</definedName>
    <definedName name="solver_lhs204" localSheetId="15" hidden="1">'No short vs general eff. front.'!$B$11:$B$14</definedName>
    <definedName name="solver_lhs204" localSheetId="16" hidden="1">'Other restrictions'!$B$11:$B$14</definedName>
    <definedName name="solver_lhs205" localSheetId="14" hidden="1">'No short (solver 2nd approach)'!$B$11:$B$14</definedName>
    <definedName name="solver_lhs205" localSheetId="15" hidden="1">'No short vs general eff. front.'!$B$11:$B$14</definedName>
    <definedName name="solver_lhs205" localSheetId="16" hidden="1">'Other restrictions'!$B$11:$B$14</definedName>
    <definedName name="solver_lhs206" localSheetId="14" hidden="1">'No short (solver 2nd approach)'!$B$11:$B$14</definedName>
    <definedName name="solver_lhs206" localSheetId="15" hidden="1">'No short vs general eff. front.'!$B$11:$B$14</definedName>
    <definedName name="solver_lhs206" localSheetId="16" hidden="1">'Other restrictions'!$B$11:$B$14</definedName>
    <definedName name="solver_lhs207" localSheetId="14" hidden="1">'No short (solver 2nd approach)'!$B$11:$B$14</definedName>
    <definedName name="solver_lhs207" localSheetId="15" hidden="1">'No short vs general eff. front.'!$B$11:$B$14</definedName>
    <definedName name="solver_lhs207" localSheetId="16" hidden="1">'Other restrictions'!$B$11:$B$14</definedName>
    <definedName name="solver_lhs208" localSheetId="14" hidden="1">'No short (solver 2nd approach)'!$B$11:$B$14</definedName>
    <definedName name="solver_lhs208" localSheetId="15" hidden="1">'No short vs general eff. front.'!$B$11:$B$14</definedName>
    <definedName name="solver_lhs208" localSheetId="16" hidden="1">'Other restrictions'!$B$11:$B$14</definedName>
    <definedName name="solver_lhs209" localSheetId="14" hidden="1">'No short (solver 2nd approach)'!$B$11:$B$14</definedName>
    <definedName name="solver_lhs209" localSheetId="15" hidden="1">'No short vs general eff. front.'!$B$11:$B$14</definedName>
    <definedName name="solver_lhs209" localSheetId="16" hidden="1">'Other restrictions'!$B$11:$B$14</definedName>
    <definedName name="solver_lhs21" localSheetId="14" hidden="1">'No short (solver 2nd approach)'!$B$11:$B$14</definedName>
    <definedName name="solver_lhs21" localSheetId="15" hidden="1">'No short vs general eff. front.'!$B$17</definedName>
    <definedName name="solver_lhs21" localSheetId="16" hidden="1">'Other restrictions'!$B$11:$B$14</definedName>
    <definedName name="solver_lhs210" localSheetId="14" hidden="1">'No short (solver 2nd approach)'!$B$11:$B$14</definedName>
    <definedName name="solver_lhs210" localSheetId="15" hidden="1">'No short vs general eff. front.'!$B$11:$B$14</definedName>
    <definedName name="solver_lhs210" localSheetId="16" hidden="1">'Other restrictions'!$B$11:$B$14</definedName>
    <definedName name="solver_lhs211" localSheetId="14" hidden="1">'No short (solver 2nd approach)'!$B$11:$B$14</definedName>
    <definedName name="solver_lhs211" localSheetId="15" hidden="1">'No short vs general eff. front.'!$B$11:$B$14</definedName>
    <definedName name="solver_lhs211" localSheetId="16" hidden="1">'Other restrictions'!$B$11:$B$14</definedName>
    <definedName name="solver_lhs212" localSheetId="14" hidden="1">'No short (solver 2nd approach)'!$B$11:$B$14</definedName>
    <definedName name="solver_lhs212" localSheetId="15" hidden="1">'No short vs general eff. front.'!$B$11:$B$14</definedName>
    <definedName name="solver_lhs212" localSheetId="16" hidden="1">'Other restrictions'!$B$11:$B$14</definedName>
    <definedName name="solver_lhs213" localSheetId="14" hidden="1">'No short (solver 2nd approach)'!$B$11:$B$14</definedName>
    <definedName name="solver_lhs213" localSheetId="15" hidden="1">'No short vs general eff. front.'!$B$11:$B$14</definedName>
    <definedName name="solver_lhs213" localSheetId="16" hidden="1">'Other restrictions'!$B$11:$B$14</definedName>
    <definedName name="solver_lhs214" localSheetId="14" hidden="1">'No short (solver 2nd approach)'!$B$11:$B$14</definedName>
    <definedName name="solver_lhs214" localSheetId="15" hidden="1">'No short vs general eff. front.'!$B$11:$B$14</definedName>
    <definedName name="solver_lhs214" localSheetId="16" hidden="1">'Other restrictions'!$B$11:$B$14</definedName>
    <definedName name="solver_lhs215" localSheetId="14" hidden="1">'No short (solver 2nd approach)'!$B$11:$B$14</definedName>
    <definedName name="solver_lhs215" localSheetId="15" hidden="1">'No short vs general eff. front.'!$B$11:$B$14</definedName>
    <definedName name="solver_lhs215" localSheetId="16" hidden="1">'Other restrictions'!$B$11:$B$14</definedName>
    <definedName name="solver_lhs216" localSheetId="14" hidden="1">'No short (solver 2nd approach)'!$B$11:$B$14</definedName>
    <definedName name="solver_lhs216" localSheetId="15" hidden="1">'No short vs general eff. front.'!$B$11:$B$14</definedName>
    <definedName name="solver_lhs216" localSheetId="16" hidden="1">'Other restrictions'!$B$11:$B$14</definedName>
    <definedName name="solver_lhs217" localSheetId="14" hidden="1">'No short (solver 2nd approach)'!$B$11:$B$14</definedName>
    <definedName name="solver_lhs217" localSheetId="15" hidden="1">'No short vs general eff. front.'!$B$11:$B$14</definedName>
    <definedName name="solver_lhs217" localSheetId="16" hidden="1">'Other restrictions'!$B$11:$B$14</definedName>
    <definedName name="solver_lhs218" localSheetId="14" hidden="1">'No short (solver 2nd approach)'!$B$11:$B$14</definedName>
    <definedName name="solver_lhs218" localSheetId="15" hidden="1">'No short vs general eff. front.'!$B$11:$B$14</definedName>
    <definedName name="solver_lhs218" localSheetId="16" hidden="1">'Other restrictions'!$B$11:$B$14</definedName>
    <definedName name="solver_lhs219" localSheetId="14" hidden="1">'No short (solver 2nd approach)'!$B$11:$B$14</definedName>
    <definedName name="solver_lhs219" localSheetId="15" hidden="1">'No short vs general eff. front.'!$B$11:$B$14</definedName>
    <definedName name="solver_lhs219" localSheetId="16" hidden="1">'Other restrictions'!$B$11:$B$14</definedName>
    <definedName name="solver_lhs22" localSheetId="14" hidden="1">'No short (solver 2nd approach)'!$B$11:$B$14</definedName>
    <definedName name="solver_lhs22" localSheetId="15" hidden="1">'No short vs general eff. front.'!$B$17</definedName>
    <definedName name="solver_lhs22" localSheetId="16" hidden="1">'Other restrictions'!$B$11:$B$14</definedName>
    <definedName name="solver_lhs220" localSheetId="14" hidden="1">'No short (solver 2nd approach)'!$B$11:$B$14</definedName>
    <definedName name="solver_lhs220" localSheetId="15" hidden="1">'No short vs general eff. front.'!$B$11:$B$14</definedName>
    <definedName name="solver_lhs220" localSheetId="16" hidden="1">'Other restrictions'!$B$11:$B$14</definedName>
    <definedName name="solver_lhs221" localSheetId="14" hidden="1">'No short (solver 2nd approach)'!$B$11:$B$14</definedName>
    <definedName name="solver_lhs221" localSheetId="15" hidden="1">'No short vs general eff. front.'!$B$11:$B$14</definedName>
    <definedName name="solver_lhs221" localSheetId="16" hidden="1">'Other restrictions'!$B$11:$B$14</definedName>
    <definedName name="solver_lhs222" localSheetId="14" hidden="1">'No short (solver 2nd approach)'!$B$15</definedName>
    <definedName name="solver_lhs222" localSheetId="15" hidden="1">'No short vs general eff. front.'!$B$11:$B$14</definedName>
    <definedName name="solver_lhs222" localSheetId="16" hidden="1">'Other restrictions'!$B$15</definedName>
    <definedName name="solver_lhs223" localSheetId="14" hidden="1">'No short (solver 2nd approach)'!$B$11:$B$14</definedName>
    <definedName name="solver_lhs223" localSheetId="15" hidden="1">'No short vs general eff. front.'!$B$11:$B$14</definedName>
    <definedName name="solver_lhs223" localSheetId="16" hidden="1">'Other restrictions'!$B$11:$B$14</definedName>
    <definedName name="solver_lhs224" localSheetId="14" hidden="1">'No short (solver 2nd approach)'!$B$15</definedName>
    <definedName name="solver_lhs224" localSheetId="15" hidden="1">'No short vs general eff. front.'!$B$11:$B$14</definedName>
    <definedName name="solver_lhs224" localSheetId="16" hidden="1">'Other restrictions'!$B$15</definedName>
    <definedName name="solver_lhs225" localSheetId="14" hidden="1">'No short (solver 2nd approach)'!$B$15</definedName>
    <definedName name="solver_lhs225" localSheetId="15" hidden="1">'No short vs general eff. front.'!$B$11:$B$14</definedName>
    <definedName name="solver_lhs225" localSheetId="16" hidden="1">'Other restrictions'!$B$15</definedName>
    <definedName name="solver_lhs226" localSheetId="14" hidden="1">'No short (solver 2nd approach)'!$B$15</definedName>
    <definedName name="solver_lhs226" localSheetId="15" hidden="1">'No short vs general eff. front.'!$B$11:$B$14</definedName>
    <definedName name="solver_lhs226" localSheetId="16" hidden="1">'Other restrictions'!$B$15</definedName>
    <definedName name="solver_lhs227" localSheetId="14" hidden="1">'No short (solver 2nd approach)'!$B$15</definedName>
    <definedName name="solver_lhs227" localSheetId="15" hidden="1">'No short vs general eff. front.'!$B$11:$B$14</definedName>
    <definedName name="solver_lhs227" localSheetId="16" hidden="1">'Other restrictions'!$B$15</definedName>
    <definedName name="solver_lhs228" localSheetId="14" hidden="1">'No short (solver 2nd approach)'!$B$15</definedName>
    <definedName name="solver_lhs228" localSheetId="15" hidden="1">'No short vs general eff. front.'!$B$11:$B$14</definedName>
    <definedName name="solver_lhs228" localSheetId="16" hidden="1">'Other restrictions'!$B$15</definedName>
    <definedName name="solver_lhs229" localSheetId="14" hidden="1">'No short (solver 2nd approach)'!$B$15</definedName>
    <definedName name="solver_lhs229" localSheetId="15" hidden="1">'No short vs general eff. front.'!$B$11:$B$14</definedName>
    <definedName name="solver_lhs229" localSheetId="16" hidden="1">'Other restrictions'!$B$15</definedName>
    <definedName name="solver_lhs23" localSheetId="14" hidden="1">'No short (solver 2nd approach)'!$B$11:$B$14</definedName>
    <definedName name="solver_lhs23" localSheetId="15" hidden="1">'No short vs general eff. front.'!$B$17</definedName>
    <definedName name="solver_lhs23" localSheetId="16" hidden="1">'Other restrictions'!$B$11:$B$14</definedName>
    <definedName name="solver_lhs230" localSheetId="14" hidden="1">'No short (solver 2nd approach)'!$B$15</definedName>
    <definedName name="solver_lhs230" localSheetId="15" hidden="1">'No short vs general eff. front.'!$B$11:$B$14</definedName>
    <definedName name="solver_lhs230" localSheetId="16" hidden="1">'Other restrictions'!$B$15</definedName>
    <definedName name="solver_lhs231" localSheetId="14" hidden="1">'No short (solver 2nd approach)'!$B$15</definedName>
    <definedName name="solver_lhs231" localSheetId="15" hidden="1">'No short vs general eff. front.'!$B$11:$B$14</definedName>
    <definedName name="solver_lhs231" localSheetId="16" hidden="1">'Other restrictions'!$B$15</definedName>
    <definedName name="solver_lhs232" localSheetId="14" hidden="1">'No short (solver 2nd approach)'!$B$15</definedName>
    <definedName name="solver_lhs232" localSheetId="15" hidden="1">'No short vs general eff. front.'!$B$11:$B$14</definedName>
    <definedName name="solver_lhs232" localSheetId="16" hidden="1">'Other restrictions'!$B$15</definedName>
    <definedName name="solver_lhs233" localSheetId="14" hidden="1">'No short (solver 2nd approach)'!$B$15</definedName>
    <definedName name="solver_lhs233" localSheetId="15" hidden="1">'No short vs general eff. front.'!$B$11:$B$14</definedName>
    <definedName name="solver_lhs233" localSheetId="16" hidden="1">'Other restrictions'!$B$15</definedName>
    <definedName name="solver_lhs234" localSheetId="14" hidden="1">'No short (solver 2nd approach)'!$B$15</definedName>
    <definedName name="solver_lhs234" localSheetId="15" hidden="1">'No short vs general eff. front.'!$B$11:$B$14</definedName>
    <definedName name="solver_lhs234" localSheetId="16" hidden="1">'Other restrictions'!$B$15</definedName>
    <definedName name="solver_lhs235" localSheetId="14" hidden="1">'No short (solver 2nd approach)'!$B$15</definedName>
    <definedName name="solver_lhs235" localSheetId="15" hidden="1">'No short vs general eff. front.'!$B$11:$B$14</definedName>
    <definedName name="solver_lhs235" localSheetId="16" hidden="1">'Other restrictions'!$B$15</definedName>
    <definedName name="solver_lhs236" localSheetId="14" hidden="1">'No short (solver 2nd approach)'!$B$15</definedName>
    <definedName name="solver_lhs236" localSheetId="15" hidden="1">'No short vs general eff. front.'!$B$11:$B$14</definedName>
    <definedName name="solver_lhs236" localSheetId="16" hidden="1">'Other restrictions'!$B$15</definedName>
    <definedName name="solver_lhs237" localSheetId="14" hidden="1">'No short (solver 2nd approach)'!$B$15</definedName>
    <definedName name="solver_lhs237" localSheetId="15" hidden="1">'No short vs general eff. front.'!$B$11:$B$14</definedName>
    <definedName name="solver_lhs237" localSheetId="16" hidden="1">'Other restrictions'!$B$15</definedName>
    <definedName name="solver_lhs238" localSheetId="14" hidden="1">'No short (solver 2nd approach)'!$B$15</definedName>
    <definedName name="solver_lhs238" localSheetId="15" hidden="1">'No short vs general eff. front.'!$B$11:$B$14</definedName>
    <definedName name="solver_lhs238" localSheetId="16" hidden="1">'Other restrictions'!$B$15</definedName>
    <definedName name="solver_lhs239" localSheetId="14" hidden="1">'No short (solver 2nd approach)'!$B$15</definedName>
    <definedName name="solver_lhs239" localSheetId="15" hidden="1">'No short vs general eff. front.'!$B$11:$B$14</definedName>
    <definedName name="solver_lhs239" localSheetId="16" hidden="1">'Other restrictions'!$B$15</definedName>
    <definedName name="solver_lhs24" localSheetId="14" hidden="1">'No short (solver 2nd approach)'!$B$11:$B$14</definedName>
    <definedName name="solver_lhs24" localSheetId="15" hidden="1">'No short vs general eff. front.'!$B$17</definedName>
    <definedName name="solver_lhs24" localSheetId="16" hidden="1">'Other restrictions'!$B$11:$B$14</definedName>
    <definedName name="solver_lhs240" localSheetId="15" hidden="1">'No short vs general eff. front.'!$B$11:$B$14</definedName>
    <definedName name="solver_lhs241" localSheetId="15" hidden="1">'No short vs general eff. front.'!$B$11:$B$14</definedName>
    <definedName name="solver_lhs242" localSheetId="15" hidden="1">'No short vs general eff. front.'!$B$11:$B$14</definedName>
    <definedName name="solver_lhs243" localSheetId="15" hidden="1">'No short vs general eff. front.'!$B$11:$B$14</definedName>
    <definedName name="solver_lhs244" localSheetId="15" hidden="1">'No short vs general eff. front.'!$B$11:$B$14</definedName>
    <definedName name="solver_lhs245" localSheetId="15" hidden="1">'No short vs general eff. front.'!$B$11:$B$14</definedName>
    <definedName name="solver_lhs25" localSheetId="14" hidden="1">'No short (solver 2nd approach)'!$B$11:$B$14</definedName>
    <definedName name="solver_lhs25" localSheetId="15" hidden="1">'No short vs general eff. front.'!$B$17</definedName>
    <definedName name="solver_lhs25" localSheetId="16" hidden="1">'Other restrictions'!$B$11:$B$14</definedName>
    <definedName name="solver_lhs26" localSheetId="14" hidden="1">'No short (solver 2nd approach)'!$B$11:$B$14</definedName>
    <definedName name="solver_lhs26" localSheetId="15" hidden="1">'No short vs general eff. front.'!$B$17</definedName>
    <definedName name="solver_lhs26" localSheetId="16" hidden="1">'Other restrictions'!$B$11:$B$14</definedName>
    <definedName name="solver_lhs27" localSheetId="14" hidden="1">'No short (solver 2nd approach)'!$B$11:$B$14</definedName>
    <definedName name="solver_lhs27" localSheetId="15" hidden="1">'No short vs general eff. front.'!$B$17</definedName>
    <definedName name="solver_lhs27" localSheetId="16" hidden="1">'Other restrictions'!$B$11:$B$14</definedName>
    <definedName name="solver_lhs28" localSheetId="14" hidden="1">'No short (solver 2nd approach)'!$B$11:$B$14</definedName>
    <definedName name="solver_lhs28" localSheetId="15" hidden="1">'No short vs general eff. front.'!$B$17</definedName>
    <definedName name="solver_lhs28" localSheetId="16" hidden="1">'Other restrictions'!$B$11:$B$14</definedName>
    <definedName name="solver_lhs29" localSheetId="14" hidden="1">'No short (solver 2nd approach)'!$B$11:$B$14</definedName>
    <definedName name="solver_lhs29" localSheetId="15" hidden="1">'No short vs general eff. front.'!$B$17</definedName>
    <definedName name="solver_lhs29" localSheetId="16" hidden="1">'Other restrictions'!$B$11:$B$14</definedName>
    <definedName name="solver_lhs3" localSheetId="14" hidden="1">'No short (solver 2nd approach)'!$B$17</definedName>
    <definedName name="solver_lhs3" localSheetId="13" hidden="1">'No short (solver)'!$B$12:$B$15</definedName>
    <definedName name="solver_lhs3" localSheetId="11" hidden="1">'No short intro'!$B$12:$B$15</definedName>
    <definedName name="solver_lhs3" localSheetId="12" hidden="1">'No short intro (solver)'!$B$12:$B$15</definedName>
    <definedName name="solver_lhs3" localSheetId="15" hidden="1">'No short vs general eff. front.'!$B$15</definedName>
    <definedName name="solver_lhs3" localSheetId="16" hidden="1">'Other restrictions'!$B$15</definedName>
    <definedName name="solver_lhs30" localSheetId="14" hidden="1">'No short (solver 2nd approach)'!$B$11:$B$14</definedName>
    <definedName name="solver_lhs30" localSheetId="15" hidden="1">'No short vs general eff. front.'!$B$17</definedName>
    <definedName name="solver_lhs30" localSheetId="16" hidden="1">'Other restrictions'!$B$11:$B$14</definedName>
    <definedName name="solver_lhs31" localSheetId="14" hidden="1">'No short (solver 2nd approach)'!$B$11:$B$14</definedName>
    <definedName name="solver_lhs31" localSheetId="15" hidden="1">'No short vs general eff. front.'!$B$17</definedName>
    <definedName name="solver_lhs31" localSheetId="16" hidden="1">'Other restrictions'!$B$11:$B$14</definedName>
    <definedName name="solver_lhs32" localSheetId="14" hidden="1">'No short (solver 2nd approach)'!$B$11:$B$14</definedName>
    <definedName name="solver_lhs32" localSheetId="15" hidden="1">'No short vs general eff. front.'!$B$17</definedName>
    <definedName name="solver_lhs32" localSheetId="16" hidden="1">'Other restrictions'!$B$11:$B$14</definedName>
    <definedName name="solver_lhs33" localSheetId="14" hidden="1">'No short (solver 2nd approach)'!$B$11:$B$14</definedName>
    <definedName name="solver_lhs33" localSheetId="15" hidden="1">'No short vs general eff. front.'!$B$17</definedName>
    <definedName name="solver_lhs33" localSheetId="16" hidden="1">'Other restrictions'!$B$11:$B$14</definedName>
    <definedName name="solver_lhs34" localSheetId="14" hidden="1">'No short (solver 2nd approach)'!$B$11:$B$14</definedName>
    <definedName name="solver_lhs34" localSheetId="15" hidden="1">'No short vs general eff. front.'!$B$17</definedName>
    <definedName name="solver_lhs34" localSheetId="16" hidden="1">'Other restrictions'!$B$11:$B$14</definedName>
    <definedName name="solver_lhs35" localSheetId="14" hidden="1">'No short (solver 2nd approach)'!$B$11:$B$14</definedName>
    <definedName name="solver_lhs35" localSheetId="15" hidden="1">'No short vs general eff. front.'!$B$17</definedName>
    <definedName name="solver_lhs35" localSheetId="16" hidden="1">'Other restrictions'!$B$11:$B$14</definedName>
    <definedName name="solver_lhs36" localSheetId="14" hidden="1">'No short (solver 2nd approach)'!$B$11:$B$14</definedName>
    <definedName name="solver_lhs36" localSheetId="15" hidden="1">'No short vs general eff. front.'!$B$17</definedName>
    <definedName name="solver_lhs36" localSheetId="16" hidden="1">'Other restrictions'!$B$11:$B$14</definedName>
    <definedName name="solver_lhs37" localSheetId="14" hidden="1">'No short (solver 2nd approach)'!$B$11:$B$14</definedName>
    <definedName name="solver_lhs37" localSheetId="15" hidden="1">'No short vs general eff. front.'!$B$17</definedName>
    <definedName name="solver_lhs37" localSheetId="16" hidden="1">'Other restrictions'!$B$11:$B$14</definedName>
    <definedName name="solver_lhs38" localSheetId="14" hidden="1">'No short (solver 2nd approach)'!$B$11:$B$14</definedName>
    <definedName name="solver_lhs38" localSheetId="15" hidden="1">'No short vs general eff. front.'!$B$17</definedName>
    <definedName name="solver_lhs38" localSheetId="16" hidden="1">'Other restrictions'!$B$11:$B$14</definedName>
    <definedName name="solver_lhs39" localSheetId="14" hidden="1">'No short (solver 2nd approach)'!$B$11:$B$14</definedName>
    <definedName name="solver_lhs39" localSheetId="15" hidden="1">'No short vs general eff. front.'!$B$17</definedName>
    <definedName name="solver_lhs39" localSheetId="16" hidden="1">'Other restrictions'!$B$11:$B$14</definedName>
    <definedName name="solver_lhs4" localSheetId="14" hidden="1">'No short (solver 2nd approach)'!$B$11:$B$14</definedName>
    <definedName name="solver_lhs4" localSheetId="13" hidden="1">'No short (solver)'!$B$14</definedName>
    <definedName name="solver_lhs4" localSheetId="11" hidden="1">'No short intro'!$B$14</definedName>
    <definedName name="solver_lhs4" localSheetId="12" hidden="1">'No short intro (solver)'!$B$14</definedName>
    <definedName name="solver_lhs4" localSheetId="15" hidden="1">'No short vs general eff. front.'!$B$17</definedName>
    <definedName name="solver_lhs4" localSheetId="16" hidden="1">'Other restrictions'!$B$17</definedName>
    <definedName name="solver_lhs40" localSheetId="14" hidden="1">'No short (solver 2nd approach)'!$B$11:$B$14</definedName>
    <definedName name="solver_lhs40" localSheetId="15" hidden="1">'No short vs general eff. front.'!$B$17</definedName>
    <definedName name="solver_lhs40" localSheetId="16" hidden="1">'Other restrictions'!$B$11:$B$14</definedName>
    <definedName name="solver_lhs41" localSheetId="14" hidden="1">'No short (solver 2nd approach)'!$B$11:$B$14</definedName>
    <definedName name="solver_lhs41" localSheetId="15" hidden="1">'No short vs general eff. front.'!$B$17</definedName>
    <definedName name="solver_lhs41" localSheetId="16" hidden="1">'Other restrictions'!$B$11:$B$14</definedName>
    <definedName name="solver_lhs42" localSheetId="14" hidden="1">'No short (solver 2nd approach)'!$B$11:$B$14</definedName>
    <definedName name="solver_lhs42" localSheetId="15" hidden="1">'No short vs general eff. front.'!$B$17</definedName>
    <definedName name="solver_lhs42" localSheetId="16" hidden="1">'Other restrictions'!$B$11:$B$14</definedName>
    <definedName name="solver_lhs43" localSheetId="14" hidden="1">'No short (solver 2nd approach)'!$B$11:$B$14</definedName>
    <definedName name="solver_lhs43" localSheetId="15" hidden="1">'No short vs general eff. front.'!$B$17</definedName>
    <definedName name="solver_lhs43" localSheetId="16" hidden="1">'Other restrictions'!$B$11:$B$14</definedName>
    <definedName name="solver_lhs44" localSheetId="14" hidden="1">'No short (solver 2nd approach)'!$B$11:$B$14</definedName>
    <definedName name="solver_lhs44" localSheetId="15" hidden="1">'No short vs general eff. front.'!$B$17</definedName>
    <definedName name="solver_lhs44" localSheetId="16" hidden="1">'Other restrictions'!$B$11:$B$14</definedName>
    <definedName name="solver_lhs45" localSheetId="14" hidden="1">'No short (solver 2nd approach)'!$B$11:$B$14</definedName>
    <definedName name="solver_lhs45" localSheetId="15" hidden="1">'No short vs general eff. front.'!$B$17</definedName>
    <definedName name="solver_lhs45" localSheetId="16" hidden="1">'Other restrictions'!$B$11:$B$14</definedName>
    <definedName name="solver_lhs46" localSheetId="14" hidden="1">'No short (solver 2nd approach)'!$B$11:$B$14</definedName>
    <definedName name="solver_lhs46" localSheetId="15" hidden="1">'No short vs general eff. front.'!$B$17</definedName>
    <definedName name="solver_lhs46" localSheetId="16" hidden="1">'Other restrictions'!$B$11:$B$14</definedName>
    <definedName name="solver_lhs47" localSheetId="14" hidden="1">'No short (solver 2nd approach)'!$B$11:$B$14</definedName>
    <definedName name="solver_lhs47" localSheetId="15" hidden="1">'No short vs general eff. front.'!$B$17</definedName>
    <definedName name="solver_lhs47" localSheetId="16" hidden="1">'Other restrictions'!$B$11:$B$14</definedName>
    <definedName name="solver_lhs48" localSheetId="14" hidden="1">'No short (solver 2nd approach)'!$B$11:$B$14</definedName>
    <definedName name="solver_lhs48" localSheetId="15" hidden="1">'No short vs general eff. front.'!$B$17</definedName>
    <definedName name="solver_lhs48" localSheetId="16" hidden="1">'Other restrictions'!$B$11:$B$14</definedName>
    <definedName name="solver_lhs49" localSheetId="14" hidden="1">'No short (solver 2nd approach)'!$B$11:$B$14</definedName>
    <definedName name="solver_lhs49" localSheetId="15" hidden="1">'No short vs general eff. front.'!$B$17</definedName>
    <definedName name="solver_lhs49" localSheetId="16" hidden="1">'Other restrictions'!$B$11:$B$14</definedName>
    <definedName name="solver_lhs5" localSheetId="14" hidden="1">'No short (solver 2nd approach)'!$B$11:$B$14</definedName>
    <definedName name="solver_lhs5" localSheetId="13" hidden="1">'No short (solver)'!$B$15</definedName>
    <definedName name="solver_lhs5" localSheetId="11" hidden="1">'No short intro'!$B$15</definedName>
    <definedName name="solver_lhs5" localSheetId="12" hidden="1">'No short intro (solver)'!$B$15</definedName>
    <definedName name="solver_lhs5" localSheetId="15" hidden="1">'No short vs general eff. front.'!$B$17</definedName>
    <definedName name="solver_lhs5" localSheetId="16" hidden="1">'Other restrictions'!$B$11:$B$14</definedName>
    <definedName name="solver_lhs50" localSheetId="14" hidden="1">'No short (solver 2nd approach)'!$B$11:$B$14</definedName>
    <definedName name="solver_lhs50" localSheetId="15" hidden="1">'No short vs general eff. front.'!$B$17</definedName>
    <definedName name="solver_lhs50" localSheetId="16" hidden="1">'Other restrictions'!$B$11:$B$14</definedName>
    <definedName name="solver_lhs51" localSheetId="14" hidden="1">'No short (solver 2nd approach)'!$B$11:$B$14</definedName>
    <definedName name="solver_lhs51" localSheetId="15" hidden="1">'No short vs general eff. front.'!$B$17</definedName>
    <definedName name="solver_lhs51" localSheetId="16" hidden="1">'Other restrictions'!$B$11:$B$14</definedName>
    <definedName name="solver_lhs52" localSheetId="14" hidden="1">'No short (solver 2nd approach)'!$B$11:$B$14</definedName>
    <definedName name="solver_lhs52" localSheetId="15" hidden="1">'No short vs general eff. front.'!$B$17</definedName>
    <definedName name="solver_lhs52" localSheetId="16" hidden="1">'Other restrictions'!$B$11:$B$14</definedName>
    <definedName name="solver_lhs53" localSheetId="14" hidden="1">'No short (solver 2nd approach)'!$B$11:$B$14</definedName>
    <definedName name="solver_lhs53" localSheetId="15" hidden="1">'No short vs general eff. front.'!$B$17</definedName>
    <definedName name="solver_lhs53" localSheetId="16" hidden="1">'Other restrictions'!$B$11:$B$14</definedName>
    <definedName name="solver_lhs54" localSheetId="14" hidden="1">'No short (solver 2nd approach)'!$B$11:$B$14</definedName>
    <definedName name="solver_lhs54" localSheetId="15" hidden="1">'No short vs general eff. front.'!$B$17</definedName>
    <definedName name="solver_lhs54" localSheetId="16" hidden="1">'Other restrictions'!$B$11:$B$14</definedName>
    <definedName name="solver_lhs55" localSheetId="14" hidden="1">'No short (solver 2nd approach)'!$B$11:$B$14</definedName>
    <definedName name="solver_lhs55" localSheetId="15" hidden="1">'No short vs general eff. front.'!$B$17</definedName>
    <definedName name="solver_lhs55" localSheetId="16" hidden="1">'Other restrictions'!$B$11:$B$14</definedName>
    <definedName name="solver_lhs56" localSheetId="14" hidden="1">'No short (solver 2nd approach)'!$B$11:$B$14</definedName>
    <definedName name="solver_lhs56" localSheetId="15" hidden="1">'No short vs general eff. front.'!$B$17</definedName>
    <definedName name="solver_lhs56" localSheetId="16" hidden="1">'Other restrictions'!$B$11:$B$14</definedName>
    <definedName name="solver_lhs57" localSheetId="14" hidden="1">'No short (solver 2nd approach)'!$B$11:$B$14</definedName>
    <definedName name="solver_lhs57" localSheetId="15" hidden="1">'No short vs general eff. front.'!$B$17</definedName>
    <definedName name="solver_lhs57" localSheetId="16" hidden="1">'Other restrictions'!$B$11:$B$14</definedName>
    <definedName name="solver_lhs58" localSheetId="14" hidden="1">'No short (solver 2nd approach)'!$B$11:$B$14</definedName>
    <definedName name="solver_lhs58" localSheetId="15" hidden="1">'No short vs general eff. front.'!$B$17</definedName>
    <definedName name="solver_lhs58" localSheetId="16" hidden="1">'Other restrictions'!$B$11:$B$14</definedName>
    <definedName name="solver_lhs59" localSheetId="14" hidden="1">'No short (solver 2nd approach)'!$B$11:$B$14</definedName>
    <definedName name="solver_lhs59" localSheetId="15" hidden="1">'No short vs general eff. front.'!$B$17</definedName>
    <definedName name="solver_lhs59" localSheetId="16" hidden="1">'Other restrictions'!$B$11:$B$14</definedName>
    <definedName name="solver_lhs6" localSheetId="14" hidden="1">'No short (solver 2nd approach)'!$B$11:$B$14</definedName>
    <definedName name="solver_lhs6" localSheetId="15" hidden="1">'No short vs general eff. front.'!$B$17</definedName>
    <definedName name="solver_lhs6" localSheetId="16" hidden="1">'Other restrictions'!$B$11:$B$14</definedName>
    <definedName name="solver_lhs60" localSheetId="14" hidden="1">'No short (solver 2nd approach)'!$B$11:$B$14</definedName>
    <definedName name="solver_lhs60" localSheetId="15" hidden="1">'No short vs general eff. front.'!$B$17</definedName>
    <definedName name="solver_lhs60" localSheetId="16" hidden="1">'Other restrictions'!$B$11:$B$14</definedName>
    <definedName name="solver_lhs61" localSheetId="14" hidden="1">'No short (solver 2nd approach)'!$B$11:$B$14</definedName>
    <definedName name="solver_lhs61" localSheetId="15" hidden="1">'No short vs general eff. front.'!$B$17</definedName>
    <definedName name="solver_lhs61" localSheetId="16" hidden="1">'Other restrictions'!$B$11:$B$14</definedName>
    <definedName name="solver_lhs62" localSheetId="14" hidden="1">'No short (solver 2nd approach)'!$B$11:$B$14</definedName>
    <definedName name="solver_lhs62" localSheetId="15" hidden="1">'No short vs general eff. front.'!$B$17</definedName>
    <definedName name="solver_lhs62" localSheetId="16" hidden="1">'Other restrictions'!$B$11:$B$14</definedName>
    <definedName name="solver_lhs63" localSheetId="14" hidden="1">'No short (solver 2nd approach)'!$B$11:$B$14</definedName>
    <definedName name="solver_lhs63" localSheetId="15" hidden="1">'No short vs general eff. front.'!$B$17</definedName>
    <definedName name="solver_lhs63" localSheetId="16" hidden="1">'Other restrictions'!$B$11:$B$14</definedName>
    <definedName name="solver_lhs64" localSheetId="14" hidden="1">'No short (solver 2nd approach)'!$B$11:$B$14</definedName>
    <definedName name="solver_lhs64" localSheetId="15" hidden="1">'No short vs general eff. front.'!$B$17</definedName>
    <definedName name="solver_lhs64" localSheetId="16" hidden="1">'Other restrictions'!$B$11:$B$14</definedName>
    <definedName name="solver_lhs65" localSheetId="14" hidden="1">'No short (solver 2nd approach)'!$B$11:$B$14</definedName>
    <definedName name="solver_lhs65" localSheetId="15" hidden="1">'No short vs general eff. front.'!$B$17</definedName>
    <definedName name="solver_lhs65" localSheetId="16" hidden="1">'Other restrictions'!$B$11:$B$14</definedName>
    <definedName name="solver_lhs66" localSheetId="14" hidden="1">'No short (solver 2nd approach)'!$B$11:$B$14</definedName>
    <definedName name="solver_lhs66" localSheetId="15" hidden="1">'No short vs general eff. front.'!$B$17</definedName>
    <definedName name="solver_lhs66" localSheetId="16" hidden="1">'Other restrictions'!$B$11:$B$14</definedName>
    <definedName name="solver_lhs67" localSheetId="14" hidden="1">'No short (solver 2nd approach)'!$B$11:$B$14</definedName>
    <definedName name="solver_lhs67" localSheetId="15" hidden="1">'No short vs general eff. front.'!$B$17</definedName>
    <definedName name="solver_lhs67" localSheetId="16" hidden="1">'Other restrictions'!$B$11:$B$14</definedName>
    <definedName name="solver_lhs68" localSheetId="14" hidden="1">'No short (solver 2nd approach)'!$B$11:$B$14</definedName>
    <definedName name="solver_lhs68" localSheetId="15" hidden="1">'No short vs general eff. front.'!$B$17</definedName>
    <definedName name="solver_lhs68" localSheetId="16" hidden="1">'Other restrictions'!$B$11:$B$14</definedName>
    <definedName name="solver_lhs69" localSheetId="14" hidden="1">'No short (solver 2nd approach)'!$B$11:$B$14</definedName>
    <definedName name="solver_lhs69" localSheetId="15" hidden="1">'No short vs general eff. front.'!$B$17</definedName>
    <definedName name="solver_lhs69" localSheetId="16" hidden="1">'Other restrictions'!$B$11:$B$14</definedName>
    <definedName name="solver_lhs7" localSheetId="14" hidden="1">'No short (solver 2nd approach)'!$B$11:$B$14</definedName>
    <definedName name="solver_lhs7" localSheetId="15" hidden="1">'No short vs general eff. front.'!$B$17</definedName>
    <definedName name="solver_lhs7" localSheetId="16" hidden="1">'Other restrictions'!$B$11:$B$14</definedName>
    <definedName name="solver_lhs70" localSheetId="14" hidden="1">'No short (solver 2nd approach)'!$B$11:$B$14</definedName>
    <definedName name="solver_lhs70" localSheetId="15" hidden="1">'No short vs general eff. front.'!$B$17</definedName>
    <definedName name="solver_lhs70" localSheetId="16" hidden="1">'Other restrictions'!$B$11:$B$14</definedName>
    <definedName name="solver_lhs71" localSheetId="14" hidden="1">'No short (solver 2nd approach)'!$B$11:$B$14</definedName>
    <definedName name="solver_lhs71" localSheetId="15" hidden="1">'No short vs general eff. front.'!$B$17</definedName>
    <definedName name="solver_lhs71" localSheetId="16" hidden="1">'Other restrictions'!$B$11:$B$14</definedName>
    <definedName name="solver_lhs72" localSheetId="14" hidden="1">'No short (solver 2nd approach)'!$B$11:$B$14</definedName>
    <definedName name="solver_lhs72" localSheetId="15" hidden="1">'No short vs general eff. front.'!$B$17</definedName>
    <definedName name="solver_lhs72" localSheetId="16" hidden="1">'Other restrictions'!$B$11:$B$14</definedName>
    <definedName name="solver_lhs73" localSheetId="14" hidden="1">'No short (solver 2nd approach)'!$B$11:$B$14</definedName>
    <definedName name="solver_lhs73" localSheetId="15" hidden="1">'No short vs general eff. front.'!$B$17</definedName>
    <definedName name="solver_lhs73" localSheetId="16" hidden="1">'Other restrictions'!$B$11:$B$14</definedName>
    <definedName name="solver_lhs74" localSheetId="14" hidden="1">'No short (solver 2nd approach)'!$B$11:$B$14</definedName>
    <definedName name="solver_lhs74" localSheetId="15" hidden="1">'No short vs general eff. front.'!$B$17</definedName>
    <definedName name="solver_lhs74" localSheetId="16" hidden="1">'Other restrictions'!$B$11:$B$14</definedName>
    <definedName name="solver_lhs75" localSheetId="14" hidden="1">'No short (solver 2nd approach)'!$B$11:$B$14</definedName>
    <definedName name="solver_lhs75" localSheetId="15" hidden="1">'No short vs general eff. front.'!$B$17</definedName>
    <definedName name="solver_lhs75" localSheetId="16" hidden="1">'Other restrictions'!$B$11:$B$14</definedName>
    <definedName name="solver_lhs76" localSheetId="14" hidden="1">'No short (solver 2nd approach)'!$B$11:$B$14</definedName>
    <definedName name="solver_lhs76" localSheetId="15" hidden="1">'No short vs general eff. front.'!$B$17</definedName>
    <definedName name="solver_lhs76" localSheetId="16" hidden="1">'Other restrictions'!$B$11:$B$14</definedName>
    <definedName name="solver_lhs77" localSheetId="14" hidden="1">'No short (solver 2nd approach)'!$B$11:$B$14</definedName>
    <definedName name="solver_lhs77" localSheetId="15" hidden="1">'No short vs general eff. front.'!$B$17</definedName>
    <definedName name="solver_lhs77" localSheetId="16" hidden="1">'Other restrictions'!$B$11:$B$14</definedName>
    <definedName name="solver_lhs78" localSheetId="14" hidden="1">'No short (solver 2nd approach)'!$B$11:$B$14</definedName>
    <definedName name="solver_lhs78" localSheetId="15" hidden="1">'No short vs general eff. front.'!$B$17</definedName>
    <definedName name="solver_lhs78" localSheetId="16" hidden="1">'Other restrictions'!$B$11:$B$14</definedName>
    <definedName name="solver_lhs79" localSheetId="14" hidden="1">'No short (solver 2nd approach)'!$B$11:$B$14</definedName>
    <definedName name="solver_lhs79" localSheetId="15" hidden="1">'No short vs general eff. front.'!$B$17</definedName>
    <definedName name="solver_lhs79" localSheetId="16" hidden="1">'Other restrictions'!$B$11:$B$14</definedName>
    <definedName name="solver_lhs8" localSheetId="14" hidden="1">'No short (solver 2nd approach)'!$B$11:$B$14</definedName>
    <definedName name="solver_lhs8" localSheetId="15" hidden="1">'No short vs general eff. front.'!$B$17</definedName>
    <definedName name="solver_lhs8" localSheetId="16" hidden="1">'Other restrictions'!$B$11:$B$14</definedName>
    <definedName name="solver_lhs80" localSheetId="14" hidden="1">'No short (solver 2nd approach)'!$B$11:$B$14</definedName>
    <definedName name="solver_lhs80" localSheetId="15" hidden="1">'No short vs general eff. front.'!$B$17</definedName>
    <definedName name="solver_lhs80" localSheetId="16" hidden="1">'Other restrictions'!$B$11:$B$14</definedName>
    <definedName name="solver_lhs81" localSheetId="14" hidden="1">'No short (solver 2nd approach)'!$B$11:$B$14</definedName>
    <definedName name="solver_lhs81" localSheetId="15" hidden="1">'No short vs general eff. front.'!$B$17</definedName>
    <definedName name="solver_lhs81" localSheetId="16" hidden="1">'Other restrictions'!$B$11:$B$14</definedName>
    <definedName name="solver_lhs82" localSheetId="14" hidden="1">'No short (solver 2nd approach)'!$B$11:$B$14</definedName>
    <definedName name="solver_lhs82" localSheetId="15" hidden="1">'No short vs general eff. front.'!$B$17</definedName>
    <definedName name="solver_lhs82" localSheetId="16" hidden="1">'Other restrictions'!$B$11:$B$14</definedName>
    <definedName name="solver_lhs83" localSheetId="14" hidden="1">'No short (solver 2nd approach)'!$B$11:$B$14</definedName>
    <definedName name="solver_lhs83" localSheetId="15" hidden="1">'No short vs general eff. front.'!$B$17</definedName>
    <definedName name="solver_lhs83" localSheetId="16" hidden="1">'Other restrictions'!$B$11:$B$14</definedName>
    <definedName name="solver_lhs84" localSheetId="14" hidden="1">'No short (solver 2nd approach)'!$B$11:$B$14</definedName>
    <definedName name="solver_lhs84" localSheetId="15" hidden="1">'No short vs general eff. front.'!$B$17</definedName>
    <definedName name="solver_lhs84" localSheetId="16" hidden="1">'Other restrictions'!$B$11:$B$14</definedName>
    <definedName name="solver_lhs85" localSheetId="14" hidden="1">'No short (solver 2nd approach)'!$B$11:$B$14</definedName>
    <definedName name="solver_lhs85" localSheetId="15" hidden="1">'No short vs general eff. front.'!$B$17</definedName>
    <definedName name="solver_lhs85" localSheetId="16" hidden="1">'Other restrictions'!$B$11:$B$14</definedName>
    <definedName name="solver_lhs86" localSheetId="14" hidden="1">'No short (solver 2nd approach)'!$B$11:$B$14</definedName>
    <definedName name="solver_lhs86" localSheetId="15" hidden="1">'No short vs general eff. front.'!$B$17</definedName>
    <definedName name="solver_lhs86" localSheetId="16" hidden="1">'Other restrictions'!$B$11:$B$14</definedName>
    <definedName name="solver_lhs87" localSheetId="14" hidden="1">'No short (solver 2nd approach)'!$B$11:$B$14</definedName>
    <definedName name="solver_lhs87" localSheetId="15" hidden="1">'No short vs general eff. front.'!$B$17</definedName>
    <definedName name="solver_lhs87" localSheetId="16" hidden="1">'Other restrictions'!$B$11:$B$14</definedName>
    <definedName name="solver_lhs88" localSheetId="14" hidden="1">'No short (solver 2nd approach)'!$B$11:$B$14</definedName>
    <definedName name="solver_lhs88" localSheetId="15" hidden="1">'No short vs general eff. front.'!$B$17</definedName>
    <definedName name="solver_lhs88" localSheetId="16" hidden="1">'Other restrictions'!$B$11:$B$14</definedName>
    <definedName name="solver_lhs89" localSheetId="14" hidden="1">'No short (solver 2nd approach)'!$B$11:$B$14</definedName>
    <definedName name="solver_lhs89" localSheetId="15" hidden="1">'No short vs general eff. front.'!$B$17</definedName>
    <definedName name="solver_lhs89" localSheetId="16" hidden="1">'Other restrictions'!$B$11:$B$14</definedName>
    <definedName name="solver_lhs9" localSheetId="14" hidden="1">'No short (solver 2nd approach)'!$B$11:$B$14</definedName>
    <definedName name="solver_lhs9" localSheetId="15" hidden="1">'No short vs general eff. front.'!$B$17</definedName>
    <definedName name="solver_lhs9" localSheetId="16" hidden="1">'Other restrictions'!$B$11:$B$14</definedName>
    <definedName name="solver_lhs90" localSheetId="14" hidden="1">'No short (solver 2nd approach)'!$B$11:$B$14</definedName>
    <definedName name="solver_lhs90" localSheetId="15" hidden="1">'No short vs general eff. front.'!$B$17</definedName>
    <definedName name="solver_lhs90" localSheetId="16" hidden="1">'Other restrictions'!$B$11:$B$14</definedName>
    <definedName name="solver_lhs91" localSheetId="14" hidden="1">'No short (solver 2nd approach)'!$B$11:$B$14</definedName>
    <definedName name="solver_lhs91" localSheetId="15" hidden="1">'No short vs general eff. front.'!$B$17</definedName>
    <definedName name="solver_lhs91" localSheetId="16" hidden="1">'Other restrictions'!$B$11:$B$14</definedName>
    <definedName name="solver_lhs92" localSheetId="14" hidden="1">'No short (solver 2nd approach)'!$B$11:$B$14</definedName>
    <definedName name="solver_lhs92" localSheetId="15" hidden="1">'No short vs general eff. front.'!$B$17</definedName>
    <definedName name="solver_lhs92" localSheetId="16" hidden="1">'Other restrictions'!$B$11:$B$14</definedName>
    <definedName name="solver_lhs93" localSheetId="14" hidden="1">'No short (solver 2nd approach)'!$B$11:$B$14</definedName>
    <definedName name="solver_lhs93" localSheetId="15" hidden="1">'No short vs general eff. front.'!$B$17</definedName>
    <definedName name="solver_lhs93" localSheetId="16" hidden="1">'Other restrictions'!$B$11:$B$14</definedName>
    <definedName name="solver_lhs94" localSheetId="14" hidden="1">'No short (solver 2nd approach)'!$B$11:$B$14</definedName>
    <definedName name="solver_lhs94" localSheetId="15" hidden="1">'No short vs general eff. front.'!$B$17</definedName>
    <definedName name="solver_lhs94" localSheetId="16" hidden="1">'Other restrictions'!$B$11:$B$14</definedName>
    <definedName name="solver_lhs95" localSheetId="14" hidden="1">'No short (solver 2nd approach)'!$B$11:$B$14</definedName>
    <definedName name="solver_lhs95" localSheetId="15" hidden="1">'No short vs general eff. front.'!$B$17</definedName>
    <definedName name="solver_lhs95" localSheetId="16" hidden="1">'Other restrictions'!$B$11:$B$14</definedName>
    <definedName name="solver_lhs96" localSheetId="14" hidden="1">'No short (solver 2nd approach)'!$B$11:$B$14</definedName>
    <definedName name="solver_lhs96" localSheetId="15" hidden="1">'No short vs general eff. front.'!$B$17</definedName>
    <definedName name="solver_lhs96" localSheetId="16" hidden="1">'Other restrictions'!$B$11:$B$14</definedName>
    <definedName name="solver_lhs97" localSheetId="14" hidden="1">'No short (solver 2nd approach)'!$B$11:$B$14</definedName>
    <definedName name="solver_lhs97" localSheetId="15" hidden="1">'No short vs general eff. front.'!$B$17</definedName>
    <definedName name="solver_lhs97" localSheetId="16" hidden="1">'Other restrictions'!$B$11:$B$14</definedName>
    <definedName name="solver_lhs98" localSheetId="14" hidden="1">'No short (solver 2nd approach)'!$B$11:$B$14</definedName>
    <definedName name="solver_lhs98" localSheetId="15" hidden="1">'No short vs general eff. front.'!$B$17</definedName>
    <definedName name="solver_lhs98" localSheetId="16" hidden="1">'Other restrictions'!$B$11:$B$14</definedName>
    <definedName name="solver_lhs99" localSheetId="14" hidden="1">'No short (solver 2nd approach)'!$B$11:$B$14</definedName>
    <definedName name="solver_lhs99" localSheetId="15" hidden="1">'No short vs general eff. front.'!$B$17</definedName>
    <definedName name="solver_lhs99" localSheetId="16" hidden="1">'Other restrictions'!$B$11:$B$14</definedName>
    <definedName name="solver_lin" localSheetId="14" hidden="1">2</definedName>
    <definedName name="solver_lin" localSheetId="13" hidden="1">2</definedName>
    <definedName name="solver_lin" localSheetId="11" hidden="1">2</definedName>
    <definedName name="solver_lin" localSheetId="12" hidden="1">2</definedName>
    <definedName name="solver_lin" localSheetId="15" hidden="1">2</definedName>
    <definedName name="solver_lin" localSheetId="16" hidden="1">2</definedName>
    <definedName name="solver_lva" localSheetId="14" hidden="1">2</definedName>
    <definedName name="solver_lva" localSheetId="13" hidden="1">2</definedName>
    <definedName name="solver_lva" localSheetId="11" hidden="1">2</definedName>
    <definedName name="solver_lva" localSheetId="12" hidden="1">2</definedName>
    <definedName name="solver_lva" localSheetId="15" hidden="1">2</definedName>
    <definedName name="solver_lva" localSheetId="16" hidden="1">2</definedName>
    <definedName name="solver_mip" localSheetId="14" hidden="1">1000</definedName>
    <definedName name="solver_mip" localSheetId="13" hidden="1">1000</definedName>
    <definedName name="solver_mip" localSheetId="11" hidden="1">1000</definedName>
    <definedName name="solver_mip" localSheetId="12" hidden="1">1000</definedName>
    <definedName name="solver_mip" localSheetId="15" hidden="1">1000</definedName>
    <definedName name="solver_mip" localSheetId="16" hidden="1">1000</definedName>
    <definedName name="solver_mni" localSheetId="14" hidden="1">30</definedName>
    <definedName name="solver_mni" localSheetId="13" hidden="1">30</definedName>
    <definedName name="solver_mni" localSheetId="12" hidden="1">30</definedName>
    <definedName name="solver_mni" localSheetId="15" hidden="1">30</definedName>
    <definedName name="solver_mni" localSheetId="16" hidden="1">30</definedName>
    <definedName name="solver_mrt" localSheetId="14" hidden="1">0.075</definedName>
    <definedName name="solver_mrt" localSheetId="13" hidden="1">0.075</definedName>
    <definedName name="solver_mrt" localSheetId="12" hidden="1">0.075</definedName>
    <definedName name="solver_mrt" localSheetId="15" hidden="1">0.075</definedName>
    <definedName name="solver_mrt" localSheetId="16" hidden="1">0.075</definedName>
    <definedName name="solver_msl" localSheetId="14" hidden="1">2</definedName>
    <definedName name="solver_msl" localSheetId="13" hidden="1">2</definedName>
    <definedName name="solver_msl" localSheetId="12" hidden="1">2</definedName>
    <definedName name="solver_msl" localSheetId="15" hidden="1">2</definedName>
    <definedName name="solver_msl" localSheetId="16" hidden="1">2</definedName>
    <definedName name="solver_neg" localSheetId="14" hidden="1">2</definedName>
    <definedName name="solver_neg" localSheetId="13" hidden="1">2</definedName>
    <definedName name="solver_neg" localSheetId="11" hidden="1">2</definedName>
    <definedName name="solver_neg" localSheetId="12" hidden="1">2</definedName>
    <definedName name="solver_neg" localSheetId="15" hidden="1">1</definedName>
    <definedName name="solver_neg" localSheetId="16" hidden="1">2</definedName>
    <definedName name="solver_nod" localSheetId="14" hidden="1">1000</definedName>
    <definedName name="solver_nod" localSheetId="13" hidden="1">1000</definedName>
    <definedName name="solver_nod" localSheetId="11" hidden="1">1000</definedName>
    <definedName name="solver_nod" localSheetId="12" hidden="1">1000</definedName>
    <definedName name="solver_nod" localSheetId="15" hidden="1">1000</definedName>
    <definedName name="solver_nod" localSheetId="16" hidden="1">1000</definedName>
    <definedName name="solver_num" localSheetId="14" hidden="1">3</definedName>
    <definedName name="solver_num" localSheetId="13" hidden="1">2</definedName>
    <definedName name="solver_num" localSheetId="11" hidden="1">2</definedName>
    <definedName name="solver_num" localSheetId="12" hidden="1">1</definedName>
    <definedName name="solver_num" localSheetId="15" hidden="1">3</definedName>
    <definedName name="solver_num" localSheetId="16" hidden="1">4</definedName>
    <definedName name="solver_nwt" localSheetId="14" hidden="1">1</definedName>
    <definedName name="solver_nwt" localSheetId="13" hidden="1">1</definedName>
    <definedName name="solver_nwt" localSheetId="11" hidden="1">1</definedName>
    <definedName name="solver_nwt" localSheetId="12" hidden="1">1</definedName>
    <definedName name="solver_nwt" localSheetId="15" hidden="1">1</definedName>
    <definedName name="solver_nwt" localSheetId="16" hidden="1">1</definedName>
    <definedName name="solver_ofx" localSheetId="14" hidden="1">2</definedName>
    <definedName name="solver_ofx" localSheetId="13" hidden="1">2</definedName>
    <definedName name="solver_ofx" localSheetId="11" hidden="1">2</definedName>
    <definedName name="solver_ofx" localSheetId="12" hidden="1">2</definedName>
    <definedName name="solver_ofx" localSheetId="15" hidden="1">2</definedName>
    <definedName name="solver_ofx" localSheetId="16" hidden="1">2</definedName>
    <definedName name="solver_opt" localSheetId="14" hidden="1">'No short (solver 2nd approach)'!$B$18</definedName>
    <definedName name="solver_opt" localSheetId="13" hidden="1">'No short (solver)'!$B$19</definedName>
    <definedName name="solver_opt" localSheetId="11" hidden="1">'No short intro'!$B$19</definedName>
    <definedName name="solver_opt" localSheetId="12" hidden="1">'No short intro (solver)'!$B$19</definedName>
    <definedName name="solver_opt" localSheetId="15" hidden="1">'No short vs general eff. front.'!$B$18</definedName>
    <definedName name="solver_opt" localSheetId="16" hidden="1">'Other restrictions'!$B$18</definedName>
    <definedName name="solver_pre" localSheetId="14" hidden="1">0.000001</definedName>
    <definedName name="solver_pre" localSheetId="13" hidden="1">0.000001</definedName>
    <definedName name="solver_pre" localSheetId="11" hidden="1">0.000001</definedName>
    <definedName name="solver_pre" localSheetId="12" hidden="1">0.000001</definedName>
    <definedName name="solver_pre" localSheetId="15" hidden="1">0.000001</definedName>
    <definedName name="solver_pre" localSheetId="16" hidden="1">0.000001</definedName>
    <definedName name="solver_pro" localSheetId="14" hidden="1">2</definedName>
    <definedName name="solver_pro" localSheetId="13" hidden="1">2</definedName>
    <definedName name="solver_pro" localSheetId="11" hidden="1">2</definedName>
    <definedName name="solver_pro" localSheetId="12" hidden="1">2</definedName>
    <definedName name="solver_pro" localSheetId="15" hidden="1">2</definedName>
    <definedName name="solver_pro" localSheetId="16" hidden="1">2</definedName>
    <definedName name="solver_rbv" localSheetId="14" hidden="1">1</definedName>
    <definedName name="solver_rbv" localSheetId="13" hidden="1">1</definedName>
    <definedName name="solver_rbv" localSheetId="12" hidden="1">1</definedName>
    <definedName name="solver_rbv" localSheetId="15" hidden="1">1</definedName>
    <definedName name="solver_rbv" localSheetId="16" hidden="1">1</definedName>
    <definedName name="solver_rel1" localSheetId="14" hidden="1">3</definedName>
    <definedName name="solver_rel1" localSheetId="13" hidden="1">3</definedName>
    <definedName name="solver_rel1" localSheetId="11" hidden="1">3</definedName>
    <definedName name="solver_rel1" localSheetId="12" hidden="1">2</definedName>
    <definedName name="solver_rel1" localSheetId="15" hidden="1">3</definedName>
    <definedName name="solver_rel1" localSheetId="16" hidden="1">1</definedName>
    <definedName name="solver_rel10" localSheetId="14" hidden="1">3</definedName>
    <definedName name="solver_rel10" localSheetId="15" hidden="1">2</definedName>
    <definedName name="solver_rel10" localSheetId="16" hidden="1">3</definedName>
    <definedName name="solver_rel100" localSheetId="14" hidden="1">3</definedName>
    <definedName name="solver_rel100" localSheetId="15" hidden="1">2</definedName>
    <definedName name="solver_rel100" localSheetId="16" hidden="1">3</definedName>
    <definedName name="solver_rel101" localSheetId="14" hidden="1">3</definedName>
    <definedName name="solver_rel101" localSheetId="15" hidden="1">2</definedName>
    <definedName name="solver_rel101" localSheetId="16" hidden="1">3</definedName>
    <definedName name="solver_rel102" localSheetId="14" hidden="1">3</definedName>
    <definedName name="solver_rel102" localSheetId="15" hidden="1">2</definedName>
    <definedName name="solver_rel102" localSheetId="16" hidden="1">3</definedName>
    <definedName name="solver_rel103" localSheetId="14" hidden="1">3</definedName>
    <definedName name="solver_rel103" localSheetId="15" hidden="1">2</definedName>
    <definedName name="solver_rel103" localSheetId="16" hidden="1">3</definedName>
    <definedName name="solver_rel104" localSheetId="14" hidden="1">3</definedName>
    <definedName name="solver_rel104" localSheetId="15" hidden="1">2</definedName>
    <definedName name="solver_rel104" localSheetId="16" hidden="1">3</definedName>
    <definedName name="solver_rel105" localSheetId="14" hidden="1">3</definedName>
    <definedName name="solver_rel105" localSheetId="15" hidden="1">2</definedName>
    <definedName name="solver_rel105" localSheetId="16" hidden="1">3</definedName>
    <definedName name="solver_rel106" localSheetId="14" hidden="1">3</definedName>
    <definedName name="solver_rel106" localSheetId="15" hidden="1">2</definedName>
    <definedName name="solver_rel106" localSheetId="16" hidden="1">3</definedName>
    <definedName name="solver_rel107" localSheetId="14" hidden="1">3</definedName>
    <definedName name="solver_rel107" localSheetId="15" hidden="1">2</definedName>
    <definedName name="solver_rel107" localSheetId="16" hidden="1">3</definedName>
    <definedName name="solver_rel108" localSheetId="14" hidden="1">3</definedName>
    <definedName name="solver_rel108" localSheetId="15" hidden="1">2</definedName>
    <definedName name="solver_rel108" localSheetId="16" hidden="1">3</definedName>
    <definedName name="solver_rel109" localSheetId="14" hidden="1">3</definedName>
    <definedName name="solver_rel109" localSheetId="15" hidden="1">2</definedName>
    <definedName name="solver_rel109" localSheetId="16" hidden="1">3</definedName>
    <definedName name="solver_rel11" localSheetId="14" hidden="1">3</definedName>
    <definedName name="solver_rel11" localSheetId="15" hidden="1">2</definedName>
    <definedName name="solver_rel11" localSheetId="16" hidden="1">3</definedName>
    <definedName name="solver_rel110" localSheetId="14" hidden="1">3</definedName>
    <definedName name="solver_rel110" localSheetId="15" hidden="1">2</definedName>
    <definedName name="solver_rel110" localSheetId="16" hidden="1">3</definedName>
    <definedName name="solver_rel111" localSheetId="14" hidden="1">3</definedName>
    <definedName name="solver_rel111" localSheetId="15" hidden="1">2</definedName>
    <definedName name="solver_rel111" localSheetId="16" hidden="1">3</definedName>
    <definedName name="solver_rel112" localSheetId="14" hidden="1">3</definedName>
    <definedName name="solver_rel112" localSheetId="15" hidden="1">2</definedName>
    <definedName name="solver_rel112" localSheetId="16" hidden="1">3</definedName>
    <definedName name="solver_rel113" localSheetId="14" hidden="1">3</definedName>
    <definedName name="solver_rel113" localSheetId="15" hidden="1">2</definedName>
    <definedName name="solver_rel113" localSheetId="16" hidden="1">3</definedName>
    <definedName name="solver_rel114" localSheetId="14" hidden="1">3</definedName>
    <definedName name="solver_rel114" localSheetId="15" hidden="1">2</definedName>
    <definedName name="solver_rel114" localSheetId="16" hidden="1">3</definedName>
    <definedName name="solver_rel115" localSheetId="14" hidden="1">3</definedName>
    <definedName name="solver_rel115" localSheetId="15" hidden="1">2</definedName>
    <definedName name="solver_rel115" localSheetId="16" hidden="1">3</definedName>
    <definedName name="solver_rel116" localSheetId="14" hidden="1">3</definedName>
    <definedName name="solver_rel116" localSheetId="15" hidden="1">2</definedName>
    <definedName name="solver_rel116" localSheetId="16" hidden="1">3</definedName>
    <definedName name="solver_rel117" localSheetId="14" hidden="1">3</definedName>
    <definedName name="solver_rel117" localSheetId="15" hidden="1">2</definedName>
    <definedName name="solver_rel117" localSheetId="16" hidden="1">3</definedName>
    <definedName name="solver_rel118" localSheetId="14" hidden="1">3</definedName>
    <definedName name="solver_rel118" localSheetId="15" hidden="1">2</definedName>
    <definedName name="solver_rel118" localSheetId="16" hidden="1">3</definedName>
    <definedName name="solver_rel119" localSheetId="14" hidden="1">3</definedName>
    <definedName name="solver_rel119" localSheetId="15" hidden="1">2</definedName>
    <definedName name="solver_rel119" localSheetId="16" hidden="1">3</definedName>
    <definedName name="solver_rel12" localSheetId="14" hidden="1">3</definedName>
    <definedName name="solver_rel12" localSheetId="15" hidden="1">2</definedName>
    <definedName name="solver_rel12" localSheetId="16" hidden="1">3</definedName>
    <definedName name="solver_rel120" localSheetId="14" hidden="1">3</definedName>
    <definedName name="solver_rel120" localSheetId="15" hidden="1">2</definedName>
    <definedName name="solver_rel120" localSheetId="16" hidden="1">3</definedName>
    <definedName name="solver_rel121" localSheetId="14" hidden="1">3</definedName>
    <definedName name="solver_rel121" localSheetId="15" hidden="1">2</definedName>
    <definedName name="solver_rel121" localSheetId="16" hidden="1">3</definedName>
    <definedName name="solver_rel122" localSheetId="14" hidden="1">3</definedName>
    <definedName name="solver_rel122" localSheetId="15" hidden="1">2</definedName>
    <definedName name="solver_rel122" localSheetId="16" hidden="1">3</definedName>
    <definedName name="solver_rel123" localSheetId="14" hidden="1">3</definedName>
    <definedName name="solver_rel123" localSheetId="15" hidden="1">2</definedName>
    <definedName name="solver_rel123" localSheetId="16" hidden="1">3</definedName>
    <definedName name="solver_rel124" localSheetId="14" hidden="1">3</definedName>
    <definedName name="solver_rel124" localSheetId="15" hidden="1">2</definedName>
    <definedName name="solver_rel124" localSheetId="16" hidden="1">3</definedName>
    <definedName name="solver_rel125" localSheetId="14" hidden="1">3</definedName>
    <definedName name="solver_rel125" localSheetId="15" hidden="1">3</definedName>
    <definedName name="solver_rel125" localSheetId="16" hidden="1">3</definedName>
    <definedName name="solver_rel126" localSheetId="14" hidden="1">3</definedName>
    <definedName name="solver_rel126" localSheetId="15" hidden="1">3</definedName>
    <definedName name="solver_rel126" localSheetId="16" hidden="1">3</definedName>
    <definedName name="solver_rel127" localSheetId="14" hidden="1">3</definedName>
    <definedName name="solver_rel127" localSheetId="15" hidden="1">3</definedName>
    <definedName name="solver_rel127" localSheetId="16" hidden="1">3</definedName>
    <definedName name="solver_rel128" localSheetId="14" hidden="1">3</definedName>
    <definedName name="solver_rel128" localSheetId="15" hidden="1">3</definedName>
    <definedName name="solver_rel128" localSheetId="16" hidden="1">3</definedName>
    <definedName name="solver_rel129" localSheetId="14" hidden="1">3</definedName>
    <definedName name="solver_rel129" localSheetId="15" hidden="1">3</definedName>
    <definedName name="solver_rel129" localSheetId="16" hidden="1">3</definedName>
    <definedName name="solver_rel13" localSheetId="14" hidden="1">3</definedName>
    <definedName name="solver_rel13" localSheetId="15" hidden="1">2</definedName>
    <definedName name="solver_rel13" localSheetId="16" hidden="1">3</definedName>
    <definedName name="solver_rel130" localSheetId="14" hidden="1">3</definedName>
    <definedName name="solver_rel130" localSheetId="15" hidden="1">3</definedName>
    <definedName name="solver_rel130" localSheetId="16" hidden="1">3</definedName>
    <definedName name="solver_rel131" localSheetId="14" hidden="1">3</definedName>
    <definedName name="solver_rel131" localSheetId="15" hidden="1">3</definedName>
    <definedName name="solver_rel131" localSheetId="16" hidden="1">3</definedName>
    <definedName name="solver_rel132" localSheetId="14" hidden="1">3</definedName>
    <definedName name="solver_rel132" localSheetId="15" hidden="1">3</definedName>
    <definedName name="solver_rel132" localSheetId="16" hidden="1">3</definedName>
    <definedName name="solver_rel133" localSheetId="14" hidden="1">3</definedName>
    <definedName name="solver_rel133" localSheetId="15" hidden="1">3</definedName>
    <definedName name="solver_rel133" localSheetId="16" hidden="1">3</definedName>
    <definedName name="solver_rel134" localSheetId="14" hidden="1">3</definedName>
    <definedName name="solver_rel134" localSheetId="15" hidden="1">3</definedName>
    <definedName name="solver_rel134" localSheetId="16" hidden="1">3</definedName>
    <definedName name="solver_rel135" localSheetId="14" hidden="1">3</definedName>
    <definedName name="solver_rel135" localSheetId="15" hidden="1">3</definedName>
    <definedName name="solver_rel135" localSheetId="16" hidden="1">3</definedName>
    <definedName name="solver_rel136" localSheetId="14" hidden="1">3</definedName>
    <definedName name="solver_rel136" localSheetId="15" hidden="1">3</definedName>
    <definedName name="solver_rel136" localSheetId="16" hidden="1">3</definedName>
    <definedName name="solver_rel137" localSheetId="14" hidden="1">3</definedName>
    <definedName name="solver_rel137" localSheetId="15" hidden="1">3</definedName>
    <definedName name="solver_rel137" localSheetId="16" hidden="1">3</definedName>
    <definedName name="solver_rel138" localSheetId="14" hidden="1">3</definedName>
    <definedName name="solver_rel138" localSheetId="15" hidden="1">3</definedName>
    <definedName name="solver_rel138" localSheetId="16" hidden="1">3</definedName>
    <definedName name="solver_rel139" localSheetId="14" hidden="1">3</definedName>
    <definedName name="solver_rel139" localSheetId="15" hidden="1">3</definedName>
    <definedName name="solver_rel139" localSheetId="16" hidden="1">3</definedName>
    <definedName name="solver_rel14" localSheetId="14" hidden="1">3</definedName>
    <definedName name="solver_rel14" localSheetId="15" hidden="1">2</definedName>
    <definedName name="solver_rel14" localSheetId="16" hidden="1">3</definedName>
    <definedName name="solver_rel140" localSheetId="14" hidden="1">3</definedName>
    <definedName name="solver_rel140" localSheetId="15" hidden="1">3</definedName>
    <definedName name="solver_rel140" localSheetId="16" hidden="1">3</definedName>
    <definedName name="solver_rel141" localSheetId="14" hidden="1">3</definedName>
    <definedName name="solver_rel141" localSheetId="15" hidden="1">3</definedName>
    <definedName name="solver_rel141" localSheetId="16" hidden="1">3</definedName>
    <definedName name="solver_rel142" localSheetId="14" hidden="1">3</definedName>
    <definedName name="solver_rel142" localSheetId="15" hidden="1">3</definedName>
    <definedName name="solver_rel142" localSheetId="16" hidden="1">3</definedName>
    <definedName name="solver_rel143" localSheetId="14" hidden="1">3</definedName>
    <definedName name="solver_rel143" localSheetId="15" hidden="1">3</definedName>
    <definedName name="solver_rel143" localSheetId="16" hidden="1">3</definedName>
    <definedName name="solver_rel144" localSheetId="14" hidden="1">3</definedName>
    <definedName name="solver_rel144" localSheetId="15" hidden="1">3</definedName>
    <definedName name="solver_rel144" localSheetId="16" hidden="1">3</definedName>
    <definedName name="solver_rel145" localSheetId="14" hidden="1">3</definedName>
    <definedName name="solver_rel145" localSheetId="15" hidden="1">3</definedName>
    <definedName name="solver_rel145" localSheetId="16" hidden="1">3</definedName>
    <definedName name="solver_rel146" localSheetId="14" hidden="1">3</definedName>
    <definedName name="solver_rel146" localSheetId="15" hidden="1">3</definedName>
    <definedName name="solver_rel146" localSheetId="16" hidden="1">3</definedName>
    <definedName name="solver_rel147" localSheetId="14" hidden="1">3</definedName>
    <definedName name="solver_rel147" localSheetId="15" hidden="1">3</definedName>
    <definedName name="solver_rel147" localSheetId="16" hidden="1">3</definedName>
    <definedName name="solver_rel148" localSheetId="14" hidden="1">3</definedName>
    <definedName name="solver_rel148" localSheetId="15" hidden="1">3</definedName>
    <definedName name="solver_rel148" localSheetId="16" hidden="1">3</definedName>
    <definedName name="solver_rel149" localSheetId="14" hidden="1">3</definedName>
    <definedName name="solver_rel149" localSheetId="15" hidden="1">3</definedName>
    <definedName name="solver_rel149" localSheetId="16" hidden="1">3</definedName>
    <definedName name="solver_rel15" localSheetId="14" hidden="1">3</definedName>
    <definedName name="solver_rel15" localSheetId="15" hidden="1">2</definedName>
    <definedName name="solver_rel15" localSheetId="16" hidden="1">3</definedName>
    <definedName name="solver_rel150" localSheetId="14" hidden="1">3</definedName>
    <definedName name="solver_rel150" localSheetId="15" hidden="1">3</definedName>
    <definedName name="solver_rel150" localSheetId="16" hidden="1">3</definedName>
    <definedName name="solver_rel151" localSheetId="14" hidden="1">3</definedName>
    <definedName name="solver_rel151" localSheetId="15" hidden="1">3</definedName>
    <definedName name="solver_rel151" localSheetId="16" hidden="1">3</definedName>
    <definedName name="solver_rel152" localSheetId="14" hidden="1">3</definedName>
    <definedName name="solver_rel152" localSheetId="15" hidden="1">3</definedName>
    <definedName name="solver_rel152" localSheetId="16" hidden="1">3</definedName>
    <definedName name="solver_rel153" localSheetId="14" hidden="1">3</definedName>
    <definedName name="solver_rel153" localSheetId="15" hidden="1">3</definedName>
    <definedName name="solver_rel153" localSheetId="16" hidden="1">3</definedName>
    <definedName name="solver_rel154" localSheetId="14" hidden="1">3</definedName>
    <definedName name="solver_rel154" localSheetId="15" hidden="1">3</definedName>
    <definedName name="solver_rel154" localSheetId="16" hidden="1">3</definedName>
    <definedName name="solver_rel155" localSheetId="14" hidden="1">3</definedName>
    <definedName name="solver_rel155" localSheetId="15" hidden="1">3</definedName>
    <definedName name="solver_rel155" localSheetId="16" hidden="1">3</definedName>
    <definedName name="solver_rel156" localSheetId="14" hidden="1">3</definedName>
    <definedName name="solver_rel156" localSheetId="15" hidden="1">3</definedName>
    <definedName name="solver_rel156" localSheetId="16" hidden="1">3</definedName>
    <definedName name="solver_rel157" localSheetId="14" hidden="1">3</definedName>
    <definedName name="solver_rel157" localSheetId="15" hidden="1">3</definedName>
    <definedName name="solver_rel157" localSheetId="16" hidden="1">3</definedName>
    <definedName name="solver_rel158" localSheetId="14" hidden="1">3</definedName>
    <definedName name="solver_rel158" localSheetId="15" hidden="1">3</definedName>
    <definedName name="solver_rel158" localSheetId="16" hidden="1">3</definedName>
    <definedName name="solver_rel159" localSheetId="14" hidden="1">3</definedName>
    <definedName name="solver_rel159" localSheetId="15" hidden="1">3</definedName>
    <definedName name="solver_rel159" localSheetId="16" hidden="1">3</definedName>
    <definedName name="solver_rel16" localSheetId="14" hidden="1">3</definedName>
    <definedName name="solver_rel16" localSheetId="15" hidden="1">2</definedName>
    <definedName name="solver_rel16" localSheetId="16" hidden="1">3</definedName>
    <definedName name="solver_rel160" localSheetId="14" hidden="1">3</definedName>
    <definedName name="solver_rel160" localSheetId="15" hidden="1">3</definedName>
    <definedName name="solver_rel160" localSheetId="16" hidden="1">3</definedName>
    <definedName name="solver_rel161" localSheetId="14" hidden="1">3</definedName>
    <definedName name="solver_rel161" localSheetId="15" hidden="1">3</definedName>
    <definedName name="solver_rel161" localSheetId="16" hidden="1">3</definedName>
    <definedName name="solver_rel162" localSheetId="14" hidden="1">3</definedName>
    <definedName name="solver_rel162" localSheetId="15" hidden="1">3</definedName>
    <definedName name="solver_rel162" localSheetId="16" hidden="1">3</definedName>
    <definedName name="solver_rel163" localSheetId="14" hidden="1">3</definedName>
    <definedName name="solver_rel163" localSheetId="15" hidden="1">3</definedName>
    <definedName name="solver_rel163" localSheetId="16" hidden="1">3</definedName>
    <definedName name="solver_rel164" localSheetId="14" hidden="1">3</definedName>
    <definedName name="solver_rel164" localSheetId="15" hidden="1">3</definedName>
    <definedName name="solver_rel164" localSheetId="16" hidden="1">3</definedName>
    <definedName name="solver_rel165" localSheetId="14" hidden="1">3</definedName>
    <definedName name="solver_rel165" localSheetId="15" hidden="1">3</definedName>
    <definedName name="solver_rel165" localSheetId="16" hidden="1">3</definedName>
    <definedName name="solver_rel166" localSheetId="14" hidden="1">3</definedName>
    <definedName name="solver_rel166" localSheetId="15" hidden="1">3</definedName>
    <definedName name="solver_rel166" localSheetId="16" hidden="1">3</definedName>
    <definedName name="solver_rel167" localSheetId="14" hidden="1">3</definedName>
    <definedName name="solver_rel167" localSheetId="15" hidden="1">3</definedName>
    <definedName name="solver_rel167" localSheetId="16" hidden="1">3</definedName>
    <definedName name="solver_rel168" localSheetId="14" hidden="1">3</definedName>
    <definedName name="solver_rel168" localSheetId="15" hidden="1">3</definedName>
    <definedName name="solver_rel168" localSheetId="16" hidden="1">3</definedName>
    <definedName name="solver_rel169" localSheetId="14" hidden="1">3</definedName>
    <definedName name="solver_rel169" localSheetId="15" hidden="1">3</definedName>
    <definedName name="solver_rel169" localSheetId="16" hidden="1">3</definedName>
    <definedName name="solver_rel17" localSheetId="14" hidden="1">3</definedName>
    <definedName name="solver_rel17" localSheetId="15" hidden="1">2</definedName>
    <definedName name="solver_rel17" localSheetId="16" hidden="1">3</definedName>
    <definedName name="solver_rel170" localSheetId="14" hidden="1">3</definedName>
    <definedName name="solver_rel170" localSheetId="15" hidden="1">3</definedName>
    <definedName name="solver_rel170" localSheetId="16" hidden="1">3</definedName>
    <definedName name="solver_rel171" localSheetId="14" hidden="1">3</definedName>
    <definedName name="solver_rel171" localSheetId="15" hidden="1">3</definedName>
    <definedName name="solver_rel171" localSheetId="16" hidden="1">3</definedName>
    <definedName name="solver_rel172" localSheetId="14" hidden="1">3</definedName>
    <definedName name="solver_rel172" localSheetId="15" hidden="1">3</definedName>
    <definedName name="solver_rel172" localSheetId="16" hidden="1">3</definedName>
    <definedName name="solver_rel173" localSheetId="14" hidden="1">3</definedName>
    <definedName name="solver_rel173" localSheetId="15" hidden="1">3</definedName>
    <definedName name="solver_rel173" localSheetId="16" hidden="1">3</definedName>
    <definedName name="solver_rel174" localSheetId="14" hidden="1">3</definedName>
    <definedName name="solver_rel174" localSheetId="15" hidden="1">3</definedName>
    <definedName name="solver_rel174" localSheetId="16" hidden="1">3</definedName>
    <definedName name="solver_rel175" localSheetId="14" hidden="1">3</definedName>
    <definedName name="solver_rel175" localSheetId="15" hidden="1">3</definedName>
    <definedName name="solver_rel175" localSheetId="16" hidden="1">3</definedName>
    <definedName name="solver_rel176" localSheetId="14" hidden="1">3</definedName>
    <definedName name="solver_rel176" localSheetId="15" hidden="1">3</definedName>
    <definedName name="solver_rel176" localSheetId="16" hidden="1">3</definedName>
    <definedName name="solver_rel177" localSheetId="14" hidden="1">3</definedName>
    <definedName name="solver_rel177" localSheetId="15" hidden="1">3</definedName>
    <definedName name="solver_rel177" localSheetId="16" hidden="1">3</definedName>
    <definedName name="solver_rel178" localSheetId="14" hidden="1">3</definedName>
    <definedName name="solver_rel178" localSheetId="15" hidden="1">3</definedName>
    <definedName name="solver_rel178" localSheetId="16" hidden="1">3</definedName>
    <definedName name="solver_rel179" localSheetId="14" hidden="1">3</definedName>
    <definedName name="solver_rel179" localSheetId="15" hidden="1">3</definedName>
    <definedName name="solver_rel179" localSheetId="16" hidden="1">3</definedName>
    <definedName name="solver_rel18" localSheetId="14" hidden="1">3</definedName>
    <definedName name="solver_rel18" localSheetId="15" hidden="1">2</definedName>
    <definedName name="solver_rel18" localSheetId="16" hidden="1">3</definedName>
    <definedName name="solver_rel180" localSheetId="14" hidden="1">3</definedName>
    <definedName name="solver_rel180" localSheetId="15" hidden="1">3</definedName>
    <definedName name="solver_rel180" localSheetId="16" hidden="1">3</definedName>
    <definedName name="solver_rel181" localSheetId="14" hidden="1">3</definedName>
    <definedName name="solver_rel181" localSheetId="15" hidden="1">3</definedName>
    <definedName name="solver_rel181" localSheetId="16" hidden="1">3</definedName>
    <definedName name="solver_rel182" localSheetId="14" hidden="1">3</definedName>
    <definedName name="solver_rel182" localSheetId="15" hidden="1">3</definedName>
    <definedName name="solver_rel182" localSheetId="16" hidden="1">3</definedName>
    <definedName name="solver_rel183" localSheetId="14" hidden="1">3</definedName>
    <definedName name="solver_rel183" localSheetId="15" hidden="1">3</definedName>
    <definedName name="solver_rel183" localSheetId="16" hidden="1">3</definedName>
    <definedName name="solver_rel184" localSheetId="14" hidden="1">3</definedName>
    <definedName name="solver_rel184" localSheetId="15" hidden="1">3</definedName>
    <definedName name="solver_rel184" localSheetId="16" hidden="1">3</definedName>
    <definedName name="solver_rel185" localSheetId="14" hidden="1">3</definedName>
    <definedName name="solver_rel185" localSheetId="15" hidden="1">3</definedName>
    <definedName name="solver_rel185" localSheetId="16" hidden="1">3</definedName>
    <definedName name="solver_rel186" localSheetId="14" hidden="1">3</definedName>
    <definedName name="solver_rel186" localSheetId="15" hidden="1">3</definedName>
    <definedName name="solver_rel186" localSheetId="16" hidden="1">3</definedName>
    <definedName name="solver_rel187" localSheetId="14" hidden="1">3</definedName>
    <definedName name="solver_rel187" localSheetId="15" hidden="1">3</definedName>
    <definedName name="solver_rel187" localSheetId="16" hidden="1">3</definedName>
    <definedName name="solver_rel188" localSheetId="14" hidden="1">3</definedName>
    <definedName name="solver_rel188" localSheetId="15" hidden="1">3</definedName>
    <definedName name="solver_rel188" localSheetId="16" hidden="1">3</definedName>
    <definedName name="solver_rel189" localSheetId="14" hidden="1">3</definedName>
    <definedName name="solver_rel189" localSheetId="15" hidden="1">3</definedName>
    <definedName name="solver_rel189" localSheetId="16" hidden="1">3</definedName>
    <definedName name="solver_rel19" localSheetId="14" hidden="1">3</definedName>
    <definedName name="solver_rel19" localSheetId="15" hidden="1">2</definedName>
    <definedName name="solver_rel19" localSheetId="16" hidden="1">3</definedName>
    <definedName name="solver_rel190" localSheetId="14" hidden="1">3</definedName>
    <definedName name="solver_rel190" localSheetId="15" hidden="1">3</definedName>
    <definedName name="solver_rel190" localSheetId="16" hidden="1">3</definedName>
    <definedName name="solver_rel191" localSheetId="14" hidden="1">3</definedName>
    <definedName name="solver_rel191" localSheetId="15" hidden="1">3</definedName>
    <definedName name="solver_rel191" localSheetId="16" hidden="1">3</definedName>
    <definedName name="solver_rel192" localSheetId="14" hidden="1">3</definedName>
    <definedName name="solver_rel192" localSheetId="15" hidden="1">3</definedName>
    <definedName name="solver_rel192" localSheetId="16" hidden="1">3</definedName>
    <definedName name="solver_rel193" localSheetId="14" hidden="1">3</definedName>
    <definedName name="solver_rel193" localSheetId="15" hidden="1">3</definedName>
    <definedName name="solver_rel193" localSheetId="16" hidden="1">3</definedName>
    <definedName name="solver_rel194" localSheetId="14" hidden="1">3</definedName>
    <definedName name="solver_rel194" localSheetId="15" hidden="1">3</definedName>
    <definedName name="solver_rel194" localSheetId="16" hidden="1">3</definedName>
    <definedName name="solver_rel195" localSheetId="14" hidden="1">3</definedName>
    <definedName name="solver_rel195" localSheetId="15" hidden="1">3</definedName>
    <definedName name="solver_rel195" localSheetId="16" hidden="1">3</definedName>
    <definedName name="solver_rel196" localSheetId="14" hidden="1">3</definedName>
    <definedName name="solver_rel196" localSheetId="15" hidden="1">3</definedName>
    <definedName name="solver_rel196" localSheetId="16" hidden="1">3</definedName>
    <definedName name="solver_rel197" localSheetId="14" hidden="1">3</definedName>
    <definedName name="solver_rel197" localSheetId="15" hidden="1">3</definedName>
    <definedName name="solver_rel197" localSheetId="16" hidden="1">3</definedName>
    <definedName name="solver_rel198" localSheetId="14" hidden="1">3</definedName>
    <definedName name="solver_rel198" localSheetId="15" hidden="1">3</definedName>
    <definedName name="solver_rel198" localSheetId="16" hidden="1">3</definedName>
    <definedName name="solver_rel199" localSheetId="14" hidden="1">3</definedName>
    <definedName name="solver_rel199" localSheetId="15" hidden="1">3</definedName>
    <definedName name="solver_rel199" localSheetId="16" hidden="1">3</definedName>
    <definedName name="solver_rel2" localSheetId="14" hidden="1">2</definedName>
    <definedName name="solver_rel2" localSheetId="13" hidden="1">2</definedName>
    <definedName name="solver_rel2" localSheetId="11" hidden="1">2</definedName>
    <definedName name="solver_rel2" localSheetId="12" hidden="1">2</definedName>
    <definedName name="solver_rel2" localSheetId="15" hidden="1">2</definedName>
    <definedName name="solver_rel2" localSheetId="16" hidden="1">3</definedName>
    <definedName name="solver_rel20" localSheetId="14" hidden="1">3</definedName>
    <definedName name="solver_rel20" localSheetId="15" hidden="1">2</definedName>
    <definedName name="solver_rel20" localSheetId="16" hidden="1">3</definedName>
    <definedName name="solver_rel200" localSheetId="14" hidden="1">3</definedName>
    <definedName name="solver_rel200" localSheetId="15" hidden="1">3</definedName>
    <definedName name="solver_rel200" localSheetId="16" hidden="1">3</definedName>
    <definedName name="solver_rel201" localSheetId="14" hidden="1">3</definedName>
    <definedName name="solver_rel201" localSheetId="15" hidden="1">3</definedName>
    <definedName name="solver_rel201" localSheetId="16" hidden="1">3</definedName>
    <definedName name="solver_rel202" localSheetId="14" hidden="1">3</definedName>
    <definedName name="solver_rel202" localSheetId="15" hidden="1">3</definedName>
    <definedName name="solver_rel202" localSheetId="16" hidden="1">3</definedName>
    <definedName name="solver_rel203" localSheetId="14" hidden="1">3</definedName>
    <definedName name="solver_rel203" localSheetId="15" hidden="1">3</definedName>
    <definedName name="solver_rel203" localSheetId="16" hidden="1">3</definedName>
    <definedName name="solver_rel204" localSheetId="14" hidden="1">3</definedName>
    <definedName name="solver_rel204" localSheetId="15" hidden="1">3</definedName>
    <definedName name="solver_rel204" localSheetId="16" hidden="1">3</definedName>
    <definedName name="solver_rel205" localSheetId="14" hidden="1">3</definedName>
    <definedName name="solver_rel205" localSheetId="15" hidden="1">3</definedName>
    <definedName name="solver_rel205" localSheetId="16" hidden="1">3</definedName>
    <definedName name="solver_rel206" localSheetId="14" hidden="1">3</definedName>
    <definedName name="solver_rel206" localSheetId="15" hidden="1">3</definedName>
    <definedName name="solver_rel206" localSheetId="16" hidden="1">3</definedName>
    <definedName name="solver_rel207" localSheetId="14" hidden="1">3</definedName>
    <definedName name="solver_rel207" localSheetId="15" hidden="1">3</definedName>
    <definedName name="solver_rel207" localSheetId="16" hidden="1">3</definedName>
    <definedName name="solver_rel208" localSheetId="14" hidden="1">3</definedName>
    <definedName name="solver_rel208" localSheetId="15" hidden="1">3</definedName>
    <definedName name="solver_rel208" localSheetId="16" hidden="1">3</definedName>
    <definedName name="solver_rel209" localSheetId="14" hidden="1">3</definedName>
    <definedName name="solver_rel209" localSheetId="15" hidden="1">3</definedName>
    <definedName name="solver_rel209" localSheetId="16" hidden="1">3</definedName>
    <definedName name="solver_rel21" localSheetId="14" hidden="1">3</definedName>
    <definedName name="solver_rel21" localSheetId="15" hidden="1">2</definedName>
    <definedName name="solver_rel21" localSheetId="16" hidden="1">3</definedName>
    <definedName name="solver_rel210" localSheetId="14" hidden="1">3</definedName>
    <definedName name="solver_rel210" localSheetId="15" hidden="1">3</definedName>
    <definedName name="solver_rel210" localSheetId="16" hidden="1">3</definedName>
    <definedName name="solver_rel211" localSheetId="14" hidden="1">3</definedName>
    <definedName name="solver_rel211" localSheetId="15" hidden="1">3</definedName>
    <definedName name="solver_rel211" localSheetId="16" hidden="1">3</definedName>
    <definedName name="solver_rel212" localSheetId="14" hidden="1">3</definedName>
    <definedName name="solver_rel212" localSheetId="15" hidden="1">3</definedName>
    <definedName name="solver_rel212" localSheetId="16" hidden="1">3</definedName>
    <definedName name="solver_rel213" localSheetId="14" hidden="1">3</definedName>
    <definedName name="solver_rel213" localSheetId="15" hidden="1">3</definedName>
    <definedName name="solver_rel213" localSheetId="16" hidden="1">3</definedName>
    <definedName name="solver_rel214" localSheetId="14" hidden="1">3</definedName>
    <definedName name="solver_rel214" localSheetId="15" hidden="1">3</definedName>
    <definedName name="solver_rel214" localSheetId="16" hidden="1">3</definedName>
    <definedName name="solver_rel215" localSheetId="14" hidden="1">3</definedName>
    <definedName name="solver_rel215" localSheetId="15" hidden="1">3</definedName>
    <definedName name="solver_rel215" localSheetId="16" hidden="1">3</definedName>
    <definedName name="solver_rel216" localSheetId="14" hidden="1">3</definedName>
    <definedName name="solver_rel216" localSheetId="15" hidden="1">3</definedName>
    <definedName name="solver_rel216" localSheetId="16" hidden="1">3</definedName>
    <definedName name="solver_rel217" localSheetId="14" hidden="1">3</definedName>
    <definedName name="solver_rel217" localSheetId="15" hidden="1">3</definedName>
    <definedName name="solver_rel217" localSheetId="16" hidden="1">3</definedName>
    <definedName name="solver_rel218" localSheetId="14" hidden="1">3</definedName>
    <definedName name="solver_rel218" localSheetId="15" hidden="1">3</definedName>
    <definedName name="solver_rel218" localSheetId="16" hidden="1">3</definedName>
    <definedName name="solver_rel219" localSheetId="14" hidden="1">3</definedName>
    <definedName name="solver_rel219" localSheetId="15" hidden="1">3</definedName>
    <definedName name="solver_rel219" localSheetId="16" hidden="1">3</definedName>
    <definedName name="solver_rel22" localSheetId="14" hidden="1">3</definedName>
    <definedName name="solver_rel22" localSheetId="15" hidden="1">2</definedName>
    <definedName name="solver_rel22" localSheetId="16" hidden="1">3</definedName>
    <definedName name="solver_rel220" localSheetId="14" hidden="1">3</definedName>
    <definedName name="solver_rel220" localSheetId="15" hidden="1">3</definedName>
    <definedName name="solver_rel220" localSheetId="16" hidden="1">3</definedName>
    <definedName name="solver_rel221" localSheetId="14" hidden="1">3</definedName>
    <definedName name="solver_rel221" localSheetId="15" hidden="1">3</definedName>
    <definedName name="solver_rel221" localSheetId="16" hidden="1">3</definedName>
    <definedName name="solver_rel222" localSheetId="14" hidden="1">2</definedName>
    <definedName name="solver_rel222" localSheetId="15" hidden="1">3</definedName>
    <definedName name="solver_rel222" localSheetId="16" hidden="1">2</definedName>
    <definedName name="solver_rel223" localSheetId="14" hidden="1">3</definedName>
    <definedName name="solver_rel223" localSheetId="15" hidden="1">3</definedName>
    <definedName name="solver_rel223" localSheetId="16" hidden="1">3</definedName>
    <definedName name="solver_rel224" localSheetId="14" hidden="1">2</definedName>
    <definedName name="solver_rel224" localSheetId="15" hidden="1">3</definedName>
    <definedName name="solver_rel224" localSheetId="16" hidden="1">2</definedName>
    <definedName name="solver_rel225" localSheetId="14" hidden="1">2</definedName>
    <definedName name="solver_rel225" localSheetId="15" hidden="1">3</definedName>
    <definedName name="solver_rel225" localSheetId="16" hidden="1">2</definedName>
    <definedName name="solver_rel226" localSheetId="14" hidden="1">2</definedName>
    <definedName name="solver_rel226" localSheetId="15" hidden="1">3</definedName>
    <definedName name="solver_rel226" localSheetId="16" hidden="1">2</definedName>
    <definedName name="solver_rel227" localSheetId="14" hidden="1">2</definedName>
    <definedName name="solver_rel227" localSheetId="15" hidden="1">3</definedName>
    <definedName name="solver_rel227" localSheetId="16" hidden="1">2</definedName>
    <definedName name="solver_rel228" localSheetId="14" hidden="1">2</definedName>
    <definedName name="solver_rel228" localSheetId="15" hidden="1">3</definedName>
    <definedName name="solver_rel228" localSheetId="16" hidden="1">2</definedName>
    <definedName name="solver_rel229" localSheetId="14" hidden="1">2</definedName>
    <definedName name="solver_rel229" localSheetId="15" hidden="1">3</definedName>
    <definedName name="solver_rel229" localSheetId="16" hidden="1">2</definedName>
    <definedName name="solver_rel23" localSheetId="14" hidden="1">3</definedName>
    <definedName name="solver_rel23" localSheetId="15" hidden="1">2</definedName>
    <definedName name="solver_rel23" localSheetId="16" hidden="1">3</definedName>
    <definedName name="solver_rel230" localSheetId="14" hidden="1">2</definedName>
    <definedName name="solver_rel230" localSheetId="15" hidden="1">3</definedName>
    <definedName name="solver_rel230" localSheetId="16" hidden="1">2</definedName>
    <definedName name="solver_rel231" localSheetId="14" hidden="1">2</definedName>
    <definedName name="solver_rel231" localSheetId="15" hidden="1">3</definedName>
    <definedName name="solver_rel231" localSheetId="16" hidden="1">2</definedName>
    <definedName name="solver_rel232" localSheetId="14" hidden="1">2</definedName>
    <definedName name="solver_rel232" localSheetId="15" hidden="1">3</definedName>
    <definedName name="solver_rel232" localSheetId="16" hidden="1">2</definedName>
    <definedName name="solver_rel233" localSheetId="14" hidden="1">2</definedName>
    <definedName name="solver_rel233" localSheetId="15" hidden="1">3</definedName>
    <definedName name="solver_rel233" localSheetId="16" hidden="1">2</definedName>
    <definedName name="solver_rel234" localSheetId="14" hidden="1">2</definedName>
    <definedName name="solver_rel234" localSheetId="15" hidden="1">3</definedName>
    <definedName name="solver_rel234" localSheetId="16" hidden="1">2</definedName>
    <definedName name="solver_rel235" localSheetId="14" hidden="1">2</definedName>
    <definedName name="solver_rel235" localSheetId="15" hidden="1">3</definedName>
    <definedName name="solver_rel235" localSheetId="16" hidden="1">2</definedName>
    <definedName name="solver_rel236" localSheetId="14" hidden="1">2</definedName>
    <definedName name="solver_rel236" localSheetId="15" hidden="1">3</definedName>
    <definedName name="solver_rel236" localSheetId="16" hidden="1">2</definedName>
    <definedName name="solver_rel237" localSheetId="14" hidden="1">2</definedName>
    <definedName name="solver_rel237" localSheetId="15" hidden="1">3</definedName>
    <definedName name="solver_rel237" localSheetId="16" hidden="1">2</definedName>
    <definedName name="solver_rel238" localSheetId="14" hidden="1">2</definedName>
    <definedName name="solver_rel238" localSheetId="15" hidden="1">3</definedName>
    <definedName name="solver_rel238" localSheetId="16" hidden="1">2</definedName>
    <definedName name="solver_rel239" localSheetId="14" hidden="1">2</definedName>
    <definedName name="solver_rel239" localSheetId="15" hidden="1">3</definedName>
    <definedName name="solver_rel239" localSheetId="16" hidden="1">2</definedName>
    <definedName name="solver_rel24" localSheetId="14" hidden="1">3</definedName>
    <definedName name="solver_rel24" localSheetId="15" hidden="1">2</definedName>
    <definedName name="solver_rel24" localSheetId="16" hidden="1">3</definedName>
    <definedName name="solver_rel240" localSheetId="15" hidden="1">3</definedName>
    <definedName name="solver_rel241" localSheetId="15" hidden="1">3</definedName>
    <definedName name="solver_rel242" localSheetId="15" hidden="1">3</definedName>
    <definedName name="solver_rel243" localSheetId="15" hidden="1">3</definedName>
    <definedName name="solver_rel244" localSheetId="15" hidden="1">3</definedName>
    <definedName name="solver_rel245" localSheetId="15" hidden="1">3</definedName>
    <definedName name="solver_rel25" localSheetId="14" hidden="1">3</definedName>
    <definedName name="solver_rel25" localSheetId="15" hidden="1">2</definedName>
    <definedName name="solver_rel25" localSheetId="16" hidden="1">3</definedName>
    <definedName name="solver_rel26" localSheetId="14" hidden="1">3</definedName>
    <definedName name="solver_rel26" localSheetId="15" hidden="1">2</definedName>
    <definedName name="solver_rel26" localSheetId="16" hidden="1">3</definedName>
    <definedName name="solver_rel27" localSheetId="14" hidden="1">3</definedName>
    <definedName name="solver_rel27" localSheetId="15" hidden="1">2</definedName>
    <definedName name="solver_rel27" localSheetId="16" hidden="1">3</definedName>
    <definedName name="solver_rel28" localSheetId="14" hidden="1">3</definedName>
    <definedName name="solver_rel28" localSheetId="15" hidden="1">2</definedName>
    <definedName name="solver_rel28" localSheetId="16" hidden="1">3</definedName>
    <definedName name="solver_rel29" localSheetId="14" hidden="1">3</definedName>
    <definedName name="solver_rel29" localSheetId="15" hidden="1">2</definedName>
    <definedName name="solver_rel29" localSheetId="16" hidden="1">3</definedName>
    <definedName name="solver_rel3" localSheetId="14" hidden="1">2</definedName>
    <definedName name="solver_rel3" localSheetId="13" hidden="1">3</definedName>
    <definedName name="solver_rel3" localSheetId="11" hidden="1">3</definedName>
    <definedName name="solver_rel3" localSheetId="12" hidden="1">3</definedName>
    <definedName name="solver_rel3" localSheetId="15" hidden="1">2</definedName>
    <definedName name="solver_rel3" localSheetId="16" hidden="1">2</definedName>
    <definedName name="solver_rel30" localSheetId="14" hidden="1">3</definedName>
    <definedName name="solver_rel30" localSheetId="15" hidden="1">2</definedName>
    <definedName name="solver_rel30" localSheetId="16" hidden="1">3</definedName>
    <definedName name="solver_rel31" localSheetId="14" hidden="1">3</definedName>
    <definedName name="solver_rel31" localSheetId="15" hidden="1">2</definedName>
    <definedName name="solver_rel31" localSheetId="16" hidden="1">3</definedName>
    <definedName name="solver_rel32" localSheetId="14" hidden="1">3</definedName>
    <definedName name="solver_rel32" localSheetId="15" hidden="1">2</definedName>
    <definedName name="solver_rel32" localSheetId="16" hidden="1">3</definedName>
    <definedName name="solver_rel33" localSheetId="14" hidden="1">3</definedName>
    <definedName name="solver_rel33" localSheetId="15" hidden="1">2</definedName>
    <definedName name="solver_rel33" localSheetId="16" hidden="1">3</definedName>
    <definedName name="solver_rel34" localSheetId="14" hidden="1">3</definedName>
    <definedName name="solver_rel34" localSheetId="15" hidden="1">2</definedName>
    <definedName name="solver_rel34" localSheetId="16" hidden="1">3</definedName>
    <definedName name="solver_rel35" localSheetId="14" hidden="1">3</definedName>
    <definedName name="solver_rel35" localSheetId="15" hidden="1">2</definedName>
    <definedName name="solver_rel35" localSheetId="16" hidden="1">3</definedName>
    <definedName name="solver_rel36" localSheetId="14" hidden="1">3</definedName>
    <definedName name="solver_rel36" localSheetId="15" hidden="1">2</definedName>
    <definedName name="solver_rel36" localSheetId="16" hidden="1">3</definedName>
    <definedName name="solver_rel37" localSheetId="14" hidden="1">3</definedName>
    <definedName name="solver_rel37" localSheetId="15" hidden="1">2</definedName>
    <definedName name="solver_rel37" localSheetId="16" hidden="1">3</definedName>
    <definedName name="solver_rel38" localSheetId="14" hidden="1">3</definedName>
    <definedName name="solver_rel38" localSheetId="15" hidden="1">2</definedName>
    <definedName name="solver_rel38" localSheetId="16" hidden="1">3</definedName>
    <definedName name="solver_rel39" localSheetId="14" hidden="1">3</definedName>
    <definedName name="solver_rel39" localSheetId="15" hidden="1">2</definedName>
    <definedName name="solver_rel39" localSheetId="16" hidden="1">3</definedName>
    <definedName name="solver_rel4" localSheetId="14" hidden="1">3</definedName>
    <definedName name="solver_rel4" localSheetId="13" hidden="1">3</definedName>
    <definedName name="solver_rel4" localSheetId="11" hidden="1">3</definedName>
    <definedName name="solver_rel4" localSheetId="12" hidden="1">3</definedName>
    <definedName name="solver_rel4" localSheetId="15" hidden="1">2</definedName>
    <definedName name="solver_rel4" localSheetId="16" hidden="1">2</definedName>
    <definedName name="solver_rel40" localSheetId="14" hidden="1">3</definedName>
    <definedName name="solver_rel40" localSheetId="15" hidden="1">2</definedName>
    <definedName name="solver_rel40" localSheetId="16" hidden="1">3</definedName>
    <definedName name="solver_rel41" localSheetId="14" hidden="1">3</definedName>
    <definedName name="solver_rel41" localSheetId="15" hidden="1">2</definedName>
    <definedName name="solver_rel41" localSheetId="16" hidden="1">3</definedName>
    <definedName name="solver_rel42" localSheetId="14" hidden="1">3</definedName>
    <definedName name="solver_rel42" localSheetId="15" hidden="1">2</definedName>
    <definedName name="solver_rel42" localSheetId="16" hidden="1">3</definedName>
    <definedName name="solver_rel43" localSheetId="14" hidden="1">3</definedName>
    <definedName name="solver_rel43" localSheetId="15" hidden="1">2</definedName>
    <definedName name="solver_rel43" localSheetId="16" hidden="1">3</definedName>
    <definedName name="solver_rel44" localSheetId="14" hidden="1">3</definedName>
    <definedName name="solver_rel44" localSheetId="15" hidden="1">2</definedName>
    <definedName name="solver_rel44" localSheetId="16" hidden="1">3</definedName>
    <definedName name="solver_rel45" localSheetId="14" hidden="1">3</definedName>
    <definedName name="solver_rel45" localSheetId="15" hidden="1">2</definedName>
    <definedName name="solver_rel45" localSheetId="16" hidden="1">3</definedName>
    <definedName name="solver_rel46" localSheetId="14" hidden="1">3</definedName>
    <definedName name="solver_rel46" localSheetId="15" hidden="1">2</definedName>
    <definedName name="solver_rel46" localSheetId="16" hidden="1">3</definedName>
    <definedName name="solver_rel47" localSheetId="14" hidden="1">3</definedName>
    <definedName name="solver_rel47" localSheetId="15" hidden="1">2</definedName>
    <definedName name="solver_rel47" localSheetId="16" hidden="1">3</definedName>
    <definedName name="solver_rel48" localSheetId="14" hidden="1">3</definedName>
    <definedName name="solver_rel48" localSheetId="15" hidden="1">2</definedName>
    <definedName name="solver_rel48" localSheetId="16" hidden="1">3</definedName>
    <definedName name="solver_rel49" localSheetId="14" hidden="1">3</definedName>
    <definedName name="solver_rel49" localSheetId="15" hidden="1">2</definedName>
    <definedName name="solver_rel49" localSheetId="16" hidden="1">3</definedName>
    <definedName name="solver_rel5" localSheetId="14" hidden="1">3</definedName>
    <definedName name="solver_rel5" localSheetId="13" hidden="1">3</definedName>
    <definedName name="solver_rel5" localSheetId="11" hidden="1">3</definedName>
    <definedName name="solver_rel5" localSheetId="12" hidden="1">3</definedName>
    <definedName name="solver_rel5" localSheetId="15" hidden="1">2</definedName>
    <definedName name="solver_rel5" localSheetId="16" hidden="1">3</definedName>
    <definedName name="solver_rel50" localSheetId="14" hidden="1">3</definedName>
    <definedName name="solver_rel50" localSheetId="15" hidden="1">2</definedName>
    <definedName name="solver_rel50" localSheetId="16" hidden="1">3</definedName>
    <definedName name="solver_rel51" localSheetId="14" hidden="1">3</definedName>
    <definedName name="solver_rel51" localSheetId="15" hidden="1">2</definedName>
    <definedName name="solver_rel51" localSheetId="16" hidden="1">3</definedName>
    <definedName name="solver_rel52" localSheetId="14" hidden="1">3</definedName>
    <definedName name="solver_rel52" localSheetId="15" hidden="1">2</definedName>
    <definedName name="solver_rel52" localSheetId="16" hidden="1">3</definedName>
    <definedName name="solver_rel53" localSheetId="14" hidden="1">3</definedName>
    <definedName name="solver_rel53" localSheetId="15" hidden="1">2</definedName>
    <definedName name="solver_rel53" localSheetId="16" hidden="1">3</definedName>
    <definedName name="solver_rel54" localSheetId="14" hidden="1">3</definedName>
    <definedName name="solver_rel54" localSheetId="15" hidden="1">2</definedName>
    <definedName name="solver_rel54" localSheetId="16" hidden="1">3</definedName>
    <definedName name="solver_rel55" localSheetId="14" hidden="1">3</definedName>
    <definedName name="solver_rel55" localSheetId="15" hidden="1">2</definedName>
    <definedName name="solver_rel55" localSheetId="16" hidden="1">3</definedName>
    <definedName name="solver_rel56" localSheetId="14" hidden="1">3</definedName>
    <definedName name="solver_rel56" localSheetId="15" hidden="1">2</definedName>
    <definedName name="solver_rel56" localSheetId="16" hidden="1">3</definedName>
    <definedName name="solver_rel57" localSheetId="14" hidden="1">3</definedName>
    <definedName name="solver_rel57" localSheetId="15" hidden="1">2</definedName>
    <definedName name="solver_rel57" localSheetId="16" hidden="1">3</definedName>
    <definedName name="solver_rel58" localSheetId="14" hidden="1">3</definedName>
    <definedName name="solver_rel58" localSheetId="15" hidden="1">2</definedName>
    <definedName name="solver_rel58" localSheetId="16" hidden="1">3</definedName>
    <definedName name="solver_rel59" localSheetId="14" hidden="1">3</definedName>
    <definedName name="solver_rel59" localSheetId="15" hidden="1">2</definedName>
    <definedName name="solver_rel59" localSheetId="16" hidden="1">3</definedName>
    <definedName name="solver_rel6" localSheetId="14" hidden="1">3</definedName>
    <definedName name="solver_rel6" localSheetId="15" hidden="1">2</definedName>
    <definedName name="solver_rel6" localSheetId="16" hidden="1">3</definedName>
    <definedName name="solver_rel60" localSheetId="14" hidden="1">3</definedName>
    <definedName name="solver_rel60" localSheetId="15" hidden="1">2</definedName>
    <definedName name="solver_rel60" localSheetId="16" hidden="1">3</definedName>
    <definedName name="solver_rel61" localSheetId="14" hidden="1">3</definedName>
    <definedName name="solver_rel61" localSheetId="15" hidden="1">2</definedName>
    <definedName name="solver_rel61" localSheetId="16" hidden="1">3</definedName>
    <definedName name="solver_rel62" localSheetId="14" hidden="1">3</definedName>
    <definedName name="solver_rel62" localSheetId="15" hidden="1">2</definedName>
    <definedName name="solver_rel62" localSheetId="16" hidden="1">3</definedName>
    <definedName name="solver_rel63" localSheetId="14" hidden="1">3</definedName>
    <definedName name="solver_rel63" localSheetId="15" hidden="1">2</definedName>
    <definedName name="solver_rel63" localSheetId="16" hidden="1">3</definedName>
    <definedName name="solver_rel64" localSheetId="14" hidden="1">3</definedName>
    <definedName name="solver_rel64" localSheetId="15" hidden="1">2</definedName>
    <definedName name="solver_rel64" localSheetId="16" hidden="1">3</definedName>
    <definedName name="solver_rel65" localSheetId="14" hidden="1">3</definedName>
    <definedName name="solver_rel65" localSheetId="15" hidden="1">2</definedName>
    <definedName name="solver_rel65" localSheetId="16" hidden="1">3</definedName>
    <definedName name="solver_rel66" localSheetId="14" hidden="1">3</definedName>
    <definedName name="solver_rel66" localSheetId="15" hidden="1">2</definedName>
    <definedName name="solver_rel66" localSheetId="16" hidden="1">3</definedName>
    <definedName name="solver_rel67" localSheetId="14" hidden="1">3</definedName>
    <definedName name="solver_rel67" localSheetId="15" hidden="1">2</definedName>
    <definedName name="solver_rel67" localSheetId="16" hidden="1">3</definedName>
    <definedName name="solver_rel68" localSheetId="14" hidden="1">3</definedName>
    <definedName name="solver_rel68" localSheetId="15" hidden="1">2</definedName>
    <definedName name="solver_rel68" localSheetId="16" hidden="1">3</definedName>
    <definedName name="solver_rel69" localSheetId="14" hidden="1">3</definedName>
    <definedName name="solver_rel69" localSheetId="15" hidden="1">2</definedName>
    <definedName name="solver_rel69" localSheetId="16" hidden="1">3</definedName>
    <definedName name="solver_rel7" localSheetId="14" hidden="1">3</definedName>
    <definedName name="solver_rel7" localSheetId="15" hidden="1">2</definedName>
    <definedName name="solver_rel7" localSheetId="16" hidden="1">3</definedName>
    <definedName name="solver_rel70" localSheetId="14" hidden="1">3</definedName>
    <definedName name="solver_rel70" localSheetId="15" hidden="1">2</definedName>
    <definedName name="solver_rel70" localSheetId="16" hidden="1">3</definedName>
    <definedName name="solver_rel71" localSheetId="14" hidden="1">3</definedName>
    <definedName name="solver_rel71" localSheetId="15" hidden="1">2</definedName>
    <definedName name="solver_rel71" localSheetId="16" hidden="1">3</definedName>
    <definedName name="solver_rel72" localSheetId="14" hidden="1">3</definedName>
    <definedName name="solver_rel72" localSheetId="15" hidden="1">2</definedName>
    <definedName name="solver_rel72" localSheetId="16" hidden="1">3</definedName>
    <definedName name="solver_rel73" localSheetId="14" hidden="1">3</definedName>
    <definedName name="solver_rel73" localSheetId="15" hidden="1">2</definedName>
    <definedName name="solver_rel73" localSheetId="16" hidden="1">3</definedName>
    <definedName name="solver_rel74" localSheetId="14" hidden="1">3</definedName>
    <definedName name="solver_rel74" localSheetId="15" hidden="1">2</definedName>
    <definedName name="solver_rel74" localSheetId="16" hidden="1">3</definedName>
    <definedName name="solver_rel75" localSheetId="14" hidden="1">3</definedName>
    <definedName name="solver_rel75" localSheetId="15" hidden="1">2</definedName>
    <definedName name="solver_rel75" localSheetId="16" hidden="1">3</definedName>
    <definedName name="solver_rel76" localSheetId="14" hidden="1">3</definedName>
    <definedName name="solver_rel76" localSheetId="15" hidden="1">2</definedName>
    <definedName name="solver_rel76" localSheetId="16" hidden="1">3</definedName>
    <definedName name="solver_rel77" localSheetId="14" hidden="1">3</definedName>
    <definedName name="solver_rel77" localSheetId="15" hidden="1">2</definedName>
    <definedName name="solver_rel77" localSheetId="16" hidden="1">3</definedName>
    <definedName name="solver_rel78" localSheetId="14" hidden="1">3</definedName>
    <definedName name="solver_rel78" localSheetId="15" hidden="1">2</definedName>
    <definedName name="solver_rel78" localSheetId="16" hidden="1">3</definedName>
    <definedName name="solver_rel79" localSheetId="14" hidden="1">3</definedName>
    <definedName name="solver_rel79" localSheetId="15" hidden="1">2</definedName>
    <definedName name="solver_rel79" localSheetId="16" hidden="1">3</definedName>
    <definedName name="solver_rel8" localSheetId="14" hidden="1">3</definedName>
    <definedName name="solver_rel8" localSheetId="15" hidden="1">2</definedName>
    <definedName name="solver_rel8" localSheetId="16" hidden="1">3</definedName>
    <definedName name="solver_rel80" localSheetId="14" hidden="1">3</definedName>
    <definedName name="solver_rel80" localSheetId="15" hidden="1">2</definedName>
    <definedName name="solver_rel80" localSheetId="16" hidden="1">3</definedName>
    <definedName name="solver_rel81" localSheetId="14" hidden="1">3</definedName>
    <definedName name="solver_rel81" localSheetId="15" hidden="1">2</definedName>
    <definedName name="solver_rel81" localSheetId="16" hidden="1">3</definedName>
    <definedName name="solver_rel82" localSheetId="14" hidden="1">3</definedName>
    <definedName name="solver_rel82" localSheetId="15" hidden="1">2</definedName>
    <definedName name="solver_rel82" localSheetId="16" hidden="1">3</definedName>
    <definedName name="solver_rel83" localSheetId="14" hidden="1">3</definedName>
    <definedName name="solver_rel83" localSheetId="15" hidden="1">2</definedName>
    <definedName name="solver_rel83" localSheetId="16" hidden="1">3</definedName>
    <definedName name="solver_rel84" localSheetId="14" hidden="1">3</definedName>
    <definedName name="solver_rel84" localSheetId="15" hidden="1">2</definedName>
    <definedName name="solver_rel84" localSheetId="16" hidden="1">3</definedName>
    <definedName name="solver_rel85" localSheetId="14" hidden="1">3</definedName>
    <definedName name="solver_rel85" localSheetId="15" hidden="1">2</definedName>
    <definedName name="solver_rel85" localSheetId="16" hidden="1">3</definedName>
    <definedName name="solver_rel86" localSheetId="14" hidden="1">3</definedName>
    <definedName name="solver_rel86" localSheetId="15" hidden="1">2</definedName>
    <definedName name="solver_rel86" localSheetId="16" hidden="1">3</definedName>
    <definedName name="solver_rel87" localSheetId="14" hidden="1">3</definedName>
    <definedName name="solver_rel87" localSheetId="15" hidden="1">2</definedName>
    <definedName name="solver_rel87" localSheetId="16" hidden="1">3</definedName>
    <definedName name="solver_rel88" localSheetId="14" hidden="1">3</definedName>
    <definedName name="solver_rel88" localSheetId="15" hidden="1">2</definedName>
    <definedName name="solver_rel88" localSheetId="16" hidden="1">3</definedName>
    <definedName name="solver_rel89" localSheetId="14" hidden="1">3</definedName>
    <definedName name="solver_rel89" localSheetId="15" hidden="1">2</definedName>
    <definedName name="solver_rel89" localSheetId="16" hidden="1">3</definedName>
    <definedName name="solver_rel9" localSheetId="14" hidden="1">3</definedName>
    <definedName name="solver_rel9" localSheetId="15" hidden="1">2</definedName>
    <definedName name="solver_rel9" localSheetId="16" hidden="1">3</definedName>
    <definedName name="solver_rel90" localSheetId="14" hidden="1">3</definedName>
    <definedName name="solver_rel90" localSheetId="15" hidden="1">2</definedName>
    <definedName name="solver_rel90" localSheetId="16" hidden="1">3</definedName>
    <definedName name="solver_rel91" localSheetId="14" hidden="1">3</definedName>
    <definedName name="solver_rel91" localSheetId="15" hidden="1">2</definedName>
    <definedName name="solver_rel91" localSheetId="16" hidden="1">3</definedName>
    <definedName name="solver_rel92" localSheetId="14" hidden="1">3</definedName>
    <definedName name="solver_rel92" localSheetId="15" hidden="1">2</definedName>
    <definedName name="solver_rel92" localSheetId="16" hidden="1">3</definedName>
    <definedName name="solver_rel93" localSheetId="14" hidden="1">3</definedName>
    <definedName name="solver_rel93" localSheetId="15" hidden="1">2</definedName>
    <definedName name="solver_rel93" localSheetId="16" hidden="1">3</definedName>
    <definedName name="solver_rel94" localSheetId="14" hidden="1">3</definedName>
    <definedName name="solver_rel94" localSheetId="15" hidden="1">2</definedName>
    <definedName name="solver_rel94" localSheetId="16" hidden="1">3</definedName>
    <definedName name="solver_rel95" localSheetId="14" hidden="1">3</definedName>
    <definedName name="solver_rel95" localSheetId="15" hidden="1">2</definedName>
    <definedName name="solver_rel95" localSheetId="16" hidden="1">3</definedName>
    <definedName name="solver_rel96" localSheetId="14" hidden="1">3</definedName>
    <definedName name="solver_rel96" localSheetId="15" hidden="1">2</definedName>
    <definedName name="solver_rel96" localSheetId="16" hidden="1">3</definedName>
    <definedName name="solver_rel97" localSheetId="14" hidden="1">3</definedName>
    <definedName name="solver_rel97" localSheetId="15" hidden="1">2</definedName>
    <definedName name="solver_rel97" localSheetId="16" hidden="1">3</definedName>
    <definedName name="solver_rel98" localSheetId="14" hidden="1">3</definedName>
    <definedName name="solver_rel98" localSheetId="15" hidden="1">2</definedName>
    <definedName name="solver_rel98" localSheetId="16" hidden="1">3</definedName>
    <definedName name="solver_rel99" localSheetId="14" hidden="1">3</definedName>
    <definedName name="solver_rel99" localSheetId="15" hidden="1">2</definedName>
    <definedName name="solver_rel99" localSheetId="16" hidden="1">3</definedName>
    <definedName name="solver_reo" localSheetId="14" hidden="1">2</definedName>
    <definedName name="solver_reo" localSheetId="13" hidden="1">2</definedName>
    <definedName name="solver_reo" localSheetId="11" hidden="1">2</definedName>
    <definedName name="solver_reo" localSheetId="12" hidden="1">2</definedName>
    <definedName name="solver_reo" localSheetId="15" hidden="1">2</definedName>
    <definedName name="solver_reo" localSheetId="16" hidden="1">2</definedName>
    <definedName name="solver_rep" localSheetId="14" hidden="1">2</definedName>
    <definedName name="solver_rep" localSheetId="13" hidden="1">2</definedName>
    <definedName name="solver_rep" localSheetId="11" hidden="1">2</definedName>
    <definedName name="solver_rep" localSheetId="12" hidden="1">2</definedName>
    <definedName name="solver_rep" localSheetId="15" hidden="1">2</definedName>
    <definedName name="solver_rep" localSheetId="16" hidden="1">2</definedName>
    <definedName name="solver_rhs1" localSheetId="14" hidden="1">0</definedName>
    <definedName name="solver_rhs1" localSheetId="13" hidden="1">0</definedName>
    <definedName name="solver_rhs1" localSheetId="11" hidden="1">0</definedName>
    <definedName name="solver_rhs1" localSheetId="12" hidden="1">1</definedName>
    <definedName name="solver_rhs1" localSheetId="15" hidden="1">0</definedName>
    <definedName name="solver_rhs1" localSheetId="16" hidden="1">'Other restrictions'!$E$12</definedName>
    <definedName name="solver_rhs10" localSheetId="14" hidden="1">0</definedName>
    <definedName name="solver_rhs10" localSheetId="15" hidden="1">'No short vs general eff. front.'!$B$9</definedName>
    <definedName name="solver_rhs10" localSheetId="16" hidden="1">0</definedName>
    <definedName name="solver_rhs100" localSheetId="14" hidden="1">0</definedName>
    <definedName name="solver_rhs100" localSheetId="15" hidden="1">'No short vs general eff. front.'!$B$9</definedName>
    <definedName name="solver_rhs100" localSheetId="16" hidden="1">0</definedName>
    <definedName name="solver_rhs101" localSheetId="14" hidden="1">0</definedName>
    <definedName name="solver_rhs101" localSheetId="15" hidden="1">'No short vs general eff. front.'!$B$9</definedName>
    <definedName name="solver_rhs101" localSheetId="16" hidden="1">0</definedName>
    <definedName name="solver_rhs102" localSheetId="14" hidden="1">0</definedName>
    <definedName name="solver_rhs102" localSheetId="15" hidden="1">'No short vs general eff. front.'!$B$9</definedName>
    <definedName name="solver_rhs102" localSheetId="16" hidden="1">0</definedName>
    <definedName name="solver_rhs103" localSheetId="14" hidden="1">0</definedName>
    <definedName name="solver_rhs103" localSheetId="15" hidden="1">'No short vs general eff. front.'!$B$9</definedName>
    <definedName name="solver_rhs103" localSheetId="16" hidden="1">0</definedName>
    <definedName name="solver_rhs104" localSheetId="14" hidden="1">0</definedName>
    <definedName name="solver_rhs104" localSheetId="15" hidden="1">'No short vs general eff. front.'!$B$9</definedName>
    <definedName name="solver_rhs104" localSheetId="16" hidden="1">0</definedName>
    <definedName name="solver_rhs105" localSheetId="14" hidden="1">0</definedName>
    <definedName name="solver_rhs105" localSheetId="15" hidden="1">'No short vs general eff. front.'!$B$9</definedName>
    <definedName name="solver_rhs105" localSheetId="16" hidden="1">0</definedName>
    <definedName name="solver_rhs106" localSheetId="14" hidden="1">0</definedName>
    <definedName name="solver_rhs106" localSheetId="15" hidden="1">'No short vs general eff. front.'!$B$9</definedName>
    <definedName name="solver_rhs106" localSheetId="16" hidden="1">0</definedName>
    <definedName name="solver_rhs107" localSheetId="14" hidden="1">0</definedName>
    <definedName name="solver_rhs107" localSheetId="15" hidden="1">'No short vs general eff. front.'!$B$9</definedName>
    <definedName name="solver_rhs107" localSheetId="16" hidden="1">0</definedName>
    <definedName name="solver_rhs108" localSheetId="14" hidden="1">0</definedName>
    <definedName name="solver_rhs108" localSheetId="15" hidden="1">'No short vs general eff. front.'!$B$9</definedName>
    <definedName name="solver_rhs108" localSheetId="16" hidden="1">0</definedName>
    <definedName name="solver_rhs109" localSheetId="14" hidden="1">0</definedName>
    <definedName name="solver_rhs109" localSheetId="15" hidden="1">'No short vs general eff. front.'!$B$9</definedName>
    <definedName name="solver_rhs109" localSheetId="16" hidden="1">0</definedName>
    <definedName name="solver_rhs11" localSheetId="14" hidden="1">0</definedName>
    <definedName name="solver_rhs11" localSheetId="15" hidden="1">'No short vs general eff. front.'!$B$9</definedName>
    <definedName name="solver_rhs11" localSheetId="16" hidden="1">0</definedName>
    <definedName name="solver_rhs110" localSheetId="14" hidden="1">0</definedName>
    <definedName name="solver_rhs110" localSheetId="15" hidden="1">'No short vs general eff. front.'!$B$9</definedName>
    <definedName name="solver_rhs110" localSheetId="16" hidden="1">0</definedName>
    <definedName name="solver_rhs111" localSheetId="14" hidden="1">0</definedName>
    <definedName name="solver_rhs111" localSheetId="15" hidden="1">'No short vs general eff. front.'!$B$9</definedName>
    <definedName name="solver_rhs111" localSheetId="16" hidden="1">0</definedName>
    <definedName name="solver_rhs112" localSheetId="14" hidden="1">0</definedName>
    <definedName name="solver_rhs112" localSheetId="15" hidden="1">'No short vs general eff. front.'!$B$9</definedName>
    <definedName name="solver_rhs112" localSheetId="16" hidden="1">0</definedName>
    <definedName name="solver_rhs113" localSheetId="14" hidden="1">0</definedName>
    <definedName name="solver_rhs113" localSheetId="15" hidden="1">'No short vs general eff. front.'!$B$9</definedName>
    <definedName name="solver_rhs113" localSheetId="16" hidden="1">0</definedName>
    <definedName name="solver_rhs114" localSheetId="14" hidden="1">0</definedName>
    <definedName name="solver_rhs114" localSheetId="15" hidden="1">'No short vs general eff. front.'!$B$9</definedName>
    <definedName name="solver_rhs114" localSheetId="16" hidden="1">0</definedName>
    <definedName name="solver_rhs115" localSheetId="14" hidden="1">0</definedName>
    <definedName name="solver_rhs115" localSheetId="15" hidden="1">'No short vs general eff. front.'!$B$9</definedName>
    <definedName name="solver_rhs115" localSheetId="16" hidden="1">0</definedName>
    <definedName name="solver_rhs116" localSheetId="14" hidden="1">0</definedName>
    <definedName name="solver_rhs116" localSheetId="15" hidden="1">'No short vs general eff. front.'!$B$9</definedName>
    <definedName name="solver_rhs116" localSheetId="16" hidden="1">0</definedName>
    <definedName name="solver_rhs117" localSheetId="14" hidden="1">0</definedName>
    <definedName name="solver_rhs117" localSheetId="15" hidden="1">'No short vs general eff. front.'!$B$9</definedName>
    <definedName name="solver_rhs117" localSheetId="16" hidden="1">0</definedName>
    <definedName name="solver_rhs118" localSheetId="14" hidden="1">0</definedName>
    <definedName name="solver_rhs118" localSheetId="15" hidden="1">'No short vs general eff. front.'!$B$9</definedName>
    <definedName name="solver_rhs118" localSheetId="16" hidden="1">0</definedName>
    <definedName name="solver_rhs119" localSheetId="14" hidden="1">0</definedName>
    <definedName name="solver_rhs119" localSheetId="15" hidden="1">'No short vs general eff. front.'!$B$9</definedName>
    <definedName name="solver_rhs119" localSheetId="16" hidden="1">0</definedName>
    <definedName name="solver_rhs12" localSheetId="14" hidden="1">0</definedName>
    <definedName name="solver_rhs12" localSheetId="15" hidden="1">'No short vs general eff. front.'!$B$9</definedName>
    <definedName name="solver_rhs12" localSheetId="16" hidden="1">0</definedName>
    <definedName name="solver_rhs120" localSheetId="14" hidden="1">0</definedName>
    <definedName name="solver_rhs120" localSheetId="15" hidden="1">'No short vs general eff. front.'!$B$9</definedName>
    <definedName name="solver_rhs120" localSheetId="16" hidden="1">0</definedName>
    <definedName name="solver_rhs121" localSheetId="14" hidden="1">0</definedName>
    <definedName name="solver_rhs121" localSheetId="15" hidden="1">'No short vs general eff. front.'!$B$9</definedName>
    <definedName name="solver_rhs121" localSheetId="16" hidden="1">0</definedName>
    <definedName name="solver_rhs122" localSheetId="14" hidden="1">0</definedName>
    <definedName name="solver_rhs122" localSheetId="15" hidden="1">'No short vs general eff. front.'!$B$9</definedName>
    <definedName name="solver_rhs122" localSheetId="16" hidden="1">0</definedName>
    <definedName name="solver_rhs123" localSheetId="14" hidden="1">0</definedName>
    <definedName name="solver_rhs123" localSheetId="15" hidden="1">'No short vs general eff. front.'!$B$9</definedName>
    <definedName name="solver_rhs123" localSheetId="16" hidden="1">0</definedName>
    <definedName name="solver_rhs124" localSheetId="14" hidden="1">0</definedName>
    <definedName name="solver_rhs124" localSheetId="15" hidden="1">1</definedName>
    <definedName name="solver_rhs124" localSheetId="16" hidden="1">0</definedName>
    <definedName name="solver_rhs125" localSheetId="14" hidden="1">0</definedName>
    <definedName name="solver_rhs125" localSheetId="15" hidden="1">0</definedName>
    <definedName name="solver_rhs125" localSheetId="16" hidden="1">0</definedName>
    <definedName name="solver_rhs126" localSheetId="14" hidden="1">0</definedName>
    <definedName name="solver_rhs126" localSheetId="15" hidden="1">0</definedName>
    <definedName name="solver_rhs126" localSheetId="16" hidden="1">0</definedName>
    <definedName name="solver_rhs127" localSheetId="14" hidden="1">0</definedName>
    <definedName name="solver_rhs127" localSheetId="15" hidden="1">0</definedName>
    <definedName name="solver_rhs127" localSheetId="16" hidden="1">0</definedName>
    <definedName name="solver_rhs128" localSheetId="14" hidden="1">0</definedName>
    <definedName name="solver_rhs128" localSheetId="15" hidden="1">0</definedName>
    <definedName name="solver_rhs128" localSheetId="16" hidden="1">0</definedName>
    <definedName name="solver_rhs129" localSheetId="14" hidden="1">0</definedName>
    <definedName name="solver_rhs129" localSheetId="15" hidden="1">0</definedName>
    <definedName name="solver_rhs129" localSheetId="16" hidden="1">0</definedName>
    <definedName name="solver_rhs13" localSheetId="14" hidden="1">0</definedName>
    <definedName name="solver_rhs13" localSheetId="15" hidden="1">'No short vs general eff. front.'!$B$9</definedName>
    <definedName name="solver_rhs13" localSheetId="16" hidden="1">0</definedName>
    <definedName name="solver_rhs130" localSheetId="14" hidden="1">0</definedName>
    <definedName name="solver_rhs130" localSheetId="15" hidden="1">0</definedName>
    <definedName name="solver_rhs130" localSheetId="16" hidden="1">0</definedName>
    <definedName name="solver_rhs131" localSheetId="14" hidden="1">0</definedName>
    <definedName name="solver_rhs131" localSheetId="15" hidden="1">0</definedName>
    <definedName name="solver_rhs131" localSheetId="16" hidden="1">0</definedName>
    <definedName name="solver_rhs132" localSheetId="14" hidden="1">0</definedName>
    <definedName name="solver_rhs132" localSheetId="15" hidden="1">0</definedName>
    <definedName name="solver_rhs132" localSheetId="16" hidden="1">0</definedName>
    <definedName name="solver_rhs133" localSheetId="14" hidden="1">0</definedName>
    <definedName name="solver_rhs133" localSheetId="15" hidden="1">0</definedName>
    <definedName name="solver_rhs133" localSheetId="16" hidden="1">0</definedName>
    <definedName name="solver_rhs134" localSheetId="14" hidden="1">0</definedName>
    <definedName name="solver_rhs134" localSheetId="15" hidden="1">0</definedName>
    <definedName name="solver_rhs134" localSheetId="16" hidden="1">0</definedName>
    <definedName name="solver_rhs135" localSheetId="14" hidden="1">0</definedName>
    <definedName name="solver_rhs135" localSheetId="15" hidden="1">0</definedName>
    <definedName name="solver_rhs135" localSheetId="16" hidden="1">0</definedName>
    <definedName name="solver_rhs136" localSheetId="14" hidden="1">0</definedName>
    <definedName name="solver_rhs136" localSheetId="15" hidden="1">0</definedName>
    <definedName name="solver_rhs136" localSheetId="16" hidden="1">0</definedName>
    <definedName name="solver_rhs137" localSheetId="14" hidden="1">0</definedName>
    <definedName name="solver_rhs137" localSheetId="15" hidden="1">0</definedName>
    <definedName name="solver_rhs137" localSheetId="16" hidden="1">0</definedName>
    <definedName name="solver_rhs138" localSheetId="14" hidden="1">0</definedName>
    <definedName name="solver_rhs138" localSheetId="15" hidden="1">0</definedName>
    <definedName name="solver_rhs138" localSheetId="16" hidden="1">0</definedName>
    <definedName name="solver_rhs139" localSheetId="14" hidden="1">0</definedName>
    <definedName name="solver_rhs139" localSheetId="15" hidden="1">0</definedName>
    <definedName name="solver_rhs139" localSheetId="16" hidden="1">0</definedName>
    <definedName name="solver_rhs14" localSheetId="14" hidden="1">0</definedName>
    <definedName name="solver_rhs14" localSheetId="15" hidden="1">'No short vs general eff. front.'!$B$9</definedName>
    <definedName name="solver_rhs14" localSheetId="16" hidden="1">0</definedName>
    <definedName name="solver_rhs140" localSheetId="14" hidden="1">0</definedName>
    <definedName name="solver_rhs140" localSheetId="15" hidden="1">0</definedName>
    <definedName name="solver_rhs140" localSheetId="16" hidden="1">0</definedName>
    <definedName name="solver_rhs141" localSheetId="14" hidden="1">0</definedName>
    <definedName name="solver_rhs141" localSheetId="15" hidden="1">0</definedName>
    <definedName name="solver_rhs141" localSheetId="16" hidden="1">0</definedName>
    <definedName name="solver_rhs142" localSheetId="14" hidden="1">0</definedName>
    <definedName name="solver_rhs142" localSheetId="15" hidden="1">0</definedName>
    <definedName name="solver_rhs142" localSheetId="16" hidden="1">0</definedName>
    <definedName name="solver_rhs143" localSheetId="14" hidden="1">0</definedName>
    <definedName name="solver_rhs143" localSheetId="15" hidden="1">0</definedName>
    <definedName name="solver_rhs143" localSheetId="16" hidden="1">0</definedName>
    <definedName name="solver_rhs144" localSheetId="14" hidden="1">0</definedName>
    <definedName name="solver_rhs144" localSheetId="15" hidden="1">0</definedName>
    <definedName name="solver_rhs144" localSheetId="16" hidden="1">0</definedName>
    <definedName name="solver_rhs145" localSheetId="14" hidden="1">0</definedName>
    <definedName name="solver_rhs145" localSheetId="15" hidden="1">0</definedName>
    <definedName name="solver_rhs145" localSheetId="16" hidden="1">0</definedName>
    <definedName name="solver_rhs146" localSheetId="14" hidden="1">0</definedName>
    <definedName name="solver_rhs146" localSheetId="15" hidden="1">0</definedName>
    <definedName name="solver_rhs146" localSheetId="16" hidden="1">0</definedName>
    <definedName name="solver_rhs147" localSheetId="14" hidden="1">0</definedName>
    <definedName name="solver_rhs147" localSheetId="15" hidden="1">0</definedName>
    <definedName name="solver_rhs147" localSheetId="16" hidden="1">0</definedName>
    <definedName name="solver_rhs148" localSheetId="14" hidden="1">0</definedName>
    <definedName name="solver_rhs148" localSheetId="15" hidden="1">0</definedName>
    <definedName name="solver_rhs148" localSheetId="16" hidden="1">0</definedName>
    <definedName name="solver_rhs149" localSheetId="14" hidden="1">0</definedName>
    <definedName name="solver_rhs149" localSheetId="15" hidden="1">0</definedName>
    <definedName name="solver_rhs149" localSheetId="16" hidden="1">0</definedName>
    <definedName name="solver_rhs15" localSheetId="14" hidden="1">0</definedName>
    <definedName name="solver_rhs15" localSheetId="15" hidden="1">'No short vs general eff. front.'!$B$9</definedName>
    <definedName name="solver_rhs15" localSheetId="16" hidden="1">0</definedName>
    <definedName name="solver_rhs150" localSheetId="14" hidden="1">0</definedName>
    <definedName name="solver_rhs150" localSheetId="15" hidden="1">0</definedName>
    <definedName name="solver_rhs150" localSheetId="16" hidden="1">0</definedName>
    <definedName name="solver_rhs151" localSheetId="14" hidden="1">0</definedName>
    <definedName name="solver_rhs151" localSheetId="15" hidden="1">0</definedName>
    <definedName name="solver_rhs151" localSheetId="16" hidden="1">0</definedName>
    <definedName name="solver_rhs152" localSheetId="14" hidden="1">0</definedName>
    <definedName name="solver_rhs152" localSheetId="15" hidden="1">0</definedName>
    <definedName name="solver_rhs152" localSheetId="16" hidden="1">0</definedName>
    <definedName name="solver_rhs153" localSheetId="14" hidden="1">0</definedName>
    <definedName name="solver_rhs153" localSheetId="15" hidden="1">0</definedName>
    <definedName name="solver_rhs153" localSheetId="16" hidden="1">0</definedName>
    <definedName name="solver_rhs154" localSheetId="14" hidden="1">0</definedName>
    <definedName name="solver_rhs154" localSheetId="15" hidden="1">0</definedName>
    <definedName name="solver_rhs154" localSheetId="16" hidden="1">0</definedName>
    <definedName name="solver_rhs155" localSheetId="14" hidden="1">0</definedName>
    <definedName name="solver_rhs155" localSheetId="15" hidden="1">0</definedName>
    <definedName name="solver_rhs155" localSheetId="16" hidden="1">0</definedName>
    <definedName name="solver_rhs156" localSheetId="14" hidden="1">0</definedName>
    <definedName name="solver_rhs156" localSheetId="15" hidden="1">0</definedName>
    <definedName name="solver_rhs156" localSheetId="16" hidden="1">0</definedName>
    <definedName name="solver_rhs157" localSheetId="14" hidden="1">0</definedName>
    <definedName name="solver_rhs157" localSheetId="15" hidden="1">0</definedName>
    <definedName name="solver_rhs157" localSheetId="16" hidden="1">0</definedName>
    <definedName name="solver_rhs158" localSheetId="14" hidden="1">0</definedName>
    <definedName name="solver_rhs158" localSheetId="15" hidden="1">0</definedName>
    <definedName name="solver_rhs158" localSheetId="16" hidden="1">0</definedName>
    <definedName name="solver_rhs159" localSheetId="14" hidden="1">0</definedName>
    <definedName name="solver_rhs159" localSheetId="15" hidden="1">0</definedName>
    <definedName name="solver_rhs159" localSheetId="16" hidden="1">0</definedName>
    <definedName name="solver_rhs16" localSheetId="14" hidden="1">0</definedName>
    <definedName name="solver_rhs16" localSheetId="15" hidden="1">'No short vs general eff. front.'!$B$9</definedName>
    <definedName name="solver_rhs16" localSheetId="16" hidden="1">0</definedName>
    <definedName name="solver_rhs160" localSheetId="14" hidden="1">0</definedName>
    <definedName name="solver_rhs160" localSheetId="15" hidden="1">0</definedName>
    <definedName name="solver_rhs160" localSheetId="16" hidden="1">0</definedName>
    <definedName name="solver_rhs161" localSheetId="14" hidden="1">0</definedName>
    <definedName name="solver_rhs161" localSheetId="15" hidden="1">0</definedName>
    <definedName name="solver_rhs161" localSheetId="16" hidden="1">0</definedName>
    <definedName name="solver_rhs162" localSheetId="14" hidden="1">0</definedName>
    <definedName name="solver_rhs162" localSheetId="15" hidden="1">0</definedName>
    <definedName name="solver_rhs162" localSheetId="16" hidden="1">0</definedName>
    <definedName name="solver_rhs163" localSheetId="14" hidden="1">0</definedName>
    <definedName name="solver_rhs163" localSheetId="15" hidden="1">0</definedName>
    <definedName name="solver_rhs163" localSheetId="16" hidden="1">0</definedName>
    <definedName name="solver_rhs164" localSheetId="14" hidden="1">0</definedName>
    <definedName name="solver_rhs164" localSheetId="15" hidden="1">0</definedName>
    <definedName name="solver_rhs164" localSheetId="16" hidden="1">0</definedName>
    <definedName name="solver_rhs165" localSheetId="14" hidden="1">0</definedName>
    <definedName name="solver_rhs165" localSheetId="15" hidden="1">0</definedName>
    <definedName name="solver_rhs165" localSheetId="16" hidden="1">0</definedName>
    <definedName name="solver_rhs166" localSheetId="14" hidden="1">0</definedName>
    <definedName name="solver_rhs166" localSheetId="15" hidden="1">0</definedName>
    <definedName name="solver_rhs166" localSheetId="16" hidden="1">0</definedName>
    <definedName name="solver_rhs167" localSheetId="14" hidden="1">0</definedName>
    <definedName name="solver_rhs167" localSheetId="15" hidden="1">0</definedName>
    <definedName name="solver_rhs167" localSheetId="16" hidden="1">0</definedName>
    <definedName name="solver_rhs168" localSheetId="14" hidden="1">0</definedName>
    <definedName name="solver_rhs168" localSheetId="15" hidden="1">0</definedName>
    <definedName name="solver_rhs168" localSheetId="16" hidden="1">0</definedName>
    <definedName name="solver_rhs169" localSheetId="14" hidden="1">0</definedName>
    <definedName name="solver_rhs169" localSheetId="15" hidden="1">0</definedName>
    <definedName name="solver_rhs169" localSheetId="16" hidden="1">0</definedName>
    <definedName name="solver_rhs17" localSheetId="14" hidden="1">0</definedName>
    <definedName name="solver_rhs17" localSheetId="15" hidden="1">'No short vs general eff. front.'!$B$9</definedName>
    <definedName name="solver_rhs17" localSheetId="16" hidden="1">0</definedName>
    <definedName name="solver_rhs170" localSheetId="14" hidden="1">0</definedName>
    <definedName name="solver_rhs170" localSheetId="15" hidden="1">0</definedName>
    <definedName name="solver_rhs170" localSheetId="16" hidden="1">0</definedName>
    <definedName name="solver_rhs171" localSheetId="14" hidden="1">0</definedName>
    <definedName name="solver_rhs171" localSheetId="15" hidden="1">0</definedName>
    <definedName name="solver_rhs171" localSheetId="16" hidden="1">0</definedName>
    <definedName name="solver_rhs172" localSheetId="14" hidden="1">0</definedName>
    <definedName name="solver_rhs172" localSheetId="15" hidden="1">0</definedName>
    <definedName name="solver_rhs172" localSheetId="16" hidden="1">0</definedName>
    <definedName name="solver_rhs173" localSheetId="14" hidden="1">0</definedName>
    <definedName name="solver_rhs173" localSheetId="15" hidden="1">0</definedName>
    <definedName name="solver_rhs173" localSheetId="16" hidden="1">0</definedName>
    <definedName name="solver_rhs174" localSheetId="14" hidden="1">0</definedName>
    <definedName name="solver_rhs174" localSheetId="15" hidden="1">0</definedName>
    <definedName name="solver_rhs174" localSheetId="16" hidden="1">0</definedName>
    <definedName name="solver_rhs175" localSheetId="14" hidden="1">0</definedName>
    <definedName name="solver_rhs175" localSheetId="15" hidden="1">0</definedName>
    <definedName name="solver_rhs175" localSheetId="16" hidden="1">0</definedName>
    <definedName name="solver_rhs176" localSheetId="14" hidden="1">0</definedName>
    <definedName name="solver_rhs176" localSheetId="15" hidden="1">0</definedName>
    <definedName name="solver_rhs176" localSheetId="16" hidden="1">0</definedName>
    <definedName name="solver_rhs177" localSheetId="14" hidden="1">0</definedName>
    <definedName name="solver_rhs177" localSheetId="15" hidden="1">0</definedName>
    <definedName name="solver_rhs177" localSheetId="16" hidden="1">0</definedName>
    <definedName name="solver_rhs178" localSheetId="14" hidden="1">0</definedName>
    <definedName name="solver_rhs178" localSheetId="15" hidden="1">0</definedName>
    <definedName name="solver_rhs178" localSheetId="16" hidden="1">0</definedName>
    <definedName name="solver_rhs179" localSheetId="14" hidden="1">0</definedName>
    <definedName name="solver_rhs179" localSheetId="15" hidden="1">0</definedName>
    <definedName name="solver_rhs179" localSheetId="16" hidden="1">0</definedName>
    <definedName name="solver_rhs18" localSheetId="14" hidden="1">0</definedName>
    <definedName name="solver_rhs18" localSheetId="15" hidden="1">'No short vs general eff. front.'!$B$9</definedName>
    <definedName name="solver_rhs18" localSheetId="16" hidden="1">0</definedName>
    <definedName name="solver_rhs180" localSheetId="14" hidden="1">0</definedName>
    <definedName name="solver_rhs180" localSheetId="15" hidden="1">0</definedName>
    <definedName name="solver_rhs180" localSheetId="16" hidden="1">0</definedName>
    <definedName name="solver_rhs181" localSheetId="14" hidden="1">0</definedName>
    <definedName name="solver_rhs181" localSheetId="15" hidden="1">0</definedName>
    <definedName name="solver_rhs181" localSheetId="16" hidden="1">0</definedName>
    <definedName name="solver_rhs182" localSheetId="14" hidden="1">0</definedName>
    <definedName name="solver_rhs182" localSheetId="15" hidden="1">0</definedName>
    <definedName name="solver_rhs182" localSheetId="16" hidden="1">0</definedName>
    <definedName name="solver_rhs183" localSheetId="14" hidden="1">0</definedName>
    <definedName name="solver_rhs183" localSheetId="15" hidden="1">0</definedName>
    <definedName name="solver_rhs183" localSheetId="16" hidden="1">0</definedName>
    <definedName name="solver_rhs184" localSheetId="14" hidden="1">0</definedName>
    <definedName name="solver_rhs184" localSheetId="15" hidden="1">0</definedName>
    <definedName name="solver_rhs184" localSheetId="16" hidden="1">0</definedName>
    <definedName name="solver_rhs185" localSheetId="14" hidden="1">0</definedName>
    <definedName name="solver_rhs185" localSheetId="15" hidden="1">0</definedName>
    <definedName name="solver_rhs185" localSheetId="16" hidden="1">0</definedName>
    <definedName name="solver_rhs186" localSheetId="14" hidden="1">0</definedName>
    <definedName name="solver_rhs186" localSheetId="15" hidden="1">0</definedName>
    <definedName name="solver_rhs186" localSheetId="16" hidden="1">0</definedName>
    <definedName name="solver_rhs187" localSheetId="14" hidden="1">0</definedName>
    <definedName name="solver_rhs187" localSheetId="15" hidden="1">0</definedName>
    <definedName name="solver_rhs187" localSheetId="16" hidden="1">0</definedName>
    <definedName name="solver_rhs188" localSheetId="14" hidden="1">0</definedName>
    <definedName name="solver_rhs188" localSheetId="15" hidden="1">0</definedName>
    <definedName name="solver_rhs188" localSheetId="16" hidden="1">0</definedName>
    <definedName name="solver_rhs189" localSheetId="14" hidden="1">0</definedName>
    <definedName name="solver_rhs189" localSheetId="15" hidden="1">0</definedName>
    <definedName name="solver_rhs189" localSheetId="16" hidden="1">0</definedName>
    <definedName name="solver_rhs19" localSheetId="14" hidden="1">0</definedName>
    <definedName name="solver_rhs19" localSheetId="15" hidden="1">'No short vs general eff. front.'!$B$9</definedName>
    <definedName name="solver_rhs19" localSheetId="16" hidden="1">0</definedName>
    <definedName name="solver_rhs190" localSheetId="14" hidden="1">0</definedName>
    <definedName name="solver_rhs190" localSheetId="15" hidden="1">0</definedName>
    <definedName name="solver_rhs190" localSheetId="16" hidden="1">0</definedName>
    <definedName name="solver_rhs191" localSheetId="14" hidden="1">0</definedName>
    <definedName name="solver_rhs191" localSheetId="15" hidden="1">0</definedName>
    <definedName name="solver_rhs191" localSheetId="16" hidden="1">0</definedName>
    <definedName name="solver_rhs192" localSheetId="14" hidden="1">0</definedName>
    <definedName name="solver_rhs192" localSheetId="15" hidden="1">0</definedName>
    <definedName name="solver_rhs192" localSheetId="16" hidden="1">0</definedName>
    <definedName name="solver_rhs193" localSheetId="14" hidden="1">0</definedName>
    <definedName name="solver_rhs193" localSheetId="15" hidden="1">0</definedName>
    <definedName name="solver_rhs193" localSheetId="16" hidden="1">0</definedName>
    <definedName name="solver_rhs194" localSheetId="14" hidden="1">0</definedName>
    <definedName name="solver_rhs194" localSheetId="15" hidden="1">0</definedName>
    <definedName name="solver_rhs194" localSheetId="16" hidden="1">0</definedName>
    <definedName name="solver_rhs195" localSheetId="14" hidden="1">0</definedName>
    <definedName name="solver_rhs195" localSheetId="15" hidden="1">0</definedName>
    <definedName name="solver_rhs195" localSheetId="16" hidden="1">0</definedName>
    <definedName name="solver_rhs196" localSheetId="14" hidden="1">0</definedName>
    <definedName name="solver_rhs196" localSheetId="15" hidden="1">0</definedName>
    <definedName name="solver_rhs196" localSheetId="16" hidden="1">0</definedName>
    <definedName name="solver_rhs197" localSheetId="14" hidden="1">0</definedName>
    <definedName name="solver_rhs197" localSheetId="15" hidden="1">0</definedName>
    <definedName name="solver_rhs197" localSheetId="16" hidden="1">0</definedName>
    <definedName name="solver_rhs198" localSheetId="14" hidden="1">0</definedName>
    <definedName name="solver_rhs198" localSheetId="15" hidden="1">0</definedName>
    <definedName name="solver_rhs198" localSheetId="16" hidden="1">0</definedName>
    <definedName name="solver_rhs199" localSheetId="14" hidden="1">0</definedName>
    <definedName name="solver_rhs199" localSheetId="15" hidden="1">0</definedName>
    <definedName name="solver_rhs199" localSheetId="16" hidden="1">0</definedName>
    <definedName name="solver_rhs2" localSheetId="14" hidden="1">1</definedName>
    <definedName name="solver_rhs2" localSheetId="13" hidden="1">1</definedName>
    <definedName name="solver_rhs2" localSheetId="11" hidden="1">1</definedName>
    <definedName name="solver_rhs2" localSheetId="12" hidden="1">1</definedName>
    <definedName name="solver_rhs2" localSheetId="15" hidden="1">'No short vs general eff. front.'!$B$9</definedName>
    <definedName name="solver_rhs2" localSheetId="16" hidden="1">'Other restrictions'!$E$11</definedName>
    <definedName name="solver_rhs20" localSheetId="14" hidden="1">0</definedName>
    <definedName name="solver_rhs20" localSheetId="15" hidden="1">'No short vs general eff. front.'!$B$9</definedName>
    <definedName name="solver_rhs20" localSheetId="16" hidden="1">0</definedName>
    <definedName name="solver_rhs200" localSheetId="14" hidden="1">0</definedName>
    <definedName name="solver_rhs200" localSheetId="15" hidden="1">0</definedName>
    <definedName name="solver_rhs200" localSheetId="16" hidden="1">0</definedName>
    <definedName name="solver_rhs201" localSheetId="14" hidden="1">0</definedName>
    <definedName name="solver_rhs201" localSheetId="15" hidden="1">0</definedName>
    <definedName name="solver_rhs201" localSheetId="16" hidden="1">0</definedName>
    <definedName name="solver_rhs202" localSheetId="14" hidden="1">0</definedName>
    <definedName name="solver_rhs202" localSheetId="15" hidden="1">0</definedName>
    <definedName name="solver_rhs202" localSheetId="16" hidden="1">0</definedName>
    <definedName name="solver_rhs203" localSheetId="14" hidden="1">0</definedName>
    <definedName name="solver_rhs203" localSheetId="15" hidden="1">0</definedName>
    <definedName name="solver_rhs203" localSheetId="16" hidden="1">0</definedName>
    <definedName name="solver_rhs204" localSheetId="14" hidden="1">0</definedName>
    <definedName name="solver_rhs204" localSheetId="15" hidden="1">0</definedName>
    <definedName name="solver_rhs204" localSheetId="16" hidden="1">0</definedName>
    <definedName name="solver_rhs205" localSheetId="14" hidden="1">0</definedName>
    <definedName name="solver_rhs205" localSheetId="15" hidden="1">0</definedName>
    <definedName name="solver_rhs205" localSheetId="16" hidden="1">0</definedName>
    <definedName name="solver_rhs206" localSheetId="14" hidden="1">0</definedName>
    <definedName name="solver_rhs206" localSheetId="15" hidden="1">0</definedName>
    <definedName name="solver_rhs206" localSheetId="16" hidden="1">0</definedName>
    <definedName name="solver_rhs207" localSheetId="14" hidden="1">0</definedName>
    <definedName name="solver_rhs207" localSheetId="15" hidden="1">0</definedName>
    <definedName name="solver_rhs207" localSheetId="16" hidden="1">0</definedName>
    <definedName name="solver_rhs208" localSheetId="14" hidden="1">0</definedName>
    <definedName name="solver_rhs208" localSheetId="15" hidden="1">0</definedName>
    <definedName name="solver_rhs208" localSheetId="16" hidden="1">0</definedName>
    <definedName name="solver_rhs209" localSheetId="14" hidden="1">0</definedName>
    <definedName name="solver_rhs209" localSheetId="15" hidden="1">0</definedName>
    <definedName name="solver_rhs209" localSheetId="16" hidden="1">0</definedName>
    <definedName name="solver_rhs21" localSheetId="14" hidden="1">0</definedName>
    <definedName name="solver_rhs21" localSheetId="15" hidden="1">'No short vs general eff. front.'!$B$9</definedName>
    <definedName name="solver_rhs21" localSheetId="16" hidden="1">0</definedName>
    <definedName name="solver_rhs210" localSheetId="14" hidden="1">0</definedName>
    <definedName name="solver_rhs210" localSheetId="15" hidden="1">0</definedName>
    <definedName name="solver_rhs210" localSheetId="16" hidden="1">0</definedName>
    <definedName name="solver_rhs211" localSheetId="14" hidden="1">0</definedName>
    <definedName name="solver_rhs211" localSheetId="15" hidden="1">0</definedName>
    <definedName name="solver_rhs211" localSheetId="16" hidden="1">0</definedName>
    <definedName name="solver_rhs212" localSheetId="14" hidden="1">0</definedName>
    <definedName name="solver_rhs212" localSheetId="15" hidden="1">0</definedName>
    <definedName name="solver_rhs212" localSheetId="16" hidden="1">0</definedName>
    <definedName name="solver_rhs213" localSheetId="14" hidden="1">0</definedName>
    <definedName name="solver_rhs213" localSheetId="15" hidden="1">0</definedName>
    <definedName name="solver_rhs213" localSheetId="16" hidden="1">0</definedName>
    <definedName name="solver_rhs214" localSheetId="14" hidden="1">0</definedName>
    <definedName name="solver_rhs214" localSheetId="15" hidden="1">0</definedName>
    <definedName name="solver_rhs214" localSheetId="16" hidden="1">0</definedName>
    <definedName name="solver_rhs215" localSheetId="14" hidden="1">0</definedName>
    <definedName name="solver_rhs215" localSheetId="15" hidden="1">0</definedName>
    <definedName name="solver_rhs215" localSheetId="16" hidden="1">0</definedName>
    <definedName name="solver_rhs216" localSheetId="14" hidden="1">0</definedName>
    <definedName name="solver_rhs216" localSheetId="15" hidden="1">0</definedName>
    <definedName name="solver_rhs216" localSheetId="16" hidden="1">0</definedName>
    <definedName name="solver_rhs217" localSheetId="14" hidden="1">0</definedName>
    <definedName name="solver_rhs217" localSheetId="15" hidden="1">0</definedName>
    <definedName name="solver_rhs217" localSheetId="16" hidden="1">0</definedName>
    <definedName name="solver_rhs218" localSheetId="14" hidden="1">0</definedName>
    <definedName name="solver_rhs218" localSheetId="15" hidden="1">0</definedName>
    <definedName name="solver_rhs218" localSheetId="16" hidden="1">0</definedName>
    <definedName name="solver_rhs219" localSheetId="14" hidden="1">0</definedName>
    <definedName name="solver_rhs219" localSheetId="15" hidden="1">0</definedName>
    <definedName name="solver_rhs219" localSheetId="16" hidden="1">0</definedName>
    <definedName name="solver_rhs22" localSheetId="14" hidden="1">0</definedName>
    <definedName name="solver_rhs22" localSheetId="15" hidden="1">'No short vs general eff. front.'!$B$9</definedName>
    <definedName name="solver_rhs22" localSheetId="16" hidden="1">0</definedName>
    <definedName name="solver_rhs220" localSheetId="14" hidden="1">0</definedName>
    <definedName name="solver_rhs220" localSheetId="15" hidden="1">0</definedName>
    <definedName name="solver_rhs220" localSheetId="16" hidden="1">0</definedName>
    <definedName name="solver_rhs221" localSheetId="14" hidden="1">0</definedName>
    <definedName name="solver_rhs221" localSheetId="15" hidden="1">0</definedName>
    <definedName name="solver_rhs221" localSheetId="16" hidden="1">0</definedName>
    <definedName name="solver_rhs222" localSheetId="14" hidden="1">1</definedName>
    <definedName name="solver_rhs222" localSheetId="15" hidden="1">0</definedName>
    <definedName name="solver_rhs222" localSheetId="16" hidden="1">1</definedName>
    <definedName name="solver_rhs223" localSheetId="14" hidden="1">0</definedName>
    <definedName name="solver_rhs223" localSheetId="15" hidden="1">0</definedName>
    <definedName name="solver_rhs223" localSheetId="16" hidden="1">0</definedName>
    <definedName name="solver_rhs224" localSheetId="14" hidden="1">1</definedName>
    <definedName name="solver_rhs224" localSheetId="15" hidden="1">0</definedName>
    <definedName name="solver_rhs224" localSheetId="16" hidden="1">1</definedName>
    <definedName name="solver_rhs225" localSheetId="14" hidden="1">1</definedName>
    <definedName name="solver_rhs225" localSheetId="15" hidden="1">0</definedName>
    <definedName name="solver_rhs225" localSheetId="16" hidden="1">1</definedName>
    <definedName name="solver_rhs226" localSheetId="14" hidden="1">1</definedName>
    <definedName name="solver_rhs226" localSheetId="15" hidden="1">0</definedName>
    <definedName name="solver_rhs226" localSheetId="16" hidden="1">1</definedName>
    <definedName name="solver_rhs227" localSheetId="14" hidden="1">1</definedName>
    <definedName name="solver_rhs227" localSheetId="15" hidden="1">0</definedName>
    <definedName name="solver_rhs227" localSheetId="16" hidden="1">1</definedName>
    <definedName name="solver_rhs228" localSheetId="14" hidden="1">1</definedName>
    <definedName name="solver_rhs228" localSheetId="15" hidden="1">0</definedName>
    <definedName name="solver_rhs228" localSheetId="16" hidden="1">1</definedName>
    <definedName name="solver_rhs229" localSheetId="14" hidden="1">1</definedName>
    <definedName name="solver_rhs229" localSheetId="15" hidden="1">0</definedName>
    <definedName name="solver_rhs229" localSheetId="16" hidden="1">1</definedName>
    <definedName name="solver_rhs23" localSheetId="14" hidden="1">0</definedName>
    <definedName name="solver_rhs23" localSheetId="15" hidden="1">'No short vs general eff. front.'!$B$9</definedName>
    <definedName name="solver_rhs23" localSheetId="16" hidden="1">0</definedName>
    <definedName name="solver_rhs230" localSheetId="14" hidden="1">1</definedName>
    <definedName name="solver_rhs230" localSheetId="15" hidden="1">0</definedName>
    <definedName name="solver_rhs230" localSheetId="16" hidden="1">1</definedName>
    <definedName name="solver_rhs231" localSheetId="14" hidden="1">1</definedName>
    <definedName name="solver_rhs231" localSheetId="15" hidden="1">0</definedName>
    <definedName name="solver_rhs231" localSheetId="16" hidden="1">1</definedName>
    <definedName name="solver_rhs232" localSheetId="14" hidden="1">1</definedName>
    <definedName name="solver_rhs232" localSheetId="15" hidden="1">0</definedName>
    <definedName name="solver_rhs232" localSheetId="16" hidden="1">1</definedName>
    <definedName name="solver_rhs233" localSheetId="14" hidden="1">1</definedName>
    <definedName name="solver_rhs233" localSheetId="15" hidden="1">0</definedName>
    <definedName name="solver_rhs233" localSheetId="16" hidden="1">1</definedName>
    <definedName name="solver_rhs234" localSheetId="14" hidden="1">1</definedName>
    <definedName name="solver_rhs234" localSheetId="15" hidden="1">0</definedName>
    <definedName name="solver_rhs234" localSheetId="16" hidden="1">1</definedName>
    <definedName name="solver_rhs235" localSheetId="14" hidden="1">1</definedName>
    <definedName name="solver_rhs235" localSheetId="15" hidden="1">0</definedName>
    <definedName name="solver_rhs235" localSheetId="16" hidden="1">1</definedName>
    <definedName name="solver_rhs236" localSheetId="14" hidden="1">1</definedName>
    <definedName name="solver_rhs236" localSheetId="15" hidden="1">0</definedName>
    <definedName name="solver_rhs236" localSheetId="16" hidden="1">1</definedName>
    <definedName name="solver_rhs237" localSheetId="14" hidden="1">1</definedName>
    <definedName name="solver_rhs237" localSheetId="15" hidden="1">0</definedName>
    <definedName name="solver_rhs237" localSheetId="16" hidden="1">1</definedName>
    <definedName name="solver_rhs238" localSheetId="14" hidden="1">1</definedName>
    <definedName name="solver_rhs238" localSheetId="15" hidden="1">0</definedName>
    <definedName name="solver_rhs238" localSheetId="16" hidden="1">1</definedName>
    <definedName name="solver_rhs239" localSheetId="14" hidden="1">1</definedName>
    <definedName name="solver_rhs239" localSheetId="15" hidden="1">0</definedName>
    <definedName name="solver_rhs239" localSheetId="16" hidden="1">1</definedName>
    <definedName name="solver_rhs24" localSheetId="14" hidden="1">0</definedName>
    <definedName name="solver_rhs24" localSheetId="15" hidden="1">'No short vs general eff. front.'!$B$9</definedName>
    <definedName name="solver_rhs24" localSheetId="16" hidden="1">0</definedName>
    <definedName name="solver_rhs240" localSheetId="15" hidden="1">0</definedName>
    <definedName name="solver_rhs241" localSheetId="15" hidden="1">0</definedName>
    <definedName name="solver_rhs242" localSheetId="15" hidden="1">0</definedName>
    <definedName name="solver_rhs243" localSheetId="15" hidden="1">0</definedName>
    <definedName name="solver_rhs244" localSheetId="15" hidden="1">0</definedName>
    <definedName name="solver_rhs245" localSheetId="15" hidden="1">0</definedName>
    <definedName name="solver_rhs25" localSheetId="14" hidden="1">0</definedName>
    <definedName name="solver_rhs25" localSheetId="15" hidden="1">'No short vs general eff. front.'!$B$9</definedName>
    <definedName name="solver_rhs25" localSheetId="16" hidden="1">0</definedName>
    <definedName name="solver_rhs26" localSheetId="14" hidden="1">0</definedName>
    <definedName name="solver_rhs26" localSheetId="15" hidden="1">'No short vs general eff. front.'!$B$9</definedName>
    <definedName name="solver_rhs26" localSheetId="16" hidden="1">0</definedName>
    <definedName name="solver_rhs27" localSheetId="14" hidden="1">0</definedName>
    <definedName name="solver_rhs27" localSheetId="15" hidden="1">'No short vs general eff. front.'!$B$9</definedName>
    <definedName name="solver_rhs27" localSheetId="16" hidden="1">0</definedName>
    <definedName name="solver_rhs28" localSheetId="14" hidden="1">0</definedName>
    <definedName name="solver_rhs28" localSheetId="15" hidden="1">'No short vs general eff. front.'!$B$9</definedName>
    <definedName name="solver_rhs28" localSheetId="16" hidden="1">0</definedName>
    <definedName name="solver_rhs29" localSheetId="14" hidden="1">0</definedName>
    <definedName name="solver_rhs29" localSheetId="15" hidden="1">'No short vs general eff. front.'!$B$9</definedName>
    <definedName name="solver_rhs29" localSheetId="16" hidden="1">0</definedName>
    <definedName name="solver_rhs3" localSheetId="14" hidden="1">'No short (solver 2nd approach)'!$B$9</definedName>
    <definedName name="solver_rhs3" localSheetId="13" hidden="1">0</definedName>
    <definedName name="solver_rhs3" localSheetId="11" hidden="1">0</definedName>
    <definedName name="solver_rhs3" localSheetId="12" hidden="1">0</definedName>
    <definedName name="solver_rhs3" localSheetId="15" hidden="1">100%</definedName>
    <definedName name="solver_rhs3" localSheetId="16" hidden="1">1</definedName>
    <definedName name="solver_rhs30" localSheetId="14" hidden="1">0</definedName>
    <definedName name="solver_rhs30" localSheetId="15" hidden="1">'No short vs general eff. front.'!$B$9</definedName>
    <definedName name="solver_rhs30" localSheetId="16" hidden="1">0</definedName>
    <definedName name="solver_rhs31" localSheetId="14" hidden="1">0</definedName>
    <definedName name="solver_rhs31" localSheetId="15" hidden="1">'No short vs general eff. front.'!$B$9</definedName>
    <definedName name="solver_rhs31" localSheetId="16" hidden="1">0</definedName>
    <definedName name="solver_rhs32" localSheetId="14" hidden="1">0</definedName>
    <definedName name="solver_rhs32" localSheetId="15" hidden="1">'No short vs general eff. front.'!$B$9</definedName>
    <definedName name="solver_rhs32" localSheetId="16" hidden="1">0</definedName>
    <definedName name="solver_rhs33" localSheetId="14" hidden="1">0</definedName>
    <definedName name="solver_rhs33" localSheetId="15" hidden="1">'No short vs general eff. front.'!$B$9</definedName>
    <definedName name="solver_rhs33" localSheetId="16" hidden="1">0</definedName>
    <definedName name="solver_rhs34" localSheetId="14" hidden="1">0</definedName>
    <definedName name="solver_rhs34" localSheetId="15" hidden="1">'No short vs general eff. front.'!$B$9</definedName>
    <definedName name="solver_rhs34" localSheetId="16" hidden="1">0</definedName>
    <definedName name="solver_rhs35" localSheetId="14" hidden="1">0</definedName>
    <definedName name="solver_rhs35" localSheetId="15" hidden="1">'No short vs general eff. front.'!$B$9</definedName>
    <definedName name="solver_rhs35" localSheetId="16" hidden="1">0</definedName>
    <definedName name="solver_rhs36" localSheetId="14" hidden="1">0</definedName>
    <definedName name="solver_rhs36" localSheetId="15" hidden="1">'No short vs general eff. front.'!$B$9</definedName>
    <definedName name="solver_rhs36" localSheetId="16" hidden="1">0</definedName>
    <definedName name="solver_rhs37" localSheetId="14" hidden="1">0</definedName>
    <definedName name="solver_rhs37" localSheetId="15" hidden="1">'No short vs general eff. front.'!$B$9</definedName>
    <definedName name="solver_rhs37" localSheetId="16" hidden="1">0</definedName>
    <definedName name="solver_rhs38" localSheetId="14" hidden="1">0</definedName>
    <definedName name="solver_rhs38" localSheetId="15" hidden="1">'No short vs general eff. front.'!$B$9</definedName>
    <definedName name="solver_rhs38" localSheetId="16" hidden="1">0</definedName>
    <definedName name="solver_rhs39" localSheetId="14" hidden="1">0</definedName>
    <definedName name="solver_rhs39" localSheetId="15" hidden="1">'No short vs general eff. front.'!$B$9</definedName>
    <definedName name="solver_rhs39" localSheetId="16" hidden="1">0</definedName>
    <definedName name="solver_rhs4" localSheetId="14" hidden="1">0</definedName>
    <definedName name="solver_rhs4" localSheetId="13" hidden="1">0</definedName>
    <definedName name="solver_rhs4" localSheetId="11" hidden="1">0</definedName>
    <definedName name="solver_rhs4" localSheetId="12" hidden="1">0</definedName>
    <definedName name="solver_rhs4" localSheetId="15" hidden="1">'No short vs general eff. front.'!$B$9</definedName>
    <definedName name="solver_rhs4" localSheetId="16" hidden="1">'Other restrictions'!$B$9</definedName>
    <definedName name="solver_rhs40" localSheetId="14" hidden="1">0</definedName>
    <definedName name="solver_rhs40" localSheetId="15" hidden="1">'No short vs general eff. front.'!$B$9</definedName>
    <definedName name="solver_rhs40" localSheetId="16" hidden="1">0</definedName>
    <definedName name="solver_rhs41" localSheetId="14" hidden="1">0</definedName>
    <definedName name="solver_rhs41" localSheetId="15" hidden="1">'No short vs general eff. front.'!$B$9</definedName>
    <definedName name="solver_rhs41" localSheetId="16" hidden="1">0</definedName>
    <definedName name="solver_rhs42" localSheetId="14" hidden="1">0</definedName>
    <definedName name="solver_rhs42" localSheetId="15" hidden="1">'No short vs general eff. front.'!$B$9</definedName>
    <definedName name="solver_rhs42" localSheetId="16" hidden="1">0</definedName>
    <definedName name="solver_rhs43" localSheetId="14" hidden="1">0</definedName>
    <definedName name="solver_rhs43" localSheetId="15" hidden="1">'No short vs general eff. front.'!$B$9</definedName>
    <definedName name="solver_rhs43" localSheetId="16" hidden="1">0</definedName>
    <definedName name="solver_rhs44" localSheetId="14" hidden="1">0</definedName>
    <definedName name="solver_rhs44" localSheetId="15" hidden="1">'No short vs general eff. front.'!$B$9</definedName>
    <definedName name="solver_rhs44" localSheetId="16" hidden="1">0</definedName>
    <definedName name="solver_rhs45" localSheetId="14" hidden="1">0</definedName>
    <definedName name="solver_rhs45" localSheetId="15" hidden="1">'No short vs general eff. front.'!$B$9</definedName>
    <definedName name="solver_rhs45" localSheetId="16" hidden="1">0</definedName>
    <definedName name="solver_rhs46" localSheetId="14" hidden="1">0</definedName>
    <definedName name="solver_rhs46" localSheetId="15" hidden="1">'No short vs general eff. front.'!$B$9</definedName>
    <definedName name="solver_rhs46" localSheetId="16" hidden="1">0</definedName>
    <definedName name="solver_rhs47" localSheetId="14" hidden="1">0</definedName>
    <definedName name="solver_rhs47" localSheetId="15" hidden="1">'No short vs general eff. front.'!$B$9</definedName>
    <definedName name="solver_rhs47" localSheetId="16" hidden="1">0</definedName>
    <definedName name="solver_rhs48" localSheetId="14" hidden="1">0</definedName>
    <definedName name="solver_rhs48" localSheetId="15" hidden="1">'No short vs general eff. front.'!$B$9</definedName>
    <definedName name="solver_rhs48" localSheetId="16" hidden="1">0</definedName>
    <definedName name="solver_rhs49" localSheetId="14" hidden="1">0</definedName>
    <definedName name="solver_rhs49" localSheetId="15" hidden="1">'No short vs general eff. front.'!$B$9</definedName>
    <definedName name="solver_rhs49" localSheetId="16" hidden="1">0</definedName>
    <definedName name="solver_rhs5" localSheetId="14" hidden="1">0</definedName>
    <definedName name="solver_rhs5" localSheetId="13" hidden="1">0</definedName>
    <definedName name="solver_rhs5" localSheetId="11" hidden="1">0</definedName>
    <definedName name="solver_rhs5" localSheetId="12" hidden="1">0</definedName>
    <definedName name="solver_rhs5" localSheetId="15" hidden="1">'No short vs general eff. front.'!$B$9</definedName>
    <definedName name="solver_rhs5" localSheetId="16" hidden="1">0</definedName>
    <definedName name="solver_rhs50" localSheetId="14" hidden="1">0</definedName>
    <definedName name="solver_rhs50" localSheetId="15" hidden="1">'No short vs general eff. front.'!$B$9</definedName>
    <definedName name="solver_rhs50" localSheetId="16" hidden="1">0</definedName>
    <definedName name="solver_rhs51" localSheetId="14" hidden="1">0</definedName>
    <definedName name="solver_rhs51" localSheetId="15" hidden="1">'No short vs general eff. front.'!$B$9</definedName>
    <definedName name="solver_rhs51" localSheetId="16" hidden="1">0</definedName>
    <definedName name="solver_rhs52" localSheetId="14" hidden="1">0</definedName>
    <definedName name="solver_rhs52" localSheetId="15" hidden="1">'No short vs general eff. front.'!$B$9</definedName>
    <definedName name="solver_rhs52" localSheetId="16" hidden="1">0</definedName>
    <definedName name="solver_rhs53" localSheetId="14" hidden="1">0</definedName>
    <definedName name="solver_rhs53" localSheetId="15" hidden="1">'No short vs general eff. front.'!$B$9</definedName>
    <definedName name="solver_rhs53" localSheetId="16" hidden="1">0</definedName>
    <definedName name="solver_rhs54" localSheetId="14" hidden="1">0</definedName>
    <definedName name="solver_rhs54" localSheetId="15" hidden="1">'No short vs general eff. front.'!$B$9</definedName>
    <definedName name="solver_rhs54" localSheetId="16" hidden="1">0</definedName>
    <definedName name="solver_rhs55" localSheetId="14" hidden="1">0</definedName>
    <definedName name="solver_rhs55" localSheetId="15" hidden="1">'No short vs general eff. front.'!$B$9</definedName>
    <definedName name="solver_rhs55" localSheetId="16" hidden="1">0</definedName>
    <definedName name="solver_rhs56" localSheetId="14" hidden="1">0</definedName>
    <definedName name="solver_rhs56" localSheetId="15" hidden="1">'No short vs general eff. front.'!$B$9</definedName>
    <definedName name="solver_rhs56" localSheetId="16" hidden="1">0</definedName>
    <definedName name="solver_rhs57" localSheetId="14" hidden="1">0</definedName>
    <definedName name="solver_rhs57" localSheetId="15" hidden="1">'No short vs general eff. front.'!$B$9</definedName>
    <definedName name="solver_rhs57" localSheetId="16" hidden="1">0</definedName>
    <definedName name="solver_rhs58" localSheetId="14" hidden="1">0</definedName>
    <definedName name="solver_rhs58" localSheetId="15" hidden="1">'No short vs general eff. front.'!$B$9</definedName>
    <definedName name="solver_rhs58" localSheetId="16" hidden="1">0</definedName>
    <definedName name="solver_rhs59" localSheetId="14" hidden="1">0</definedName>
    <definedName name="solver_rhs59" localSheetId="15" hidden="1">'No short vs general eff. front.'!$B$9</definedName>
    <definedName name="solver_rhs59" localSheetId="16" hidden="1">0</definedName>
    <definedName name="solver_rhs6" localSheetId="14" hidden="1">0</definedName>
    <definedName name="solver_rhs6" localSheetId="15" hidden="1">'No short vs general eff. front.'!$B$9</definedName>
    <definedName name="solver_rhs6" localSheetId="16" hidden="1">0</definedName>
    <definedName name="solver_rhs60" localSheetId="14" hidden="1">0</definedName>
    <definedName name="solver_rhs60" localSheetId="15" hidden="1">'No short vs general eff. front.'!$B$9</definedName>
    <definedName name="solver_rhs60" localSheetId="16" hidden="1">0</definedName>
    <definedName name="solver_rhs61" localSheetId="14" hidden="1">0</definedName>
    <definedName name="solver_rhs61" localSheetId="15" hidden="1">'No short vs general eff. front.'!$B$9</definedName>
    <definedName name="solver_rhs61" localSheetId="16" hidden="1">0</definedName>
    <definedName name="solver_rhs62" localSheetId="14" hidden="1">0</definedName>
    <definedName name="solver_rhs62" localSheetId="15" hidden="1">'No short vs general eff. front.'!$B$9</definedName>
    <definedName name="solver_rhs62" localSheetId="16" hidden="1">0</definedName>
    <definedName name="solver_rhs63" localSheetId="14" hidden="1">0</definedName>
    <definedName name="solver_rhs63" localSheetId="15" hidden="1">'No short vs general eff. front.'!$B$9</definedName>
    <definedName name="solver_rhs63" localSheetId="16" hidden="1">0</definedName>
    <definedName name="solver_rhs64" localSheetId="14" hidden="1">0</definedName>
    <definedName name="solver_rhs64" localSheetId="15" hidden="1">'No short vs general eff. front.'!$B$9</definedName>
    <definedName name="solver_rhs64" localSheetId="16" hidden="1">0</definedName>
    <definedName name="solver_rhs65" localSheetId="14" hidden="1">0</definedName>
    <definedName name="solver_rhs65" localSheetId="15" hidden="1">'No short vs general eff. front.'!$B$9</definedName>
    <definedName name="solver_rhs65" localSheetId="16" hidden="1">0</definedName>
    <definedName name="solver_rhs66" localSheetId="14" hidden="1">0</definedName>
    <definedName name="solver_rhs66" localSheetId="15" hidden="1">'No short vs general eff. front.'!$B$9</definedName>
    <definedName name="solver_rhs66" localSheetId="16" hidden="1">0</definedName>
    <definedName name="solver_rhs67" localSheetId="14" hidden="1">0</definedName>
    <definedName name="solver_rhs67" localSheetId="15" hidden="1">'No short vs general eff. front.'!$B$9</definedName>
    <definedName name="solver_rhs67" localSheetId="16" hidden="1">0</definedName>
    <definedName name="solver_rhs68" localSheetId="14" hidden="1">0</definedName>
    <definedName name="solver_rhs68" localSheetId="15" hidden="1">'No short vs general eff. front.'!$B$9</definedName>
    <definedName name="solver_rhs68" localSheetId="16" hidden="1">0</definedName>
    <definedName name="solver_rhs69" localSheetId="14" hidden="1">0</definedName>
    <definedName name="solver_rhs69" localSheetId="15" hidden="1">'No short vs general eff. front.'!$B$9</definedName>
    <definedName name="solver_rhs69" localSheetId="16" hidden="1">0</definedName>
    <definedName name="solver_rhs7" localSheetId="14" hidden="1">0</definedName>
    <definedName name="solver_rhs7" localSheetId="15" hidden="1">'No short vs general eff. front.'!$B$9</definedName>
    <definedName name="solver_rhs7" localSheetId="16" hidden="1">0</definedName>
    <definedName name="solver_rhs70" localSheetId="14" hidden="1">0</definedName>
    <definedName name="solver_rhs70" localSheetId="15" hidden="1">'No short vs general eff. front.'!$B$9</definedName>
    <definedName name="solver_rhs70" localSheetId="16" hidden="1">0</definedName>
    <definedName name="solver_rhs71" localSheetId="14" hidden="1">0</definedName>
    <definedName name="solver_rhs71" localSheetId="15" hidden="1">'No short vs general eff. front.'!$B$9</definedName>
    <definedName name="solver_rhs71" localSheetId="16" hidden="1">0</definedName>
    <definedName name="solver_rhs72" localSheetId="14" hidden="1">0</definedName>
    <definedName name="solver_rhs72" localSheetId="15" hidden="1">'No short vs general eff. front.'!$B$9</definedName>
    <definedName name="solver_rhs72" localSheetId="16" hidden="1">0</definedName>
    <definedName name="solver_rhs73" localSheetId="14" hidden="1">0</definedName>
    <definedName name="solver_rhs73" localSheetId="15" hidden="1">'No short vs general eff. front.'!$B$9</definedName>
    <definedName name="solver_rhs73" localSheetId="16" hidden="1">0</definedName>
    <definedName name="solver_rhs74" localSheetId="14" hidden="1">0</definedName>
    <definedName name="solver_rhs74" localSheetId="15" hidden="1">'No short vs general eff. front.'!$B$9</definedName>
    <definedName name="solver_rhs74" localSheetId="16" hidden="1">0</definedName>
    <definedName name="solver_rhs75" localSheetId="14" hidden="1">0</definedName>
    <definedName name="solver_rhs75" localSheetId="15" hidden="1">'No short vs general eff. front.'!$B$9</definedName>
    <definedName name="solver_rhs75" localSheetId="16" hidden="1">0</definedName>
    <definedName name="solver_rhs76" localSheetId="14" hidden="1">0</definedName>
    <definedName name="solver_rhs76" localSheetId="15" hidden="1">'No short vs general eff. front.'!$B$9</definedName>
    <definedName name="solver_rhs76" localSheetId="16" hidden="1">0</definedName>
    <definedName name="solver_rhs77" localSheetId="14" hidden="1">0</definedName>
    <definedName name="solver_rhs77" localSheetId="15" hidden="1">'No short vs general eff. front.'!$B$9</definedName>
    <definedName name="solver_rhs77" localSheetId="16" hidden="1">0</definedName>
    <definedName name="solver_rhs78" localSheetId="14" hidden="1">0</definedName>
    <definedName name="solver_rhs78" localSheetId="15" hidden="1">'No short vs general eff. front.'!$B$9</definedName>
    <definedName name="solver_rhs78" localSheetId="16" hidden="1">0</definedName>
    <definedName name="solver_rhs79" localSheetId="14" hidden="1">0</definedName>
    <definedName name="solver_rhs79" localSheetId="15" hidden="1">'No short vs general eff. front.'!$B$9</definedName>
    <definedName name="solver_rhs79" localSheetId="16" hidden="1">0</definedName>
    <definedName name="solver_rhs8" localSheetId="14" hidden="1">0</definedName>
    <definedName name="solver_rhs8" localSheetId="15" hidden="1">'No short vs general eff. front.'!$B$9</definedName>
    <definedName name="solver_rhs8" localSheetId="16" hidden="1">0</definedName>
    <definedName name="solver_rhs80" localSheetId="14" hidden="1">0</definedName>
    <definedName name="solver_rhs80" localSheetId="15" hidden="1">'No short vs general eff. front.'!$B$9</definedName>
    <definedName name="solver_rhs80" localSheetId="16" hidden="1">0</definedName>
    <definedName name="solver_rhs81" localSheetId="14" hidden="1">0</definedName>
    <definedName name="solver_rhs81" localSheetId="15" hidden="1">'No short vs general eff. front.'!$B$9</definedName>
    <definedName name="solver_rhs81" localSheetId="16" hidden="1">0</definedName>
    <definedName name="solver_rhs82" localSheetId="14" hidden="1">0</definedName>
    <definedName name="solver_rhs82" localSheetId="15" hidden="1">'No short vs general eff. front.'!$B$9</definedName>
    <definedName name="solver_rhs82" localSheetId="16" hidden="1">0</definedName>
    <definedName name="solver_rhs83" localSheetId="14" hidden="1">0</definedName>
    <definedName name="solver_rhs83" localSheetId="15" hidden="1">'No short vs general eff. front.'!$B$9</definedName>
    <definedName name="solver_rhs83" localSheetId="16" hidden="1">0</definedName>
    <definedName name="solver_rhs84" localSheetId="14" hidden="1">0</definedName>
    <definedName name="solver_rhs84" localSheetId="15" hidden="1">'No short vs general eff. front.'!$B$9</definedName>
    <definedName name="solver_rhs84" localSheetId="16" hidden="1">0</definedName>
    <definedName name="solver_rhs85" localSheetId="14" hidden="1">0</definedName>
    <definedName name="solver_rhs85" localSheetId="15" hidden="1">'No short vs general eff. front.'!$B$9</definedName>
    <definedName name="solver_rhs85" localSheetId="16" hidden="1">0</definedName>
    <definedName name="solver_rhs86" localSheetId="14" hidden="1">0</definedName>
    <definedName name="solver_rhs86" localSheetId="15" hidden="1">'No short vs general eff. front.'!$B$9</definedName>
    <definedName name="solver_rhs86" localSheetId="16" hidden="1">0</definedName>
    <definedName name="solver_rhs87" localSheetId="14" hidden="1">0</definedName>
    <definedName name="solver_rhs87" localSheetId="15" hidden="1">'No short vs general eff. front.'!$B$9</definedName>
    <definedName name="solver_rhs87" localSheetId="16" hidden="1">0</definedName>
    <definedName name="solver_rhs88" localSheetId="14" hidden="1">0</definedName>
    <definedName name="solver_rhs88" localSheetId="15" hidden="1">'No short vs general eff. front.'!$B$9</definedName>
    <definedName name="solver_rhs88" localSheetId="16" hidden="1">0</definedName>
    <definedName name="solver_rhs89" localSheetId="14" hidden="1">0</definedName>
    <definedName name="solver_rhs89" localSheetId="15" hidden="1">'No short vs general eff. front.'!$B$9</definedName>
    <definedName name="solver_rhs89" localSheetId="16" hidden="1">0</definedName>
    <definedName name="solver_rhs9" localSheetId="14" hidden="1">0</definedName>
    <definedName name="solver_rhs9" localSheetId="15" hidden="1">'No short vs general eff. front.'!$B$9</definedName>
    <definedName name="solver_rhs9" localSheetId="16" hidden="1">0</definedName>
    <definedName name="solver_rhs90" localSheetId="14" hidden="1">0</definedName>
    <definedName name="solver_rhs90" localSheetId="15" hidden="1">'No short vs general eff. front.'!$B$9</definedName>
    <definedName name="solver_rhs90" localSheetId="16" hidden="1">0</definedName>
    <definedName name="solver_rhs91" localSheetId="14" hidden="1">0</definedName>
    <definedName name="solver_rhs91" localSheetId="15" hidden="1">'No short vs general eff. front.'!$B$9</definedName>
    <definedName name="solver_rhs91" localSheetId="16" hidden="1">0</definedName>
    <definedName name="solver_rhs92" localSheetId="14" hidden="1">0</definedName>
    <definedName name="solver_rhs92" localSheetId="15" hidden="1">'No short vs general eff. front.'!$B$9</definedName>
    <definedName name="solver_rhs92" localSheetId="16" hidden="1">0</definedName>
    <definedName name="solver_rhs93" localSheetId="14" hidden="1">0</definedName>
    <definedName name="solver_rhs93" localSheetId="15" hidden="1">'No short vs general eff. front.'!$B$9</definedName>
    <definedName name="solver_rhs93" localSheetId="16" hidden="1">0</definedName>
    <definedName name="solver_rhs94" localSheetId="14" hidden="1">0</definedName>
    <definedName name="solver_rhs94" localSheetId="15" hidden="1">'No short vs general eff. front.'!$B$9</definedName>
    <definedName name="solver_rhs94" localSheetId="16" hidden="1">0</definedName>
    <definedName name="solver_rhs95" localSheetId="14" hidden="1">0</definedName>
    <definedName name="solver_rhs95" localSheetId="15" hidden="1">'No short vs general eff. front.'!$B$9</definedName>
    <definedName name="solver_rhs95" localSheetId="16" hidden="1">0</definedName>
    <definedName name="solver_rhs96" localSheetId="14" hidden="1">0</definedName>
    <definedName name="solver_rhs96" localSheetId="15" hidden="1">'No short vs general eff. front.'!$B$9</definedName>
    <definedName name="solver_rhs96" localSheetId="16" hidden="1">0</definedName>
    <definedName name="solver_rhs97" localSheetId="14" hidden="1">0</definedName>
    <definedName name="solver_rhs97" localSheetId="15" hidden="1">'No short vs general eff. front.'!$B$9</definedName>
    <definedName name="solver_rhs97" localSheetId="16" hidden="1">0</definedName>
    <definedName name="solver_rhs98" localSheetId="14" hidden="1">0</definedName>
    <definedName name="solver_rhs98" localSheetId="15" hidden="1">'No short vs general eff. front.'!$B$9</definedName>
    <definedName name="solver_rhs98" localSheetId="16" hidden="1">0</definedName>
    <definedName name="solver_rhs99" localSheetId="14" hidden="1">0</definedName>
    <definedName name="solver_rhs99" localSheetId="15" hidden="1">'No short vs general eff. front.'!$B$9</definedName>
    <definedName name="solver_rhs99" localSheetId="16" hidden="1">0</definedName>
    <definedName name="solver_rlx" localSheetId="14" hidden="1">2</definedName>
    <definedName name="solver_rlx" localSheetId="13" hidden="1">2</definedName>
    <definedName name="solver_rlx" localSheetId="11" hidden="1">2</definedName>
    <definedName name="solver_rlx" localSheetId="12" hidden="1">2</definedName>
    <definedName name="solver_rlx" localSheetId="15" hidden="1">2</definedName>
    <definedName name="solver_rlx" localSheetId="16" hidden="1">2</definedName>
    <definedName name="solver_rsd" localSheetId="14" hidden="1">0</definedName>
    <definedName name="solver_rsd" localSheetId="13" hidden="1">0</definedName>
    <definedName name="solver_rsd" localSheetId="12" hidden="1">0</definedName>
    <definedName name="solver_rsd" localSheetId="15" hidden="1">0</definedName>
    <definedName name="solver_rsd" localSheetId="16" hidden="1">0</definedName>
    <definedName name="solver_scl" localSheetId="14" hidden="1">2</definedName>
    <definedName name="solver_scl" localSheetId="13" hidden="1">2</definedName>
    <definedName name="solver_scl" localSheetId="11" hidden="1">2</definedName>
    <definedName name="solver_scl" localSheetId="12" hidden="1">2</definedName>
    <definedName name="solver_scl" localSheetId="15" hidden="1">2</definedName>
    <definedName name="solver_scl" localSheetId="16" hidden="1">2</definedName>
    <definedName name="solver_sho" localSheetId="14" hidden="1">2</definedName>
    <definedName name="solver_sho" localSheetId="13" hidden="1">2</definedName>
    <definedName name="solver_sho" localSheetId="11" hidden="1">2</definedName>
    <definedName name="solver_sho" localSheetId="12" hidden="1">2</definedName>
    <definedName name="solver_sho" localSheetId="15" hidden="1">2</definedName>
    <definedName name="solver_sho" localSheetId="16" hidden="1">2</definedName>
    <definedName name="solver_ssz" localSheetId="14" hidden="1">100</definedName>
    <definedName name="solver_ssz" localSheetId="13" hidden="1">100</definedName>
    <definedName name="solver_ssz" localSheetId="12" hidden="1">100</definedName>
    <definedName name="solver_ssz" localSheetId="15" hidden="1">100</definedName>
    <definedName name="solver_ssz" localSheetId="16" hidden="1">100</definedName>
    <definedName name="solver_tim" localSheetId="14" hidden="1">100</definedName>
    <definedName name="solver_tim" localSheetId="13" hidden="1">100</definedName>
    <definedName name="solver_tim" localSheetId="11" hidden="1">100</definedName>
    <definedName name="solver_tim" localSheetId="12" hidden="1">100</definedName>
    <definedName name="solver_tim" localSheetId="15" hidden="1">100</definedName>
    <definedName name="solver_tim" localSheetId="16" hidden="1">100</definedName>
    <definedName name="solver_tmp" localSheetId="14" hidden="1">1</definedName>
    <definedName name="solver_tmp" localSheetId="13" hidden="1">1</definedName>
    <definedName name="solver_tmp" localSheetId="11" hidden="1">1</definedName>
    <definedName name="solver_tmp" localSheetId="12" hidden="1">1</definedName>
    <definedName name="solver_tmp" localSheetId="15" hidden="1">1</definedName>
    <definedName name="solver_tmp" localSheetId="16" hidden="1">1</definedName>
    <definedName name="solver_tol" localSheetId="14" hidden="1">0.05</definedName>
    <definedName name="solver_tol" localSheetId="13" hidden="1">0.05</definedName>
    <definedName name="solver_tol" localSheetId="11" hidden="1">0.05</definedName>
    <definedName name="solver_tol" localSheetId="12" hidden="1">0.05</definedName>
    <definedName name="solver_tol" localSheetId="15" hidden="1">0.05</definedName>
    <definedName name="solver_tol" localSheetId="16" hidden="1">0.05</definedName>
    <definedName name="solver_typ" localSheetId="14" hidden="1">2</definedName>
    <definedName name="solver_typ" localSheetId="13" hidden="1">1</definedName>
    <definedName name="solver_typ" localSheetId="11" hidden="1">1</definedName>
    <definedName name="solver_typ" localSheetId="12" hidden="1">1</definedName>
    <definedName name="solver_typ" localSheetId="15" hidden="1">2</definedName>
    <definedName name="solver_typ" localSheetId="16" hidden="1">2</definedName>
    <definedName name="solver_val" localSheetId="14" hidden="1">0</definedName>
    <definedName name="solver_val" localSheetId="13" hidden="1">0</definedName>
    <definedName name="solver_val" localSheetId="11" hidden="1">0</definedName>
    <definedName name="solver_val" localSheetId="12" hidden="1">0</definedName>
    <definedName name="solver_val" localSheetId="15" hidden="1">0</definedName>
    <definedName name="solver_val" localSheetId="16" hidden="1">0</definedName>
    <definedName name="solver_ver" localSheetId="14" hidden="1">3</definedName>
    <definedName name="solver_ver" localSheetId="13" hidden="1">3</definedName>
    <definedName name="solver_ver" localSheetId="11" hidden="1">2</definedName>
    <definedName name="solver_ver" localSheetId="12" hidden="1">3</definedName>
    <definedName name="solver_ver" localSheetId="15" hidden="1">3</definedName>
    <definedName name="solver_ver" localSheetId="16" hidden="1">3</definedName>
    <definedName name="varcov">'Efficient port 1 step (names)'!$B$4:$E$7</definedName>
  </definedNames>
  <calcPr calcId="162913" iterate="1"/>
</workbook>
</file>

<file path=xl/calcChain.xml><?xml version="1.0" encoding="utf-8"?>
<calcChain xmlns="http://schemas.openxmlformats.org/spreadsheetml/2006/main">
  <c r="B18" i="25" l="1" a="1"/>
  <c r="B18" i="25" s="1"/>
  <c r="B17" i="25" a="1"/>
  <c r="B17" i="25" s="1"/>
  <c r="B15" i="25"/>
  <c r="D7" i="25"/>
  <c r="C7" i="25"/>
  <c r="B7" i="25"/>
  <c r="C6" i="25"/>
  <c r="B6" i="25"/>
  <c r="B5" i="25"/>
  <c r="I25" i="24"/>
  <c r="I26" i="24" s="1"/>
  <c r="I27" i="24" s="1"/>
  <c r="I28" i="24" s="1"/>
  <c r="I29" i="24" s="1"/>
  <c r="I30" i="24" s="1"/>
  <c r="I31" i="24" s="1"/>
  <c r="I32" i="24" s="1"/>
  <c r="I33" i="24" s="1"/>
  <c r="I34" i="24" s="1"/>
  <c r="I35" i="24" s="1"/>
  <c r="I36" i="24" s="1"/>
  <c r="I37" i="24" s="1"/>
  <c r="I38" i="24" s="1"/>
  <c r="I39" i="24" s="1"/>
  <c r="I40" i="24" s="1"/>
  <c r="I41" i="24" s="1"/>
  <c r="I42" i="24" s="1"/>
  <c r="I43" i="24" s="1"/>
  <c r="I44" i="24" s="1"/>
  <c r="I45" i="24" s="1"/>
  <c r="I46" i="24" s="1"/>
  <c r="I47" i="24" s="1"/>
  <c r="I48" i="24" s="1"/>
  <c r="I49" i="24" s="1"/>
  <c r="I50" i="24" s="1"/>
  <c r="I51" i="24" s="1"/>
  <c r="I52" i="24" s="1"/>
  <c r="I53" i="24" s="1"/>
  <c r="I54" i="24" s="1"/>
  <c r="I55" i="24" s="1"/>
  <c r="I56" i="24" s="1"/>
  <c r="I57" i="24" s="1"/>
  <c r="I58" i="24" s="1"/>
  <c r="I59" i="24" s="1"/>
  <c r="I60" i="24" s="1"/>
  <c r="I61" i="24" s="1"/>
  <c r="I62" i="24" s="1"/>
  <c r="I63" i="24" s="1"/>
  <c r="I64" i="24" s="1"/>
  <c r="J24" i="24"/>
  <c r="C18" i="25"/>
  <c r="H20" i="1"/>
  <c r="H24" i="1"/>
  <c r="C17" i="25"/>
  <c r="H15" i="1"/>
  <c r="C24" i="1"/>
  <c r="C15" i="1"/>
  <c r="F15" i="24"/>
  <c r="C15" i="25"/>
  <c r="J26" i="24" l="1"/>
  <c r="J25" i="24"/>
  <c r="B17" i="24" a="1"/>
  <c r="B17" i="24" s="1"/>
  <c r="F11" i="24"/>
  <c r="J27" i="24" l="1"/>
  <c r="B15" i="24"/>
  <c r="I7" i="24"/>
  <c r="D7" i="24"/>
  <c r="C7" i="24"/>
  <c r="B7" i="24"/>
  <c r="I6" i="24"/>
  <c r="C6" i="24"/>
  <c r="B6" i="24"/>
  <c r="I5" i="24"/>
  <c r="B5" i="24"/>
  <c r="I4" i="24"/>
  <c r="C17" i="14"/>
  <c r="C18" i="14"/>
  <c r="J28" i="24" l="1"/>
  <c r="E11" i="24" a="1"/>
  <c r="D11" i="24" a="1"/>
  <c r="B18" i="24" a="1"/>
  <c r="B18" i="24" s="1"/>
  <c r="I7" i="22"/>
  <c r="I6" i="22"/>
  <c r="I5" i="22"/>
  <c r="I4" i="22"/>
  <c r="J29" i="24" l="1"/>
  <c r="D13" i="24"/>
  <c r="D12" i="24"/>
  <c r="D14" i="24"/>
  <c r="D11" i="24"/>
  <c r="E13" i="24"/>
  <c r="E14" i="24"/>
  <c r="E11" i="24"/>
  <c r="D19" i="24" s="1" a="1"/>
  <c r="D19" i="24" s="1"/>
  <c r="E12" i="24"/>
  <c r="B17" i="22" a="1"/>
  <c r="B17" i="22" s="1"/>
  <c r="B15" i="22"/>
  <c r="D7" i="22"/>
  <c r="C7" i="22"/>
  <c r="B7" i="22"/>
  <c r="C6" i="22"/>
  <c r="B6" i="22"/>
  <c r="B5" i="22"/>
  <c r="B17" i="21" a="1"/>
  <c r="B17" i="21" s="1"/>
  <c r="B15" i="21"/>
  <c r="D7" i="21"/>
  <c r="C7" i="21"/>
  <c r="B7" i="21"/>
  <c r="C6" i="21"/>
  <c r="B6" i="21"/>
  <c r="B5" i="21"/>
  <c r="B18" i="21" s="1" a="1"/>
  <c r="B18" i="21" s="1"/>
  <c r="B15" i="20"/>
  <c r="D7" i="20"/>
  <c r="C7" i="20"/>
  <c r="B7" i="20"/>
  <c r="C6" i="20"/>
  <c r="B6" i="20"/>
  <c r="B5" i="20"/>
  <c r="D7" i="19"/>
  <c r="C7" i="19"/>
  <c r="B7" i="19"/>
  <c r="C6" i="19"/>
  <c r="B6" i="19"/>
  <c r="B5" i="19"/>
  <c r="B11" i="19" s="1" a="1"/>
  <c r="B12" i="19" s="1"/>
  <c r="C18" i="22"/>
  <c r="D11" i="19"/>
  <c r="C18" i="21"/>
  <c r="C17" i="22"/>
  <c r="C17" i="21"/>
  <c r="C18" i="20"/>
  <c r="C17" i="19"/>
  <c r="C19" i="20"/>
  <c r="C19" i="21"/>
  <c r="C15" i="22"/>
  <c r="C19" i="19"/>
  <c r="C17" i="20"/>
  <c r="C15" i="20"/>
  <c r="C18" i="19"/>
  <c r="C15" i="21"/>
  <c r="C15" i="19"/>
  <c r="B18" i="22" l="1" a="1"/>
  <c r="B18" i="22" s="1"/>
  <c r="J30" i="24"/>
  <c r="E17" i="24" a="1"/>
  <c r="E17" i="24" s="1"/>
  <c r="K24" i="24" s="1"/>
  <c r="E15" i="24"/>
  <c r="E18" i="24" a="1"/>
  <c r="E18" i="24" s="1"/>
  <c r="D18" i="24" a="1"/>
  <c r="D18" i="24" s="1"/>
  <c r="D17" i="24" a="1"/>
  <c r="D17" i="24" s="1"/>
  <c r="K29" i="24" s="1"/>
  <c r="D15" i="24"/>
  <c r="B19" i="21"/>
  <c r="B13" i="19"/>
  <c r="B14" i="19"/>
  <c r="B11" i="19"/>
  <c r="L24" i="24" l="1"/>
  <c r="L26" i="24"/>
  <c r="L25" i="24"/>
  <c r="L27" i="24"/>
  <c r="L28" i="24"/>
  <c r="L30" i="24"/>
  <c r="L29" i="24"/>
  <c r="K25" i="24"/>
  <c r="K26" i="24"/>
  <c r="K27" i="24"/>
  <c r="K28" i="24"/>
  <c r="D20" i="24"/>
  <c r="K30" i="24"/>
  <c r="J31" i="24"/>
  <c r="L31" i="24" s="1"/>
  <c r="K31" i="24"/>
  <c r="B17" i="20" a="1"/>
  <c r="B17" i="20" s="1"/>
  <c r="B18" i="20" a="1"/>
  <c r="B18" i="20" s="1"/>
  <c r="B17" i="19" a="1"/>
  <c r="B17" i="19" s="1"/>
  <c r="B18" i="19" a="1"/>
  <c r="B18" i="19" s="1"/>
  <c r="B15" i="19"/>
  <c r="J32" i="24" l="1"/>
  <c r="K32" i="24" s="1"/>
  <c r="B19" i="20"/>
  <c r="B19" i="19"/>
  <c r="L32" i="24" l="1"/>
  <c r="J33" i="24"/>
  <c r="L33" i="24" s="1"/>
  <c r="B10" i="18" a="1"/>
  <c r="D10" i="18" s="1"/>
  <c r="I7" i="18"/>
  <c r="D7" i="18"/>
  <c r="C7" i="18"/>
  <c r="B7" i="18"/>
  <c r="I6" i="18"/>
  <c r="C6" i="18"/>
  <c r="B6" i="18"/>
  <c r="I5" i="18"/>
  <c r="B5" i="18"/>
  <c r="B13" i="18" s="1" a="1"/>
  <c r="B14" i="18" s="1"/>
  <c r="I4" i="18"/>
  <c r="F10" i="18"/>
  <c r="C14" i="18"/>
  <c r="C19" i="18"/>
  <c r="C18" i="18"/>
  <c r="C20" i="18"/>
  <c r="K33" i="24" l="1"/>
  <c r="J34" i="24"/>
  <c r="K34" i="24" s="1"/>
  <c r="B13" i="18"/>
  <c r="B16" i="18"/>
  <c r="B15" i="18"/>
  <c r="B10" i="18"/>
  <c r="E10" i="18"/>
  <c r="C10" i="18"/>
  <c r="E10" i="17"/>
  <c r="D10" i="17"/>
  <c r="C10" i="17"/>
  <c r="B10" i="17"/>
  <c r="B14" i="17" s="1" a="1"/>
  <c r="F14" i="17"/>
  <c r="C38" i="17"/>
  <c r="C36" i="17"/>
  <c r="G10" i="17"/>
  <c r="C37" i="17"/>
  <c r="F33" i="17"/>
  <c r="G3" i="17"/>
  <c r="C22" i="17"/>
  <c r="C42" i="17"/>
  <c r="F31" i="17"/>
  <c r="C42" i="10"/>
  <c r="C22" i="10"/>
  <c r="C43" i="17"/>
  <c r="F32" i="17"/>
  <c r="C43" i="10"/>
  <c r="B19" i="18" l="1" a="1"/>
  <c r="B19" i="18" s="1"/>
  <c r="B20" i="18" s="1"/>
  <c r="B18" i="18"/>
  <c r="L34" i="24"/>
  <c r="J35" i="24"/>
  <c r="L35" i="24" s="1"/>
  <c r="E17" i="17"/>
  <c r="E15" i="17"/>
  <c r="D17" i="17"/>
  <c r="D15" i="17"/>
  <c r="D14" i="17"/>
  <c r="D16" i="17"/>
  <c r="C17" i="17"/>
  <c r="C15" i="17"/>
  <c r="B17" i="17"/>
  <c r="B15" i="17"/>
  <c r="B16" i="17"/>
  <c r="B14" i="17"/>
  <c r="E16" i="17"/>
  <c r="E14" i="17"/>
  <c r="C16" i="17"/>
  <c r="C14" i="17"/>
  <c r="A24" i="16"/>
  <c r="H7" i="16"/>
  <c r="H6" i="16"/>
  <c r="H5" i="16"/>
  <c r="H4" i="16"/>
  <c r="D7" i="16"/>
  <c r="C7" i="16"/>
  <c r="B7" i="16"/>
  <c r="C6" i="16"/>
  <c r="B6" i="16"/>
  <c r="B5" i="16"/>
  <c r="D7" i="6"/>
  <c r="C7" i="6"/>
  <c r="B7" i="6"/>
  <c r="C6" i="6"/>
  <c r="B6" i="6"/>
  <c r="B5" i="6"/>
  <c r="E18" i="6"/>
  <c r="C19" i="16"/>
  <c r="E11" i="6"/>
  <c r="C25" i="6"/>
  <c r="D17" i="16"/>
  <c r="C22" i="6"/>
  <c r="D15" i="16"/>
  <c r="C24" i="6"/>
  <c r="D11" i="16"/>
  <c r="G10" i="10"/>
  <c r="G3" i="10"/>
  <c r="C27" i="6"/>
  <c r="E15" i="6"/>
  <c r="C26" i="6"/>
  <c r="F14" i="10"/>
  <c r="D18" i="16"/>
  <c r="C11" i="16" l="1" a="1"/>
  <c r="C13" i="16" s="1"/>
  <c r="A25" i="16"/>
  <c r="K35" i="24"/>
  <c r="J36" i="24"/>
  <c r="K36" i="24" s="1"/>
  <c r="B22" i="17" a="1"/>
  <c r="B11" i="16" a="1"/>
  <c r="B14" i="16" s="1"/>
  <c r="D11" i="6" a="1"/>
  <c r="D13" i="6" s="1"/>
  <c r="C11" i="6" a="1"/>
  <c r="C13" i="6" s="1"/>
  <c r="B11" i="6" a="1"/>
  <c r="B12" i="6" s="1"/>
  <c r="B11" i="14" a="1"/>
  <c r="B12" i="14" s="1"/>
  <c r="D7" i="14"/>
  <c r="C7" i="14"/>
  <c r="B7" i="14"/>
  <c r="C6" i="14"/>
  <c r="B6" i="14"/>
  <c r="B5" i="14"/>
  <c r="D7" i="2"/>
  <c r="C7" i="2"/>
  <c r="B7" i="2"/>
  <c r="C6" i="2"/>
  <c r="B6" i="2"/>
  <c r="B5" i="2"/>
  <c r="A45" i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I7" i="1"/>
  <c r="I6" i="1"/>
  <c r="I5" i="1"/>
  <c r="I4" i="1"/>
  <c r="C27" i="1"/>
  <c r="C32" i="1"/>
  <c r="D20" i="1"/>
  <c r="C37" i="1"/>
  <c r="D30" i="1"/>
  <c r="C15" i="2"/>
  <c r="C33" i="1"/>
  <c r="D43" i="1"/>
  <c r="C15" i="14"/>
  <c r="D28" i="1"/>
  <c r="D29" i="1"/>
  <c r="D11" i="14"/>
  <c r="D27" i="1"/>
  <c r="D11" i="2"/>
  <c r="C39" i="1"/>
  <c r="C38" i="1"/>
  <c r="C14" i="16" l="1"/>
  <c r="A26" i="16"/>
  <c r="C12" i="16"/>
  <c r="C11" i="16"/>
  <c r="C18" i="16" s="1" a="1"/>
  <c r="C18" i="16" s="1"/>
  <c r="L36" i="24"/>
  <c r="J37" i="24"/>
  <c r="L37" i="24" s="1"/>
  <c r="B22" i="17"/>
  <c r="B25" i="17"/>
  <c r="B24" i="17"/>
  <c r="B23" i="17"/>
  <c r="B12" i="16"/>
  <c r="B13" i="16"/>
  <c r="B11" i="16"/>
  <c r="C17" i="16"/>
  <c r="C15" i="16"/>
  <c r="C14" i="6"/>
  <c r="C12" i="6"/>
  <c r="D14" i="6"/>
  <c r="C11" i="6"/>
  <c r="D11" i="6"/>
  <c r="D12" i="6"/>
  <c r="B14" i="6"/>
  <c r="B11" i="6"/>
  <c r="B13" i="6"/>
  <c r="B14" i="14"/>
  <c r="B13" i="14"/>
  <c r="B11" i="14"/>
  <c r="I19" i="13"/>
  <c r="G19" i="13" s="1"/>
  <c r="G29" i="13" s="1"/>
  <c r="D19" i="13"/>
  <c r="B19" i="13"/>
  <c r="C29" i="13" s="1"/>
  <c r="E35" i="13"/>
  <c r="G35" i="13" s="1"/>
  <c r="A35" i="13"/>
  <c r="A36" i="13" s="1"/>
  <c r="G34" i="13"/>
  <c r="C34" i="13"/>
  <c r="C9" i="13"/>
  <c r="A9" i="13"/>
  <c r="A15" i="13" s="1"/>
  <c r="B8" i="13"/>
  <c r="A8" i="13"/>
  <c r="A14" i="13" s="1"/>
  <c r="C7" i="13"/>
  <c r="B7" i="13"/>
  <c r="F4" i="13"/>
  <c r="B34" i="13" s="1"/>
  <c r="C9" i="12"/>
  <c r="B8" i="12"/>
  <c r="C7" i="12"/>
  <c r="B7" i="12"/>
  <c r="A9" i="12"/>
  <c r="A15" i="12" s="1"/>
  <c r="A8" i="12"/>
  <c r="A14" i="12" s="1"/>
  <c r="F4" i="12"/>
  <c r="F27" i="12" s="1"/>
  <c r="A28" i="12"/>
  <c r="C28" i="12" s="1"/>
  <c r="G27" i="12"/>
  <c r="C27" i="12"/>
  <c r="E28" i="12"/>
  <c r="D9" i="11"/>
  <c r="B9" i="11" s="1"/>
  <c r="A18" i="11"/>
  <c r="C18" i="11" s="1"/>
  <c r="C17" i="11"/>
  <c r="A12" i="11"/>
  <c r="A11" i="11"/>
  <c r="A9" i="11"/>
  <c r="A8" i="11"/>
  <c r="A7" i="11"/>
  <c r="F15" i="1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G17" i="11"/>
  <c r="F4" i="11"/>
  <c r="C8" i="11" s="1"/>
  <c r="B8" i="11"/>
  <c r="H11" i="1"/>
  <c r="C11" i="1"/>
  <c r="C28" i="13" l="1"/>
  <c r="B18" i="16" a="1"/>
  <c r="B18" i="16" s="1"/>
  <c r="B26" i="16" s="1"/>
  <c r="B19" i="16" a="1"/>
  <c r="B19" i="16" s="1"/>
  <c r="B23" i="16" s="1"/>
  <c r="B17" i="16"/>
  <c r="C26" i="16" s="1"/>
  <c r="A27" i="16"/>
  <c r="B15" i="16"/>
  <c r="K37" i="24"/>
  <c r="J38" i="24"/>
  <c r="K38" i="24" s="1"/>
  <c r="B18" i="14" a="1"/>
  <c r="B18" i="14" s="1"/>
  <c r="F3" i="17" a="1"/>
  <c r="B17" i="6"/>
  <c r="B18" i="6" a="1"/>
  <c r="B18" i="6" s="1"/>
  <c r="D18" i="6" a="1"/>
  <c r="D18" i="6" s="1"/>
  <c r="D17" i="6"/>
  <c r="C18" i="6" a="1"/>
  <c r="C18" i="6" s="1"/>
  <c r="C17" i="6"/>
  <c r="B17" i="14"/>
  <c r="B15" i="14"/>
  <c r="G28" i="13"/>
  <c r="F34" i="13"/>
  <c r="B36" i="13"/>
  <c r="C8" i="13"/>
  <c r="B9" i="13" s="1"/>
  <c r="B14" i="13" s="1" a="1"/>
  <c r="B15" i="13" s="1"/>
  <c r="E36" i="13"/>
  <c r="E37" i="13" s="1"/>
  <c r="H19" i="13"/>
  <c r="C19" i="13"/>
  <c r="F14" i="13"/>
  <c r="F15" i="13"/>
  <c r="B35" i="13"/>
  <c r="C35" i="13"/>
  <c r="E38" i="13"/>
  <c r="G37" i="13"/>
  <c r="F37" i="13"/>
  <c r="C36" i="13"/>
  <c r="G36" i="13"/>
  <c r="F35" i="13"/>
  <c r="A37" i="13"/>
  <c r="C8" i="12"/>
  <c r="B9" i="12" s="1"/>
  <c r="B27" i="12"/>
  <c r="A29" i="12"/>
  <c r="A30" i="12" s="1"/>
  <c r="B30" i="12" s="1"/>
  <c r="B28" i="12"/>
  <c r="G28" i="12"/>
  <c r="F28" i="12"/>
  <c r="E29" i="12"/>
  <c r="C9" i="11"/>
  <c r="B17" i="11"/>
  <c r="F18" i="11"/>
  <c r="F17" i="11"/>
  <c r="G18" i="11"/>
  <c r="A19" i="11"/>
  <c r="C19" i="11" s="1"/>
  <c r="B18" i="11"/>
  <c r="E10" i="10"/>
  <c r="D10" i="10"/>
  <c r="C10" i="10"/>
  <c r="B10" i="10"/>
  <c r="C38" i="10"/>
  <c r="C37" i="10"/>
  <c r="F33" i="10"/>
  <c r="F32" i="10"/>
  <c r="C36" i="10"/>
  <c r="F31" i="10"/>
  <c r="G14" i="13" l="1" a="1"/>
  <c r="G14" i="13" s="1"/>
  <c r="A28" i="16"/>
  <c r="B27" i="16"/>
  <c r="C27" i="16"/>
  <c r="C40" i="16"/>
  <c r="C39" i="16"/>
  <c r="C23" i="16"/>
  <c r="C24" i="16"/>
  <c r="C25" i="16"/>
  <c r="B29" i="13"/>
  <c r="B28" i="13"/>
  <c r="B40" i="16"/>
  <c r="B39" i="16"/>
  <c r="B24" i="16"/>
  <c r="B25" i="16"/>
  <c r="B14" i="10" a="1"/>
  <c r="J39" i="24"/>
  <c r="L39" i="24" s="1"/>
  <c r="L38" i="24"/>
  <c r="F9" i="17"/>
  <c r="F8" i="17"/>
  <c r="F4" i="17"/>
  <c r="F7" i="17"/>
  <c r="F6" i="17"/>
  <c r="F5" i="17"/>
  <c r="F3" i="17"/>
  <c r="F29" i="13"/>
  <c r="F28" i="13"/>
  <c r="F36" i="13"/>
  <c r="G15" i="13"/>
  <c r="H15" i="13" s="1"/>
  <c r="B14" i="13"/>
  <c r="C14" i="13" s="1"/>
  <c r="D18" i="13" s="1"/>
  <c r="C18" i="13" s="1"/>
  <c r="H14" i="13"/>
  <c r="I18" i="13" s="1"/>
  <c r="G38" i="13"/>
  <c r="E39" i="13"/>
  <c r="F38" i="13"/>
  <c r="B37" i="13"/>
  <c r="A38" i="13"/>
  <c r="C37" i="13"/>
  <c r="B29" i="12"/>
  <c r="A31" i="12"/>
  <c r="B14" i="12" a="1"/>
  <c r="C30" i="12"/>
  <c r="C29" i="12"/>
  <c r="C31" i="12"/>
  <c r="B31" i="12"/>
  <c r="A32" i="12"/>
  <c r="F29" i="12"/>
  <c r="G29" i="12"/>
  <c r="E30" i="12"/>
  <c r="F19" i="11"/>
  <c r="G19" i="11"/>
  <c r="A20" i="11"/>
  <c r="B19" i="11"/>
  <c r="D14" i="10" l="1"/>
  <c r="E14" i="10"/>
  <c r="B15" i="10"/>
  <c r="E15" i="10"/>
  <c r="C16" i="10"/>
  <c r="E16" i="10"/>
  <c r="B16" i="10"/>
  <c r="D16" i="10"/>
  <c r="C14" i="10"/>
  <c r="D17" i="10"/>
  <c r="B14" i="10"/>
  <c r="C17" i="10"/>
  <c r="E17" i="10"/>
  <c r="C15" i="10"/>
  <c r="D15" i="10"/>
  <c r="B17" i="10"/>
  <c r="C15" i="13"/>
  <c r="B18" i="13"/>
  <c r="K39" i="24"/>
  <c r="A29" i="16"/>
  <c r="C28" i="16"/>
  <c r="B28" i="16"/>
  <c r="J40" i="24"/>
  <c r="K40" i="24" s="1"/>
  <c r="E32" i="17"/>
  <c r="B31" i="17"/>
  <c r="D32" i="17"/>
  <c r="C31" i="17"/>
  <c r="C32" i="17"/>
  <c r="F10" i="17"/>
  <c r="E33" i="17"/>
  <c r="B32" i="17"/>
  <c r="E31" i="17"/>
  <c r="D33" i="17"/>
  <c r="C33" i="17"/>
  <c r="B33" i="17"/>
  <c r="D31" i="17"/>
  <c r="H18" i="13"/>
  <c r="G18" i="13"/>
  <c r="B38" i="13"/>
  <c r="C38" i="13"/>
  <c r="A39" i="13"/>
  <c r="C23" i="13"/>
  <c r="C24" i="13"/>
  <c r="B24" i="13"/>
  <c r="B23" i="13"/>
  <c r="G39" i="13"/>
  <c r="E40" i="13"/>
  <c r="F39" i="13"/>
  <c r="B14" i="12"/>
  <c r="B15" i="12"/>
  <c r="A33" i="12"/>
  <c r="B32" i="12"/>
  <c r="C32" i="12"/>
  <c r="G30" i="12"/>
  <c r="F30" i="12"/>
  <c r="E31" i="12"/>
  <c r="F20" i="11"/>
  <c r="G20" i="11"/>
  <c r="A21" i="11"/>
  <c r="C20" i="11"/>
  <c r="B20" i="11"/>
  <c r="B22" i="10" a="1"/>
  <c r="C6" i="1"/>
  <c r="D7" i="1"/>
  <c r="C7" i="1"/>
  <c r="B7" i="1"/>
  <c r="B6" i="1"/>
  <c r="B5" i="1"/>
  <c r="A17" i="1"/>
  <c r="E17" i="6"/>
  <c r="C17" i="2"/>
  <c r="C18" i="2"/>
  <c r="A30" i="16" l="1"/>
  <c r="B29" i="16"/>
  <c r="C29" i="16"/>
  <c r="L40" i="24"/>
  <c r="J41" i="24"/>
  <c r="K41" i="24" s="1"/>
  <c r="B38" i="17"/>
  <c r="B37" i="17"/>
  <c r="B43" i="17" s="1"/>
  <c r="B36" i="17"/>
  <c r="B42" i="17" s="1"/>
  <c r="B11" i="1" a="1"/>
  <c r="B20" i="1" a="1"/>
  <c r="G24" i="13"/>
  <c r="G23" i="13"/>
  <c r="F23" i="13"/>
  <c r="F24" i="13"/>
  <c r="C39" i="13"/>
  <c r="B39" i="13"/>
  <c r="A40" i="13"/>
  <c r="E41" i="13"/>
  <c r="F40" i="13"/>
  <c r="G40" i="13"/>
  <c r="C15" i="12"/>
  <c r="C14" i="12"/>
  <c r="D17" i="12" s="1"/>
  <c r="F31" i="12"/>
  <c r="E32" i="12"/>
  <c r="G31" i="12"/>
  <c r="A34" i="12"/>
  <c r="C33" i="12"/>
  <c r="B33" i="12"/>
  <c r="F21" i="11"/>
  <c r="G21" i="11"/>
  <c r="C21" i="11"/>
  <c r="B21" i="11"/>
  <c r="A22" i="11"/>
  <c r="B11" i="2" a="1"/>
  <c r="B14" i="2" s="1"/>
  <c r="B23" i="10"/>
  <c r="B22" i="10"/>
  <c r="B24" i="10"/>
  <c r="B25" i="10"/>
  <c r="A31" i="16" l="1"/>
  <c r="B30" i="16"/>
  <c r="C30" i="16"/>
  <c r="L41" i="24"/>
  <c r="J42" i="24"/>
  <c r="K42" i="24" s="1"/>
  <c r="B11" i="2"/>
  <c r="B20" i="1"/>
  <c r="B23" i="1"/>
  <c r="B21" i="1"/>
  <c r="B22" i="1"/>
  <c r="B13" i="1"/>
  <c r="B12" i="1"/>
  <c r="B14" i="1"/>
  <c r="B11" i="1"/>
  <c r="E42" i="13"/>
  <c r="G41" i="13"/>
  <c r="F41" i="13"/>
  <c r="B40" i="13"/>
  <c r="A41" i="13"/>
  <c r="C40" i="13"/>
  <c r="C17" i="12"/>
  <c r="B17" i="12"/>
  <c r="C15" i="6"/>
  <c r="C34" i="12"/>
  <c r="B34" i="12"/>
  <c r="A35" i="12"/>
  <c r="F32" i="12"/>
  <c r="E33" i="12"/>
  <c r="G32" i="12"/>
  <c r="G22" i="11"/>
  <c r="F22" i="11"/>
  <c r="A23" i="11"/>
  <c r="B22" i="11"/>
  <c r="C22" i="11"/>
  <c r="B12" i="2"/>
  <c r="B13" i="2"/>
  <c r="F3" i="10" a="1"/>
  <c r="B18" i="2" a="1"/>
  <c r="B18" i="2" s="1"/>
  <c r="B17" i="2"/>
  <c r="A32" i="16" l="1"/>
  <c r="B31" i="16"/>
  <c r="C31" i="16"/>
  <c r="L42" i="24"/>
  <c r="J43" i="24"/>
  <c r="L43" i="24" s="1"/>
  <c r="B22" i="6"/>
  <c r="B26" i="6" s="1"/>
  <c r="D15" i="6"/>
  <c r="B15" i="6"/>
  <c r="B15" i="2"/>
  <c r="B15" i="1"/>
  <c r="G11" i="1" s="1"/>
  <c r="B24" i="1"/>
  <c r="G20" i="1" s="1"/>
  <c r="B41" i="13"/>
  <c r="A42" i="13"/>
  <c r="C41" i="13"/>
  <c r="G42" i="13"/>
  <c r="E43" i="13"/>
  <c r="F42" i="13"/>
  <c r="C22" i="12"/>
  <c r="C21" i="12"/>
  <c r="B21" i="12"/>
  <c r="B22" i="12"/>
  <c r="C35" i="12"/>
  <c r="B35" i="12"/>
  <c r="A36" i="12"/>
  <c r="F33" i="12"/>
  <c r="G33" i="12"/>
  <c r="E34" i="12"/>
  <c r="G23" i="11"/>
  <c r="F23" i="11"/>
  <c r="B23" i="11"/>
  <c r="C23" i="11"/>
  <c r="A24" i="11"/>
  <c r="F9" i="10"/>
  <c r="F5" i="10"/>
  <c r="F8" i="10"/>
  <c r="F4" i="10"/>
  <c r="F6" i="10"/>
  <c r="F7" i="10"/>
  <c r="F3" i="10"/>
  <c r="B24" i="6"/>
  <c r="B25" i="6" l="1"/>
  <c r="A33" i="16"/>
  <c r="C32" i="16"/>
  <c r="B32" i="16"/>
  <c r="K43" i="24"/>
  <c r="J44" i="24"/>
  <c r="K44" i="24" s="1"/>
  <c r="B27" i="6"/>
  <c r="G14" i="1"/>
  <c r="G22" i="1"/>
  <c r="G23" i="1"/>
  <c r="G21" i="1"/>
  <c r="G12" i="1"/>
  <c r="G13" i="1"/>
  <c r="G43" i="13"/>
  <c r="F43" i="13"/>
  <c r="E44" i="13"/>
  <c r="C42" i="13"/>
  <c r="B42" i="13"/>
  <c r="A43" i="13"/>
  <c r="A37" i="12"/>
  <c r="C36" i="12"/>
  <c r="B36" i="12"/>
  <c r="G34" i="12"/>
  <c r="E35" i="12"/>
  <c r="F34" i="12"/>
  <c r="G24" i="11"/>
  <c r="F24" i="11"/>
  <c r="C24" i="11"/>
  <c r="A25" i="11"/>
  <c r="B24" i="11"/>
  <c r="D33" i="10"/>
  <c r="E32" i="10"/>
  <c r="B31" i="10"/>
  <c r="D32" i="10"/>
  <c r="F10" i="10"/>
  <c r="C32" i="10"/>
  <c r="E33" i="10"/>
  <c r="B32" i="10"/>
  <c r="C31" i="10"/>
  <c r="C33" i="10"/>
  <c r="E31" i="10"/>
  <c r="B33" i="10"/>
  <c r="D31" i="10"/>
  <c r="A34" i="16" l="1"/>
  <c r="B33" i="16"/>
  <c r="C33" i="16"/>
  <c r="L44" i="24"/>
  <c r="J45" i="24"/>
  <c r="L45" i="24" s="1"/>
  <c r="C43" i="13"/>
  <c r="B43" i="13"/>
  <c r="A44" i="13"/>
  <c r="E45" i="13"/>
  <c r="G44" i="13"/>
  <c r="F44" i="13"/>
  <c r="F35" i="12"/>
  <c r="E36" i="12"/>
  <c r="G35" i="12"/>
  <c r="A38" i="12"/>
  <c r="C37" i="12"/>
  <c r="B37" i="12"/>
  <c r="F25" i="11"/>
  <c r="G25" i="11"/>
  <c r="B25" i="11"/>
  <c r="C25" i="11"/>
  <c r="A26" i="11"/>
  <c r="B38" i="10"/>
  <c r="B36" i="10"/>
  <c r="B42" i="10" s="1"/>
  <c r="B37" i="10"/>
  <c r="B43" i="10" s="1"/>
  <c r="C28" i="1" a="1"/>
  <c r="C28" i="1" s="1"/>
  <c r="C29" i="1" a="1"/>
  <c r="C29" i="1" s="1"/>
  <c r="C30" i="1" s="1"/>
  <c r="G24" i="1"/>
  <c r="G15" i="1"/>
  <c r="B29" i="1" a="1"/>
  <c r="B29" i="1" s="1"/>
  <c r="B28" i="1" a="1"/>
  <c r="B28" i="1" s="1"/>
  <c r="B32" i="1" a="1"/>
  <c r="B32" i="1" s="1"/>
  <c r="A35" i="16" l="1"/>
  <c r="B34" i="16"/>
  <c r="C34" i="16"/>
  <c r="K45" i="24"/>
  <c r="J46" i="24"/>
  <c r="K46" i="24" s="1"/>
  <c r="B44" i="13"/>
  <c r="A45" i="13"/>
  <c r="C44" i="13"/>
  <c r="E46" i="13"/>
  <c r="G45" i="13"/>
  <c r="F45" i="13"/>
  <c r="C38" i="12"/>
  <c r="A39" i="12"/>
  <c r="B38" i="12"/>
  <c r="F36" i="12"/>
  <c r="E37" i="12"/>
  <c r="G36" i="12"/>
  <c r="G26" i="11"/>
  <c r="F26" i="11"/>
  <c r="B26" i="11"/>
  <c r="A27" i="11"/>
  <c r="C26" i="11"/>
  <c r="B37" i="1"/>
  <c r="C43" i="1" s="1"/>
  <c r="B30" i="1"/>
  <c r="B33" i="1" s="1"/>
  <c r="B38" i="1"/>
  <c r="B39" i="1" s="1"/>
  <c r="B43" i="1" s="1"/>
  <c r="B35" i="16" l="1"/>
  <c r="C35" i="16"/>
  <c r="J47" i="24"/>
  <c r="K47" i="24" s="1"/>
  <c r="L46" i="24"/>
  <c r="G46" i="13"/>
  <c r="E47" i="13"/>
  <c r="F46" i="13"/>
  <c r="B45" i="13"/>
  <c r="A46" i="13"/>
  <c r="C45" i="13"/>
  <c r="F37" i="12"/>
  <c r="G37" i="12"/>
  <c r="E38" i="12"/>
  <c r="C39" i="12"/>
  <c r="B39" i="12"/>
  <c r="A40" i="12"/>
  <c r="F27" i="11"/>
  <c r="G27" i="11"/>
  <c r="C27" i="11"/>
  <c r="A28" i="11"/>
  <c r="B27" i="11"/>
  <c r="L47" i="24" l="1"/>
  <c r="J48" i="24"/>
  <c r="K48" i="24"/>
  <c r="L48" i="24"/>
  <c r="C46" i="13"/>
  <c r="B46" i="13"/>
  <c r="A47" i="13"/>
  <c r="G47" i="13"/>
  <c r="E48" i="13"/>
  <c r="F47" i="13"/>
  <c r="A41" i="12"/>
  <c r="B40" i="12"/>
  <c r="C40" i="12"/>
  <c r="E39" i="12"/>
  <c r="G38" i="12"/>
  <c r="F38" i="12"/>
  <c r="F28" i="11"/>
  <c r="G28" i="11"/>
  <c r="A29" i="11"/>
  <c r="C28" i="11"/>
  <c r="B28" i="11"/>
  <c r="J49" i="24" l="1"/>
  <c r="L49" i="24" s="1"/>
  <c r="K49" i="24"/>
  <c r="E49" i="13"/>
  <c r="G48" i="13"/>
  <c r="F48" i="13"/>
  <c r="C47" i="13"/>
  <c r="B47" i="13"/>
  <c r="A48" i="13"/>
  <c r="F39" i="12"/>
  <c r="E40" i="12"/>
  <c r="G39" i="12"/>
  <c r="A42" i="12"/>
  <c r="C41" i="12"/>
  <c r="B41" i="12"/>
  <c r="G29" i="11"/>
  <c r="F29" i="11"/>
  <c r="B29" i="11"/>
  <c r="A30" i="11"/>
  <c r="C29" i="11"/>
  <c r="J50" i="24" l="1"/>
  <c r="K50" i="24"/>
  <c r="L50" i="24"/>
  <c r="B48" i="13"/>
  <c r="A49" i="13"/>
  <c r="C48" i="13"/>
  <c r="E50" i="13"/>
  <c r="G49" i="13"/>
  <c r="F49" i="13"/>
  <c r="C42" i="12"/>
  <c r="A43" i="12"/>
  <c r="B42" i="12"/>
  <c r="F40" i="12"/>
  <c r="E41" i="12"/>
  <c r="G40" i="12"/>
  <c r="G30" i="11"/>
  <c r="F30" i="11"/>
  <c r="B30" i="11"/>
  <c r="C30" i="11"/>
  <c r="A31" i="11"/>
  <c r="J51" i="24" l="1"/>
  <c r="L51" i="24" s="1"/>
  <c r="K51" i="24"/>
  <c r="G50" i="13"/>
  <c r="F50" i="13"/>
  <c r="B49" i="13"/>
  <c r="A50" i="13"/>
  <c r="C49" i="13"/>
  <c r="E42" i="12"/>
  <c r="G41" i="12"/>
  <c r="F41" i="12"/>
  <c r="C43" i="12"/>
  <c r="B43" i="12"/>
  <c r="G31" i="11"/>
  <c r="F31" i="11"/>
  <c r="C31" i="11"/>
  <c r="A32" i="11"/>
  <c r="B31" i="11"/>
  <c r="J52" i="24" l="1"/>
  <c r="K52" i="24"/>
  <c r="L52" i="24"/>
  <c r="C50" i="13"/>
  <c r="B50" i="13"/>
  <c r="G42" i="12"/>
  <c r="E43" i="12"/>
  <c r="F42" i="12"/>
  <c r="G32" i="11"/>
  <c r="F32" i="11"/>
  <c r="A33" i="11"/>
  <c r="B32" i="11"/>
  <c r="C32" i="11"/>
  <c r="J53" i="24" l="1"/>
  <c r="L53" i="24" s="1"/>
  <c r="K53" i="24"/>
  <c r="F43" i="12"/>
  <c r="G43" i="12"/>
  <c r="F33" i="11"/>
  <c r="G33" i="11"/>
  <c r="B33" i="11"/>
  <c r="C33" i="11"/>
  <c r="J54" i="24" l="1"/>
  <c r="K54" i="24" s="1"/>
  <c r="L54" i="24" l="1"/>
  <c r="J55" i="24"/>
  <c r="K55" i="24" s="1"/>
  <c r="L55" i="24" l="1"/>
  <c r="J56" i="24"/>
  <c r="L56" i="24" s="1"/>
  <c r="K56" i="24" l="1"/>
  <c r="J57" i="24"/>
  <c r="L57" i="24" s="1"/>
  <c r="K57" i="24" l="1"/>
  <c r="J58" i="24"/>
  <c r="L58" i="24" s="1"/>
  <c r="K58" i="24" l="1"/>
  <c r="J59" i="24"/>
  <c r="L59" i="24" s="1"/>
  <c r="K59" i="24" l="1"/>
  <c r="J60" i="24"/>
  <c r="L60" i="24" s="1"/>
  <c r="K60" i="24" l="1"/>
  <c r="J61" i="24"/>
  <c r="K61" i="24" s="1"/>
  <c r="L61" i="24" l="1"/>
  <c r="J62" i="24"/>
  <c r="K62" i="24" s="1"/>
  <c r="L62" i="24" l="1"/>
  <c r="J63" i="24"/>
  <c r="K63" i="24" s="1"/>
  <c r="L63" i="24" l="1"/>
  <c r="J64" i="24"/>
  <c r="K64" i="24" s="1"/>
  <c r="L64" i="24" l="1"/>
</calcChain>
</file>

<file path=xl/sharedStrings.xml><?xml version="1.0" encoding="utf-8"?>
<sst xmlns="http://schemas.openxmlformats.org/spreadsheetml/2006/main" count="486" uniqueCount="128">
  <si>
    <t>Mean returns E(r)</t>
  </si>
  <si>
    <t>Constant, c</t>
  </si>
  <si>
    <t>Computing an envelope portfolio with constant = 0</t>
  </si>
  <si>
    <t>z</t>
  </si>
  <si>
    <t>Sum</t>
  </si>
  <si>
    <t>Cov(x,y)</t>
  </si>
  <si>
    <t>Corr(x,y)</t>
  </si>
  <si>
    <t>A single portfolio calculation</t>
  </si>
  <si>
    <t>Proportion of x</t>
  </si>
  <si>
    <r>
      <rPr>
        <sz val="11"/>
        <color theme="1"/>
        <rFont val="Symbol"/>
        <family val="1"/>
        <charset val="2"/>
      </rPr>
      <t>s</t>
    </r>
    <r>
      <rPr>
        <vertAlign val="subscript"/>
        <sz val="11"/>
        <color theme="1"/>
        <rFont val="Arial"/>
        <family val="2"/>
      </rPr>
      <t>p</t>
    </r>
  </si>
  <si>
    <r>
      <t>E(r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>)</t>
    </r>
  </si>
  <si>
    <t>Data table:  We vary the proportion of x to produce a graph of the frontier</t>
  </si>
  <si>
    <t>Sigma</t>
  </si>
  <si>
    <t>Return</t>
  </si>
  <si>
    <t>FINDING ENVELOPE PORTFOLIOS IN ONE STEP</t>
  </si>
  <si>
    <t>Constant</t>
  </si>
  <si>
    <t>Envelope portfolio</t>
  </si>
  <si>
    <t>Portfolio mean</t>
  </si>
  <si>
    <t>Portfolio sigma</t>
  </si>
  <si>
    <t>CALCULATING THE ENVELOPE
All constants c lead to the same envelope</t>
  </si>
  <si>
    <t>Check</t>
  </si>
  <si>
    <t>Proportion</t>
  </si>
  <si>
    <t>Show:  portfolio z is a linear proportion of portfolio x and portfolio y</t>
  </si>
  <si>
    <t>Variance-covariance matrix</t>
  </si>
  <si>
    <t>ILLUSTRATING PROPOSITIONS 3-5</t>
  </si>
  <si>
    <t>Dates</t>
  </si>
  <si>
    <t>Asset 1</t>
  </si>
  <si>
    <t>Asset 2</t>
  </si>
  <si>
    <t>Asset 3</t>
  </si>
  <si>
    <t>Asset 4</t>
  </si>
  <si>
    <t>Efficient portfolio w</t>
  </si>
  <si>
    <t>Finding an efficient portfolio w</t>
  </si>
  <si>
    <t>Step 1:  Regress each asset's returns on those of the efficient portfolio w</t>
  </si>
  <si>
    <t>Alpha</t>
  </si>
  <si>
    <t>Beta</t>
  </si>
  <si>
    <t>R-squared</t>
  </si>
  <si>
    <t>Step 2:  Regress the asset mean returns on their betas</t>
  </si>
  <si>
    <t>Intercept</t>
  </si>
  <si>
    <t>Slope</t>
  </si>
  <si>
    <t>Intercept = c ?</t>
  </si>
  <si>
    <r>
      <t>Slope = E(r</t>
    </r>
    <r>
      <rPr>
        <vertAlign val="subscript"/>
        <sz val="10"/>
        <rFont val="Arial"/>
        <family val="2"/>
      </rPr>
      <t>w</t>
    </r>
    <r>
      <rPr>
        <sz val="11"/>
        <color theme="1"/>
        <rFont val="Arial"/>
        <family val="2"/>
      </rPr>
      <t>) - c ?</t>
    </r>
  </si>
  <si>
    <t xml:space="preserve">E(r) </t>
  </si>
  <si>
    <t>Efficient x</t>
  </si>
  <si>
    <t>rho(x,y)</t>
  </si>
  <si>
    <t>X(eff x)</t>
  </si>
  <si>
    <t>E(rp)</t>
  </si>
  <si>
    <t>Sigma(rp)</t>
  </si>
  <si>
    <t>Jumps</t>
  </si>
  <si>
    <t>Infeasible</t>
  </si>
  <si>
    <t>Efficient y (MVP)</t>
  </si>
  <si>
    <t>Efficient and envelope</t>
  </si>
  <si>
    <t>Envelope, not efficient</t>
  </si>
  <si>
    <t>Feasable, not envelope</t>
  </si>
  <si>
    <t>PORTFOLIO NUMENCLATURE</t>
  </si>
  <si>
    <t>Efficient a</t>
  </si>
  <si>
    <t>Efficient b (MVP)</t>
  </si>
  <si>
    <t>weight risky</t>
  </si>
  <si>
    <t>Finding Envelope Portfolios</t>
  </si>
  <si>
    <t>Var-Cov</t>
  </si>
  <si>
    <t>Z</t>
  </si>
  <si>
    <t>X</t>
  </si>
  <si>
    <t>c1</t>
  </si>
  <si>
    <t>c2</t>
  </si>
  <si>
    <t>x, a tangency portfolio given c1</t>
  </si>
  <si>
    <t>y, a tangency portfolio given c2</t>
  </si>
  <si>
    <t>Z(c1)</t>
  </si>
  <si>
    <t>Z(c2)</t>
  </si>
  <si>
    <t>Variance-covariance matrix, S</t>
  </si>
  <si>
    <t>Envelope portfolio, x</t>
  </si>
  <si>
    <t>Envelope portfolio, y</t>
  </si>
  <si>
    <t>Portfolio x</t>
  </si>
  <si>
    <t>Portfolio y</t>
  </si>
  <si>
    <r>
      <t>Var(r</t>
    </r>
    <r>
      <rPr>
        <vertAlign val="subscript"/>
        <sz val="11"/>
        <color theme="1"/>
        <rFont val="Arial"/>
        <family val="2"/>
      </rPr>
      <t>p</t>
    </r>
    <r>
      <rPr>
        <sz val="11"/>
        <color theme="1"/>
        <rFont val="Arial"/>
        <family val="2"/>
      </rPr>
      <t>)</t>
    </r>
  </si>
  <si>
    <r>
      <rPr>
        <sz val="11"/>
        <color theme="1"/>
        <rFont val="Calibri"/>
        <family val="2"/>
        <scheme val="minor"/>
      </rPr>
      <t>Var(r</t>
    </r>
    <r>
      <rPr>
        <vertAlign val="subscript"/>
        <sz val="11"/>
        <color theme="1"/>
        <rFont val="Calibri"/>
        <family val="2"/>
        <scheme val="minor"/>
      </rPr>
      <t>p</t>
    </r>
    <r>
      <rPr>
        <sz val="11"/>
        <color theme="1"/>
        <rFont val="Calibri"/>
        <family val="2"/>
        <scheme val="minor"/>
      </rPr>
      <t xml:space="preserve">) </t>
    </r>
    <r>
      <rPr>
        <sz val="11"/>
        <color theme="1"/>
        <rFont val="Symbol"/>
        <family val="1"/>
        <charset val="2"/>
      </rPr>
      <t>= s</t>
    </r>
    <r>
      <rPr>
        <vertAlign val="subscript"/>
        <sz val="11"/>
        <color theme="1"/>
        <rFont val="Arial"/>
        <family val="2"/>
      </rPr>
      <t>p</t>
    </r>
    <r>
      <rPr>
        <vertAlign val="superscript"/>
        <sz val="11"/>
        <color theme="1"/>
        <rFont val="Arial"/>
        <family val="2"/>
      </rPr>
      <t>2</t>
    </r>
  </si>
  <si>
    <t>Prop. of x</t>
  </si>
  <si>
    <t>On the envelope but not efficient</t>
  </si>
  <si>
    <t xml:space="preserve"> &lt;--</t>
  </si>
  <si>
    <t>CALCULATING EFFICIENT PORTFOLIOS AND THE FRONTIER</t>
  </si>
  <si>
    <t>FINDING ENVELOPE PORTFOLIOS IN ONE STEP AND USING NAMES</t>
  </si>
  <si>
    <t xml:space="preserve">Mean returns E(r) </t>
  </si>
  <si>
    <t>Portfolio z</t>
  </si>
  <si>
    <t>Mean return</t>
  </si>
  <si>
    <t>Jump</t>
  </si>
  <si>
    <r>
      <t>Covariance(r</t>
    </r>
    <r>
      <rPr>
        <vertAlign val="subscript"/>
        <sz val="11"/>
        <color theme="1"/>
        <rFont val="Arial"/>
        <family val="2"/>
      </rPr>
      <t>x</t>
    </r>
    <r>
      <rPr>
        <sz val="11"/>
        <color theme="1"/>
        <rFont val="Arial"/>
        <family val="2"/>
      </rPr>
      <t>,r</t>
    </r>
    <r>
      <rPr>
        <vertAlign val="subscript"/>
        <sz val="11"/>
        <color theme="1"/>
        <rFont val="Arial"/>
        <family val="2"/>
      </rPr>
      <t>y</t>
    </r>
    <r>
      <rPr>
        <sz val="11"/>
        <color theme="1"/>
        <rFont val="Arial"/>
        <family val="2"/>
      </rPr>
      <t>)</t>
    </r>
  </si>
  <si>
    <t>Portfolio y (efficient)</t>
  </si>
  <si>
    <t>Portfolio x (inefficient)</t>
  </si>
  <si>
    <t>Line of c and X</t>
  </si>
  <si>
    <t>weight(x)</t>
  </si>
  <si>
    <r>
      <t xml:space="preserve">CALCULATING THE ENVELOPE
</t>
    </r>
    <r>
      <rPr>
        <b/>
        <sz val="11"/>
        <color theme="1"/>
        <rFont val="Arial"/>
        <family val="2"/>
      </rPr>
      <t>SOME c's CAN LEAD TO INEFFICIENT PORTFOLIOS</t>
    </r>
  </si>
  <si>
    <t>Risk-free rate, rf</t>
  </si>
  <si>
    <t>Market portfolio, M</t>
  </si>
  <si>
    <t>Implementing propositions 3-5 to find the SML</t>
  </si>
  <si>
    <t>Check Propositions 3 &amp; 4</t>
  </si>
  <si>
    <t>Step 2 coefficients should be: Intercept = c, Slope = E(rw) - c</t>
  </si>
  <si>
    <t>FINDING THE GLOBAL MINIMUM VARIANCE PORTFOLIO</t>
  </si>
  <si>
    <t>Row vector</t>
  </si>
  <si>
    <t>GMVP as row</t>
  </si>
  <si>
    <t>Column vector</t>
  </si>
  <si>
    <t>GMVP as column</t>
  </si>
  <si>
    <t>Variance</t>
  </si>
  <si>
    <r>
      <t xml:space="preserve">q </t>
    </r>
    <r>
      <rPr>
        <sz val="10"/>
        <rFont val="Arial"/>
        <family val="2"/>
      </rPr>
      <t>= Theta = 
(mean-constant)/sigma</t>
    </r>
  </si>
  <si>
    <t>PORTFOLIO OPTIMIZATION ALLOWING SHORT SALES</t>
  </si>
  <si>
    <r>
      <t xml:space="preserve">PORTFOLIO OPTIMIZATION ALLOWING SHORT SALES
</t>
    </r>
    <r>
      <rPr>
        <sz val="12"/>
        <rFont val="Arial"/>
        <family val="2"/>
      </rPr>
      <t>Solution with Solver, starting from an arbitrary feasible portfolio</t>
    </r>
  </si>
  <si>
    <r>
      <t xml:space="preserve">PORTFOLIO OPTIMIZATION NOT ALLOWING SHORT SALES
</t>
    </r>
    <r>
      <rPr>
        <sz val="12"/>
        <rFont val="Arial"/>
        <family val="2"/>
      </rPr>
      <t>Solution with Solver, starting from an arbitrary feasible portfolio</t>
    </r>
  </si>
  <si>
    <t>Target mean return</t>
  </si>
  <si>
    <r>
      <t xml:space="preserve">PORTFOLIO OPTIMIZATION NOT ALLOWING SHORT SALES
</t>
    </r>
    <r>
      <rPr>
        <sz val="12"/>
        <rFont val="Arial"/>
        <family val="2"/>
      </rPr>
      <t>Solution with Solver, starting from an arbitrary feasible portfolio, second approach</t>
    </r>
  </si>
  <si>
    <t>X(Asset 1)</t>
  </si>
  <si>
    <t>X(Asset 2)</t>
  </si>
  <si>
    <t>X(Asset 3)</t>
  </si>
  <si>
    <t>X(Asset 4)</t>
  </si>
  <si>
    <t>Efficient frontier without short-sales</t>
  </si>
  <si>
    <t>Constrained portfolio</t>
  </si>
  <si>
    <t>Envelope portfolio A</t>
  </si>
  <si>
    <t>Enveloope portfolio B</t>
  </si>
  <si>
    <t>Covariance</t>
  </si>
  <si>
    <t>Efficient frontier with short-sales</t>
  </si>
  <si>
    <t>X(portfolio A)</t>
  </si>
  <si>
    <t>X(portfolio B)</t>
  </si>
  <si>
    <t>Rho</t>
  </si>
  <si>
    <r>
      <t xml:space="preserve">PORTFOLIO OPTIMIZATION WITH MORE COMPLICATED CONSTRAINTS
</t>
    </r>
    <r>
      <rPr>
        <sz val="12"/>
        <rFont val="Arial"/>
        <family val="2"/>
      </rPr>
      <t>Solution with Solver, starting from an arbitrary feasible portfolio</t>
    </r>
  </si>
  <si>
    <t>Holding constraints</t>
  </si>
  <si>
    <t>Lower limit</t>
  </si>
  <si>
    <t>Upper limit</t>
  </si>
  <si>
    <t>Straight line connecting c1 and x</t>
  </si>
  <si>
    <t>Straight line connecting c2 and y</t>
  </si>
  <si>
    <t>Straight line connecting c1 and Z(c1)</t>
  </si>
  <si>
    <t>Straight line connecting c2 and Z(c2)</t>
  </si>
  <si>
    <t>Straight line connecting c and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</si>
</sst>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0.0000"/>
    <numFmt numFmtId="165" formatCode="0.00000000000000000%"/>
    <numFmt numFmtId="166" formatCode="0.0000000000000000"/>
    <numFmt numFmtId="167" formatCode="0.0%"/>
    <numFmt numFmtId="168" formatCode="#,##0.0000"/>
    <numFmt numFmtId="169" formatCode="#,##0.00000"/>
  </numFmts>
  <fonts count="22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Symbol"/>
      <family val="1"/>
      <charset val="2"/>
    </font>
    <font>
      <vertAlign val="subscript"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  <charset val="2"/>
    </font>
    <font>
      <vertAlign val="subscript"/>
      <sz val="11"/>
      <color theme="1"/>
      <name val="Calibri"/>
      <family val="2"/>
      <scheme val="minor"/>
    </font>
    <font>
      <sz val="11"/>
      <name val="Arial"/>
      <family val="2"/>
    </font>
    <font>
      <sz val="10"/>
      <name val="Symbol"/>
      <family val="1"/>
      <charset val="2"/>
    </font>
    <font>
      <sz val="12"/>
      <name val="Arial"/>
      <family val="2"/>
    </font>
    <font>
      <sz val="11"/>
      <color rgb="FF000000"/>
      <name val="Arial"/>
      <family val="2"/>
    </font>
    <font>
      <b/>
      <u/>
      <sz val="12"/>
      <name val="Arial"/>
      <family val="2"/>
    </font>
    <font>
      <sz val="9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</cellStyleXfs>
  <cellXfs count="148">
    <xf numFmtId="0" fontId="0" fillId="0" borderId="0" xfId="0"/>
    <xf numFmtId="0" fontId="3" fillId="0" borderId="0" xfId="0" applyFont="1" applyAlignment="1">
      <alignment horizontal="center" wrapText="1"/>
    </xf>
    <xf numFmtId="2" fontId="0" fillId="0" borderId="0" xfId="0" applyNumberFormat="1"/>
    <xf numFmtId="9" fontId="0" fillId="0" borderId="0" xfId="0" applyNumberFormat="1"/>
    <xf numFmtId="0" fontId="3" fillId="0" borderId="0" xfId="0" applyFont="1"/>
    <xf numFmtId="10" fontId="0" fillId="0" borderId="0" xfId="1" applyNumberFormat="1" applyFont="1"/>
    <xf numFmtId="164" fontId="0" fillId="0" borderId="0" xfId="0" applyNumberForma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10" fontId="0" fillId="0" borderId="0" xfId="0" applyNumberFormat="1"/>
    <xf numFmtId="0" fontId="0" fillId="0" borderId="0" xfId="0" applyAlignment="1">
      <alignment wrapText="1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10" fontId="0" fillId="0" borderId="0" xfId="1" applyNumberFormat="1" applyFont="1" applyFill="1"/>
    <xf numFmtId="0" fontId="0" fillId="0" borderId="0" xfId="0" applyFill="1" applyAlignment="1">
      <alignment wrapText="1"/>
    </xf>
    <xf numFmtId="0" fontId="9" fillId="0" borderId="0" xfId="2" applyFont="1" applyAlignment="1"/>
    <xf numFmtId="0" fontId="8" fillId="0" borderId="0" xfId="2"/>
    <xf numFmtId="0" fontId="8" fillId="0" borderId="0" xfId="2" applyAlignment="1">
      <alignment horizontal="center"/>
    </xf>
    <xf numFmtId="0" fontId="11" fillId="0" borderId="0" xfId="2" applyFont="1"/>
    <xf numFmtId="164" fontId="8" fillId="0" borderId="0" xfId="2" applyNumberFormat="1"/>
    <xf numFmtId="164" fontId="8" fillId="0" borderId="0" xfId="2" applyNumberFormat="1" applyAlignment="1">
      <alignment horizontal="center"/>
    </xf>
    <xf numFmtId="0" fontId="11" fillId="0" borderId="0" xfId="2" applyFont="1" applyAlignment="1">
      <alignment horizontal="center"/>
    </xf>
    <xf numFmtId="10" fontId="8" fillId="0" borderId="0" xfId="3" applyNumberFormat="1"/>
    <xf numFmtId="10" fontId="8" fillId="0" borderId="0" xfId="3" applyNumberFormat="1" applyAlignment="1">
      <alignment horizontal="center"/>
    </xf>
    <xf numFmtId="10" fontId="8" fillId="0" borderId="0" xfId="2" applyNumberFormat="1"/>
    <xf numFmtId="0" fontId="10" fillId="0" borderId="0" xfId="2" applyFont="1"/>
    <xf numFmtId="10" fontId="8" fillId="0" borderId="0" xfId="3" applyNumberFormat="1" applyFont="1"/>
    <xf numFmtId="10" fontId="0" fillId="0" borderId="0" xfId="3" applyNumberFormat="1" applyFont="1"/>
    <xf numFmtId="165" fontId="8" fillId="0" borderId="0" xfId="2" applyNumberFormat="1"/>
    <xf numFmtId="166" fontId="8" fillId="0" borderId="0" xfId="2" applyNumberFormat="1"/>
    <xf numFmtId="0" fontId="0" fillId="0" borderId="0" xfId="0" applyAlignment="1">
      <alignment vertical="center" wrapText="1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/>
    <xf numFmtId="4" fontId="0" fillId="0" borderId="0" xfId="0" applyNumberFormat="1"/>
    <xf numFmtId="168" fontId="0" fillId="0" borderId="0" xfId="0" applyNumberFormat="1"/>
    <xf numFmtId="9" fontId="3" fillId="0" borderId="0" xfId="0" applyNumberFormat="1" applyFont="1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/>
    <xf numFmtId="0" fontId="3" fillId="0" borderId="0" xfId="0" applyFont="1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3" fillId="0" borderId="0" xfId="0" applyFont="1" applyAlignment="1">
      <alignment horizontal="center" wrapText="1"/>
    </xf>
    <xf numFmtId="164" fontId="3" fillId="0" borderId="0" xfId="0" applyNumberFormat="1" applyFont="1"/>
    <xf numFmtId="0" fontId="13" fillId="0" borderId="0" xfId="0" applyFont="1"/>
    <xf numFmtId="0" fontId="13" fillId="0" borderId="0" xfId="0" applyFont="1" applyAlignment="1">
      <alignment wrapText="1"/>
    </xf>
    <xf numFmtId="9" fontId="0" fillId="0" borderId="0" xfId="0" applyNumberFormat="1" applyFont="1" applyAlignment="1">
      <alignment wrapText="1"/>
    </xf>
    <xf numFmtId="10" fontId="0" fillId="0" borderId="0" xfId="0" applyNumberFormat="1" applyFont="1" applyAlignment="1">
      <alignment wrapText="1"/>
    </xf>
    <xf numFmtId="0" fontId="14" fillId="0" borderId="0" xfId="0" applyFont="1"/>
    <xf numFmtId="0" fontId="0" fillId="0" borderId="0" xfId="0" applyAlignment="1">
      <alignment horizontal="right"/>
    </xf>
    <xf numFmtId="9" fontId="3" fillId="0" borderId="0" xfId="0" applyNumberFormat="1" applyFont="1" applyAlignment="1">
      <alignment horizontal="center"/>
    </xf>
    <xf numFmtId="10" fontId="3" fillId="0" borderId="0" xfId="1" applyNumberFormat="1" applyFont="1"/>
    <xf numFmtId="9" fontId="0" fillId="0" borderId="0" xfId="0" applyNumberFormat="1" applyFont="1" applyAlignment="1">
      <alignment horizontal="center"/>
    </xf>
    <xf numFmtId="10" fontId="2" fillId="0" borderId="0" xfId="1" applyNumberFormat="1" applyFont="1"/>
    <xf numFmtId="10" fontId="3" fillId="0" borderId="0" xfId="0" applyNumberFormat="1" applyFont="1"/>
    <xf numFmtId="0" fontId="0" fillId="0" borderId="0" xfId="0" applyAlignment="1">
      <alignment horizontal="left" vertical="center"/>
    </xf>
    <xf numFmtId="9" fontId="0" fillId="0" borderId="0" xfId="0" applyNumberFormat="1" applyAlignment="1">
      <alignment vertical="center"/>
    </xf>
    <xf numFmtId="9" fontId="3" fillId="0" borderId="0" xfId="0" applyNumberFormat="1" applyFont="1" applyAlignment="1">
      <alignment vertical="center"/>
    </xf>
    <xf numFmtId="0" fontId="0" fillId="2" borderId="0" xfId="0" applyFill="1" applyAlignment="1">
      <alignment wrapText="1"/>
    </xf>
    <xf numFmtId="10" fontId="0" fillId="2" borderId="0" xfId="1" applyNumberFormat="1" applyFont="1" applyFill="1"/>
    <xf numFmtId="0" fontId="0" fillId="0" borderId="0" xfId="0" applyFont="1" applyAlignment="1">
      <alignment wrapText="1"/>
    </xf>
    <xf numFmtId="0" fontId="0" fillId="2" borderId="0" xfId="0" applyFill="1"/>
    <xf numFmtId="0" fontId="4" fillId="0" borderId="0" xfId="0" applyFont="1" applyAlignment="1">
      <alignment vertical="center" wrapText="1"/>
    </xf>
    <xf numFmtId="9" fontId="0" fillId="0" borderId="0" xfId="0" applyNumberFormat="1" applyFont="1" applyAlignment="1">
      <alignment vertical="center"/>
    </xf>
    <xf numFmtId="169" fontId="0" fillId="0" borderId="0" xfId="0" applyNumberFormat="1"/>
    <xf numFmtId="0" fontId="3" fillId="0" borderId="0" xfId="0" applyFont="1" applyAlignment="1">
      <alignment horizontal="left"/>
    </xf>
    <xf numFmtId="9" fontId="0" fillId="2" borderId="0" xfId="0" applyNumberFormat="1" applyFill="1"/>
    <xf numFmtId="0" fontId="8" fillId="0" borderId="0" xfId="2" applyFill="1" applyBorder="1" applyAlignment="1">
      <alignment vertical="center" wrapText="1"/>
    </xf>
    <xf numFmtId="0" fontId="8" fillId="0" borderId="0" xfId="2" applyBorder="1"/>
    <xf numFmtId="0" fontId="8" fillId="0" borderId="0" xfId="2" applyFont="1" applyFill="1" applyBorder="1" applyAlignment="1">
      <alignment vertical="center" wrapText="1"/>
    </xf>
    <xf numFmtId="10" fontId="11" fillId="0" borderId="0" xfId="3" applyNumberFormat="1" applyFont="1"/>
    <xf numFmtId="10" fontId="11" fillId="0" borderId="0" xfId="3" applyNumberFormat="1" applyFont="1" applyAlignment="1">
      <alignment horizontal="center"/>
    </xf>
    <xf numFmtId="0" fontId="11" fillId="0" borderId="0" xfId="2" applyFont="1" applyAlignment="1">
      <alignment vertical="center"/>
    </xf>
    <xf numFmtId="0" fontId="8" fillId="2" borderId="0" xfId="2" applyFill="1"/>
    <xf numFmtId="10" fontId="8" fillId="2" borderId="0" xfId="2" applyNumberFormat="1" applyFill="1"/>
    <xf numFmtId="0" fontId="3" fillId="0" borderId="0" xfId="0" applyFont="1" applyAlignment="1">
      <alignment horizontal="center" wrapText="1"/>
    </xf>
    <xf numFmtId="0" fontId="3" fillId="0" borderId="0" xfId="0" applyFont="1" applyAlignment="1">
      <alignment horizontal="center" wrapText="1"/>
    </xf>
    <xf numFmtId="167" fontId="8" fillId="0" borderId="0" xfId="2" applyNumberFormat="1"/>
    <xf numFmtId="0" fontId="17" fillId="2" borderId="0" xfId="2" applyFont="1" applyFill="1" applyAlignment="1">
      <alignment horizontal="left" wrapText="1"/>
    </xf>
    <xf numFmtId="10" fontId="8" fillId="2" borderId="0" xfId="3" applyNumberFormat="1" applyFill="1"/>
    <xf numFmtId="0" fontId="9" fillId="0" borderId="0" xfId="2" applyFont="1" applyAlignment="1">
      <alignment vertical="center" wrapText="1"/>
    </xf>
    <xf numFmtId="167" fontId="8" fillId="0" borderId="0" xfId="3" applyNumberFormat="1"/>
    <xf numFmtId="0" fontId="3" fillId="0" borderId="0" xfId="0" applyFont="1" applyAlignment="1">
      <alignment horizontal="center" wrapText="1"/>
    </xf>
    <xf numFmtId="4" fontId="8" fillId="0" borderId="0" xfId="2" applyNumberFormat="1"/>
    <xf numFmtId="9" fontId="8" fillId="0" borderId="0" xfId="2" applyNumberFormat="1"/>
    <xf numFmtId="0" fontId="20" fillId="0" borderId="0" xfId="2" applyFont="1"/>
    <xf numFmtId="10" fontId="0" fillId="0" borderId="0" xfId="0" applyNumberFormat="1" applyAlignment="1">
      <alignment vertical="center" wrapText="1"/>
    </xf>
    <xf numFmtId="168" fontId="8" fillId="2" borderId="0" xfId="3" applyNumberFormat="1" applyFill="1"/>
    <xf numFmtId="0" fontId="4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horizontal="left" wrapText="1"/>
    </xf>
    <xf numFmtId="0" fontId="4" fillId="0" borderId="0" xfId="0" applyFont="1" applyAlignment="1">
      <alignment horizontal="center" vertical="center" wrapText="1"/>
    </xf>
    <xf numFmtId="9" fontId="0" fillId="0" borderId="0" xfId="0" applyNumberFormat="1" applyAlignment="1">
      <alignment horizontal="left" vertical="center" wrapText="1"/>
    </xf>
    <xf numFmtId="0" fontId="13" fillId="0" borderId="0" xfId="0" applyFont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7" xfId="0" applyBorder="1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8" xfId="0" applyBorder="1" applyAlignment="1">
      <alignment horizontal="left" wrapText="1"/>
    </xf>
    <xf numFmtId="0" fontId="0" fillId="0" borderId="6" xfId="0" applyBorder="1" applyAlignment="1">
      <alignment horizontal="left" wrapText="1"/>
    </xf>
    <xf numFmtId="0" fontId="0" fillId="0" borderId="1" xfId="0" applyFont="1" applyBorder="1" applyAlignment="1">
      <alignment horizontal="left" wrapText="1"/>
    </xf>
    <xf numFmtId="0" fontId="0" fillId="0" borderId="7" xfId="0" applyFont="1" applyBorder="1" applyAlignment="1">
      <alignment horizontal="left" wrapText="1"/>
    </xf>
    <xf numFmtId="0" fontId="0" fillId="0" borderId="2" xfId="0" applyFont="1" applyBorder="1" applyAlignment="1">
      <alignment horizontal="left" wrapText="1"/>
    </xf>
    <xf numFmtId="0" fontId="0" fillId="0" borderId="3" xfId="0" applyFont="1" applyBorder="1" applyAlignment="1">
      <alignment horizontal="left" wrapText="1"/>
    </xf>
    <xf numFmtId="0" fontId="0" fillId="0" borderId="0" xfId="0" applyFont="1" applyBorder="1" applyAlignment="1">
      <alignment horizontal="left" wrapText="1"/>
    </xf>
    <xf numFmtId="0" fontId="0" fillId="0" borderId="4" xfId="0" applyFont="1" applyBorder="1" applyAlignment="1">
      <alignment horizontal="left" wrapText="1"/>
    </xf>
    <xf numFmtId="0" fontId="0" fillId="0" borderId="5" xfId="0" applyFont="1" applyBorder="1" applyAlignment="1">
      <alignment horizontal="left" wrapText="1"/>
    </xf>
    <xf numFmtId="0" fontId="0" fillId="0" borderId="8" xfId="0" applyFont="1" applyBorder="1" applyAlignment="1">
      <alignment horizontal="left" wrapText="1"/>
    </xf>
    <xf numFmtId="0" fontId="0" fillId="0" borderId="6" xfId="0" applyFont="1" applyBorder="1" applyAlignment="1">
      <alignment horizontal="left" wrapText="1"/>
    </xf>
    <xf numFmtId="0" fontId="16" fillId="0" borderId="1" xfId="2" applyFont="1" applyFill="1" applyBorder="1" applyAlignment="1">
      <alignment horizontal="center" vertical="center" wrapText="1"/>
    </xf>
    <xf numFmtId="0" fontId="16" fillId="0" borderId="2" xfId="2" applyFont="1" applyFill="1" applyBorder="1" applyAlignment="1">
      <alignment horizontal="center" vertical="center" wrapText="1"/>
    </xf>
    <xf numFmtId="0" fontId="16" fillId="0" borderId="3" xfId="2" applyFont="1" applyFill="1" applyBorder="1" applyAlignment="1">
      <alignment horizontal="center" vertical="center" wrapText="1"/>
    </xf>
    <xf numFmtId="0" fontId="16" fillId="0" borderId="4" xfId="2" applyFont="1" applyFill="1" applyBorder="1" applyAlignment="1">
      <alignment horizontal="center" vertical="center" wrapText="1"/>
    </xf>
    <xf numFmtId="0" fontId="16" fillId="0" borderId="5" xfId="2" applyFont="1" applyFill="1" applyBorder="1" applyAlignment="1">
      <alignment horizontal="center" vertical="center" wrapText="1"/>
    </xf>
    <xf numFmtId="0" fontId="16" fillId="0" borderId="6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/>
    </xf>
    <xf numFmtId="0" fontId="8" fillId="0" borderId="1" xfId="2" applyFont="1" applyFill="1" applyBorder="1" applyAlignment="1">
      <alignment horizontal="center" vertical="center" wrapText="1"/>
    </xf>
    <xf numFmtId="0" fontId="8" fillId="0" borderId="7" xfId="2" applyFont="1" applyFill="1" applyBorder="1" applyAlignment="1">
      <alignment horizontal="center" vertical="center" wrapText="1"/>
    </xf>
    <xf numFmtId="0" fontId="8" fillId="0" borderId="2" xfId="2" applyFont="1" applyFill="1" applyBorder="1" applyAlignment="1">
      <alignment horizontal="center" vertical="center" wrapText="1"/>
    </xf>
    <xf numFmtId="0" fontId="8" fillId="0" borderId="3" xfId="2" applyFont="1" applyFill="1" applyBorder="1" applyAlignment="1">
      <alignment horizontal="center" vertical="center" wrapText="1"/>
    </xf>
    <xf numFmtId="0" fontId="8" fillId="0" borderId="0" xfId="2" applyFont="1" applyFill="1" applyBorder="1" applyAlignment="1">
      <alignment horizontal="center" vertical="center" wrapText="1"/>
    </xf>
    <xf numFmtId="0" fontId="8" fillId="0" borderId="4" xfId="2" applyFont="1" applyFill="1" applyBorder="1" applyAlignment="1">
      <alignment horizontal="center" vertical="center" wrapText="1"/>
    </xf>
    <xf numFmtId="0" fontId="8" fillId="0" borderId="5" xfId="2" applyFont="1" applyFill="1" applyBorder="1" applyAlignment="1">
      <alignment horizontal="center" vertical="center" wrapText="1"/>
    </xf>
    <xf numFmtId="0" fontId="8" fillId="0" borderId="8" xfId="2" applyFont="1" applyFill="1" applyBorder="1" applyAlignment="1">
      <alignment horizontal="center" vertical="center" wrapText="1"/>
    </xf>
    <xf numFmtId="0" fontId="8" fillId="0" borderId="6" xfId="2" applyFont="1" applyFill="1" applyBorder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21" fillId="0" borderId="0" xfId="0" applyFont="1" applyAlignment="1">
      <alignment horizontal="left" wrapText="1"/>
    </xf>
  </cellXfs>
  <cellStyles count="4">
    <cellStyle name="Normal" xfId="0" builtinId="0"/>
    <cellStyle name="Normal 2" xfId="2"/>
    <cellStyle name="Percent" xfId="1" builtinId="5"/>
    <cellStyle name="Percent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Portfolio</a:t>
            </a:r>
            <a:r>
              <a:rPr lang="en-US" b="1" baseline="0"/>
              <a:t> Numenclature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'Portfolio Numenclature'!$A$6</c:f>
              <c:strCache>
                <c:ptCount val="1"/>
                <c:pt idx="0">
                  <c:v>Infeasible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Numenclature'!$C$6</c:f>
              <c:numCache>
                <c:formatCode>0.0%</c:formatCode>
                <c:ptCount val="1"/>
                <c:pt idx="0">
                  <c:v>0.185</c:v>
                </c:pt>
              </c:numCache>
            </c:numRef>
          </c:xVal>
          <c:yVal>
            <c:numRef>
              <c:f>'Portfolio Numenclature'!$B$6</c:f>
              <c:numCache>
                <c:formatCode>0.0%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87-40BA-8996-8880C7161311}"/>
            </c:ext>
          </c:extLst>
        </c:ser>
        <c:ser>
          <c:idx val="3"/>
          <c:order val="3"/>
          <c:tx>
            <c:strRef>
              <c:f>'Portfolio Numenclature'!$A$7</c:f>
              <c:strCache>
                <c:ptCount val="1"/>
                <c:pt idx="0">
                  <c:v>Infeasible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Numenclature'!$C$7</c:f>
              <c:numCache>
                <c:formatCode>0.0%</c:formatCode>
                <c:ptCount val="1"/>
                <c:pt idx="0">
                  <c:v>0.17499999999999999</c:v>
                </c:pt>
              </c:numCache>
            </c:numRef>
          </c:xVal>
          <c:yVal>
            <c:numRef>
              <c:f>'Portfolio Numenclature'!$B$7</c:f>
              <c:numCache>
                <c:formatCode>0.0%</c:formatCode>
                <c:ptCount val="1"/>
                <c:pt idx="0">
                  <c:v>0.06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87-40BA-8996-8880C7161311}"/>
            </c:ext>
          </c:extLst>
        </c:ser>
        <c:ser>
          <c:idx val="6"/>
          <c:order val="6"/>
          <c:tx>
            <c:strRef>
              <c:f>'Portfolio Numenclature'!$A$10</c:f>
              <c:strCache>
                <c:ptCount val="1"/>
                <c:pt idx="0">
                  <c:v>Feasable, not envelope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Numenclature'!$C$10</c:f>
              <c:numCache>
                <c:formatCode>0.0%</c:formatCode>
                <c:ptCount val="1"/>
                <c:pt idx="0">
                  <c:v>0.19</c:v>
                </c:pt>
              </c:numCache>
            </c:numRef>
          </c:xVal>
          <c:yVal>
            <c:numRef>
              <c:f>'Portfolio Numenclature'!$B$10</c:f>
              <c:numCache>
                <c:formatCode>0.0%</c:formatCode>
                <c:ptCount val="1"/>
                <c:pt idx="0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787-40BA-8996-8880C7161311}"/>
            </c:ext>
          </c:extLst>
        </c:ser>
        <c:ser>
          <c:idx val="7"/>
          <c:order val="7"/>
          <c:tx>
            <c:strRef>
              <c:f>'Portfolio Numenclature'!$A$11</c:f>
              <c:strCache>
                <c:ptCount val="1"/>
                <c:pt idx="0">
                  <c:v>Feasable, not envelope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Numenclature'!$C$11</c:f>
              <c:numCache>
                <c:formatCode>0.0%</c:formatCode>
                <c:ptCount val="1"/>
                <c:pt idx="0">
                  <c:v>0.17</c:v>
                </c:pt>
              </c:numCache>
            </c:numRef>
          </c:xVal>
          <c:yVal>
            <c:numRef>
              <c:f>'Portfolio Numenclature'!$B$11</c:f>
              <c:numCache>
                <c:formatCode>0.0%</c:formatCode>
                <c:ptCount val="1"/>
                <c:pt idx="0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7787-40BA-8996-8880C7161311}"/>
            </c:ext>
          </c:extLst>
        </c:ser>
        <c:ser>
          <c:idx val="8"/>
          <c:order val="8"/>
          <c:tx>
            <c:strRef>
              <c:f>'Portfolio Numenclature'!$A$12</c:f>
              <c:strCache>
                <c:ptCount val="1"/>
                <c:pt idx="0">
                  <c:v>Feasable, not envelope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Numenclature'!$C$12</c:f>
              <c:numCache>
                <c:formatCode>0.0%</c:formatCode>
                <c:ptCount val="1"/>
                <c:pt idx="0">
                  <c:v>0.18</c:v>
                </c:pt>
              </c:numCache>
            </c:numRef>
          </c:xVal>
          <c:yVal>
            <c:numRef>
              <c:f>'Portfolio Numenclature'!$B$12</c:f>
              <c:numCache>
                <c:formatCode>0.0%</c:formatCode>
                <c:ptCount val="1"/>
                <c:pt idx="0">
                  <c:v>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7787-40BA-8996-8880C7161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scatterChart>
        <c:scatterStyle val="smoothMarker"/>
        <c:varyColors val="0"/>
        <c:ser>
          <c:idx val="0"/>
          <c:order val="0"/>
          <c:tx>
            <c:strRef>
              <c:f>'Portfolio Numenclature'!$A$14</c:f>
              <c:strCache>
                <c:ptCount val="1"/>
                <c:pt idx="0">
                  <c:v>Efficient and envelope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'Portfolio Numenclature'!$B$17:$B$33</c:f>
              <c:numCache>
                <c:formatCode>0%</c:formatCode>
                <c:ptCount val="17"/>
                <c:pt idx="0">
                  <c:v>0.15</c:v>
                </c:pt>
                <c:pt idx="1">
                  <c:v>0.15028556151540307</c:v>
                </c:pt>
                <c:pt idx="2">
                  <c:v>0.15113900886270226</c:v>
                </c:pt>
                <c:pt idx="3">
                  <c:v>0.15255081120728267</c:v>
                </c:pt>
                <c:pt idx="4">
                  <c:v>0.15450566332662372</c:v>
                </c:pt>
                <c:pt idx="5">
                  <c:v>0.15698327936439599</c:v>
                </c:pt>
                <c:pt idx="6">
                  <c:v>0.15995936984121936</c:v>
                </c:pt>
                <c:pt idx="7">
                  <c:v>0.16340670120897735</c:v>
                </c:pt>
                <c:pt idx="8">
                  <c:v>0.16729614460590539</c:v>
                </c:pt>
                <c:pt idx="9">
                  <c:v>0.1715976398439093</c:v>
                </c:pt>
                <c:pt idx="10">
                  <c:v>0.17628102563804196</c:v>
                </c:pt>
                <c:pt idx="11">
                  <c:v>0.18131671186076592</c:v>
                </c:pt>
                <c:pt idx="12">
                  <c:v>0.18667619023324858</c:v>
                </c:pt>
                <c:pt idx="13">
                  <c:v>0.19233239456732196</c:v>
                </c:pt>
                <c:pt idx="14">
                  <c:v>0.19825993039441939</c:v>
                </c:pt>
                <c:pt idx="15">
                  <c:v>0.20443519755658521</c:v>
                </c:pt>
                <c:pt idx="16">
                  <c:v>0.21083642948978251</c:v>
                </c:pt>
              </c:numCache>
            </c:numRef>
          </c:xVal>
          <c:yVal>
            <c:numRef>
              <c:f>'Portfolio Numenclature'!$C$17:$C$33</c:f>
              <c:numCache>
                <c:formatCode>0.00%</c:formatCode>
                <c:ptCount val="17"/>
                <c:pt idx="0">
                  <c:v>0.08</c:v>
                </c:pt>
                <c:pt idx="1">
                  <c:v>8.14E-2</c:v>
                </c:pt>
                <c:pt idx="2">
                  <c:v>8.2799999999999999E-2</c:v>
                </c:pt>
                <c:pt idx="3">
                  <c:v>8.4200000000000011E-2</c:v>
                </c:pt>
                <c:pt idx="4">
                  <c:v>8.5600000000000009E-2</c:v>
                </c:pt>
                <c:pt idx="5">
                  <c:v>8.6999999999999994E-2</c:v>
                </c:pt>
                <c:pt idx="6">
                  <c:v>8.8400000000000006E-2</c:v>
                </c:pt>
                <c:pt idx="7">
                  <c:v>8.9800000000000019E-2</c:v>
                </c:pt>
                <c:pt idx="8">
                  <c:v>9.1200000000000003E-2</c:v>
                </c:pt>
                <c:pt idx="9">
                  <c:v>9.2600000000000002E-2</c:v>
                </c:pt>
                <c:pt idx="10">
                  <c:v>9.4E-2</c:v>
                </c:pt>
                <c:pt idx="11">
                  <c:v>9.5400000000000013E-2</c:v>
                </c:pt>
                <c:pt idx="12">
                  <c:v>9.6800000000000011E-2</c:v>
                </c:pt>
                <c:pt idx="13">
                  <c:v>9.820000000000001E-2</c:v>
                </c:pt>
                <c:pt idx="14">
                  <c:v>9.9600000000000008E-2</c:v>
                </c:pt>
                <c:pt idx="15">
                  <c:v>0.10100000000000001</c:v>
                </c:pt>
                <c:pt idx="16">
                  <c:v>0.10240000000000002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87-40BA-8996-8880C7161311}"/>
            </c:ext>
          </c:extLst>
        </c:ser>
        <c:ser>
          <c:idx val="2"/>
          <c:order val="2"/>
          <c:tx>
            <c:strRef>
              <c:f>'Portfolio Numenclature'!$E$14</c:f>
              <c:strCache>
                <c:ptCount val="1"/>
                <c:pt idx="0">
                  <c:v>Envelope, not efficient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'Portfolio Numenclature'!$F$17:$F$33</c:f>
              <c:numCache>
                <c:formatCode>0%</c:formatCode>
                <c:ptCount val="17"/>
                <c:pt idx="0">
                  <c:v>0.15</c:v>
                </c:pt>
                <c:pt idx="1">
                  <c:v>0.15028556151540307</c:v>
                </c:pt>
                <c:pt idx="2">
                  <c:v>0.15113900886270232</c:v>
                </c:pt>
                <c:pt idx="3">
                  <c:v>0.15255081120728267</c:v>
                </c:pt>
                <c:pt idx="4">
                  <c:v>0.15450566332662374</c:v>
                </c:pt>
                <c:pt idx="5">
                  <c:v>0.15698327936439599</c:v>
                </c:pt>
                <c:pt idx="6">
                  <c:v>0.15995936984121936</c:v>
                </c:pt>
                <c:pt idx="7">
                  <c:v>0.16340670120897735</c:v>
                </c:pt>
                <c:pt idx="8">
                  <c:v>0.16729614460590542</c:v>
                </c:pt>
                <c:pt idx="9">
                  <c:v>0.17159763984390927</c:v>
                </c:pt>
                <c:pt idx="10">
                  <c:v>0.17628102563804199</c:v>
                </c:pt>
                <c:pt idx="11">
                  <c:v>0.18131671186076592</c:v>
                </c:pt>
                <c:pt idx="12">
                  <c:v>0.18667619023324861</c:v>
                </c:pt>
                <c:pt idx="13">
                  <c:v>0.19233239456732193</c:v>
                </c:pt>
                <c:pt idx="14">
                  <c:v>0.19825993039441941</c:v>
                </c:pt>
                <c:pt idx="15">
                  <c:v>0.20443519755658529</c:v>
                </c:pt>
                <c:pt idx="16">
                  <c:v>0.21083642948978251</c:v>
                </c:pt>
              </c:numCache>
            </c:numRef>
          </c:xVal>
          <c:yVal>
            <c:numRef>
              <c:f>'Portfolio Numenclature'!$G$17:$G$33</c:f>
              <c:numCache>
                <c:formatCode>0.00%</c:formatCode>
                <c:ptCount val="17"/>
                <c:pt idx="0">
                  <c:v>0.08</c:v>
                </c:pt>
                <c:pt idx="1">
                  <c:v>7.8600000000000003E-2</c:v>
                </c:pt>
                <c:pt idx="2">
                  <c:v>7.7200000000000019E-2</c:v>
                </c:pt>
                <c:pt idx="3">
                  <c:v>7.5799999999999992E-2</c:v>
                </c:pt>
                <c:pt idx="4">
                  <c:v>7.4399999999999994E-2</c:v>
                </c:pt>
                <c:pt idx="5">
                  <c:v>7.3000000000000009E-2</c:v>
                </c:pt>
                <c:pt idx="6">
                  <c:v>7.1599999999999983E-2</c:v>
                </c:pt>
                <c:pt idx="7">
                  <c:v>7.0199999999999985E-2</c:v>
                </c:pt>
                <c:pt idx="8">
                  <c:v>6.88E-2</c:v>
                </c:pt>
                <c:pt idx="9">
                  <c:v>6.7400000000000002E-2</c:v>
                </c:pt>
                <c:pt idx="10">
                  <c:v>6.5999999999999989E-2</c:v>
                </c:pt>
                <c:pt idx="11">
                  <c:v>6.4600000000000005E-2</c:v>
                </c:pt>
                <c:pt idx="12">
                  <c:v>6.3199999999999992E-2</c:v>
                </c:pt>
                <c:pt idx="13">
                  <c:v>6.179999999999998E-2</c:v>
                </c:pt>
                <c:pt idx="14">
                  <c:v>6.0399999999999995E-2</c:v>
                </c:pt>
                <c:pt idx="15">
                  <c:v>5.9000000000000011E-2</c:v>
                </c:pt>
                <c:pt idx="16">
                  <c:v>5.7599999999999998E-2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87-40BA-8996-8880C7161311}"/>
            </c:ext>
          </c:extLst>
        </c:ser>
        <c:ser>
          <c:idx val="4"/>
          <c:order val="4"/>
          <c:tx>
            <c:strRef>
              <c:f>'Portfolio Numenclature'!$A$8</c:f>
              <c:strCache>
                <c:ptCount val="1"/>
                <c:pt idx="0">
                  <c:v>Efficient and envelope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Numenclature'!$C$8</c:f>
              <c:numCache>
                <c:formatCode>0.0%</c:formatCode>
                <c:ptCount val="1"/>
                <c:pt idx="0">
                  <c:v>0.15905973720586866</c:v>
                </c:pt>
              </c:numCache>
            </c:numRef>
          </c:xVal>
          <c:yVal>
            <c:numRef>
              <c:f>'Portfolio Numenclature'!$B$8</c:f>
              <c:numCache>
                <c:formatCode>0.0%</c:formatCode>
                <c:ptCount val="1"/>
                <c:pt idx="0">
                  <c:v>8.8000000000000009E-2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787-40BA-8996-8880C7161311}"/>
            </c:ext>
          </c:extLst>
        </c:ser>
        <c:ser>
          <c:idx val="5"/>
          <c:order val="5"/>
          <c:tx>
            <c:strRef>
              <c:f>'Portfolio Numenclature'!$A$9</c:f>
              <c:strCache>
                <c:ptCount val="1"/>
                <c:pt idx="0">
                  <c:v>Envelope, not efficient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'Portfolio Numenclature'!$C$9</c:f>
              <c:numCache>
                <c:formatCode>0.0%</c:formatCode>
                <c:ptCount val="1"/>
                <c:pt idx="0">
                  <c:v>0.15905973720586866</c:v>
                </c:pt>
              </c:numCache>
            </c:numRef>
          </c:xVal>
          <c:yVal>
            <c:numRef>
              <c:f>'Portfolio Numenclature'!$B$9</c:f>
              <c:numCache>
                <c:formatCode>0.0%</c:formatCode>
                <c:ptCount val="1"/>
                <c:pt idx="0">
                  <c:v>7.1999999999999981E-2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787-40BA-8996-8880C7161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valAx>
        <c:axId val="1808315008"/>
        <c:scaling>
          <c:orientation val="minMax"/>
          <c:min val="0.13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deviation,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836944"/>
        <c:crosses val="autoZero"/>
        <c:crossBetween val="midCat"/>
      </c:valAx>
      <c:valAx>
        <c:axId val="1538836944"/>
        <c:scaling>
          <c:orientation val="minMax"/>
          <c:min val="5.000000000000001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return,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31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Finding Zero-Beta Portfolios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277635185104624"/>
          <c:y val="0.17413145539906105"/>
          <c:w val="0.89722364814895372"/>
          <c:h val="0.70284019075080406"/>
        </c:manualLayout>
      </c:layout>
      <c:scatterChart>
        <c:scatterStyle val="lineMarker"/>
        <c:varyColors val="0"/>
        <c:ser>
          <c:idx val="1"/>
          <c:order val="2"/>
          <c:tx>
            <c:strRef>
              <c:f>'Zero Beta'!$A$11</c:f>
              <c:strCache>
                <c:ptCount val="1"/>
                <c:pt idx="0">
                  <c:v>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51000"/>
                </a:schemeClr>
              </a:solidFill>
              <a:ln w="9525">
                <a:solidFill>
                  <a:schemeClr val="accent1">
                    <a:shade val="51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Beta'!$C$11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'Zero Beta'!$B$11</c:f>
              <c:numCache>
                <c:formatCode>0%</c:formatCode>
                <c:ptCount val="1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B6-4485-97B6-37BD00F51E2E}"/>
            </c:ext>
          </c:extLst>
        </c:ser>
        <c:ser>
          <c:idx val="3"/>
          <c:order val="3"/>
          <c:tx>
            <c:strRef>
              <c:f>'Zero Beta'!$A$18</c:f>
              <c:strCache>
                <c:ptCount val="1"/>
                <c:pt idx="0">
                  <c:v>x, a tangency portfolio given 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73000"/>
                </a:schemeClr>
              </a:solidFill>
              <a:ln w="9525">
                <a:solidFill>
                  <a:schemeClr val="accent1">
                    <a:shade val="73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7160411198600176"/>
                  <c:y val="7.822470107903178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7B6-4485-97B6-37BD00F51E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Beta'!$C$18</c:f>
              <c:numCache>
                <c:formatCode>0.0%</c:formatCode>
                <c:ptCount val="1"/>
                <c:pt idx="0">
                  <c:v>8.5587689098681294E-2</c:v>
                </c:pt>
              </c:numCache>
            </c:numRef>
          </c:xVal>
          <c:yVal>
            <c:numRef>
              <c:f>'Zero Beta'!$B$18</c:f>
              <c:numCache>
                <c:formatCode>0.0%</c:formatCode>
                <c:ptCount val="1"/>
                <c:pt idx="0">
                  <c:v>5.4848484848484855E-2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7B6-4485-97B6-37BD00F51E2E}"/>
            </c:ext>
          </c:extLst>
        </c:ser>
        <c:ser>
          <c:idx val="6"/>
          <c:order val="5"/>
          <c:tx>
            <c:strRef>
              <c:f>'Zero Beta'!$F$11</c:f>
              <c:strCache>
                <c:ptCount val="1"/>
                <c:pt idx="0">
                  <c:v>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95000"/>
                </a:schemeClr>
              </a:solidFill>
              <a:ln w="9525">
                <a:solidFill>
                  <a:schemeClr val="accent1">
                    <a:tint val="9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Beta'!$H$11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'Zero Beta'!$G$11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7B6-4485-97B6-37BD00F51E2E}"/>
            </c:ext>
          </c:extLst>
        </c:ser>
        <c:ser>
          <c:idx val="7"/>
          <c:order val="6"/>
          <c:tx>
            <c:strRef>
              <c:f>'Zero Beta'!$F$18</c:f>
              <c:strCache>
                <c:ptCount val="1"/>
                <c:pt idx="0">
                  <c:v>y, a tangency portfolio given c2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84000"/>
                </a:schemeClr>
              </a:solidFill>
              <a:ln w="9525">
                <a:solidFill>
                  <a:schemeClr val="accent1">
                    <a:tint val="84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361111111111111"/>
                  <c:y val="1.8518518518518517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7B6-4485-97B6-37BD00F51E2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Beta'!$H$18</c:f>
              <c:numCache>
                <c:formatCode>0.0%</c:formatCode>
                <c:ptCount val="1"/>
                <c:pt idx="0">
                  <c:v>0.12083463949137312</c:v>
                </c:pt>
              </c:numCache>
            </c:numRef>
          </c:xVal>
          <c:yVal>
            <c:numRef>
              <c:f>'Zero Beta'!$G$18</c:f>
              <c:numCache>
                <c:formatCode>0.0%</c:formatCode>
                <c:ptCount val="1"/>
                <c:pt idx="0">
                  <c:v>6.9696969696969716E-2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57B6-4485-97B6-37BD00F51E2E}"/>
            </c:ext>
          </c:extLst>
        </c:ser>
        <c:ser>
          <c:idx val="8"/>
          <c:order val="8"/>
          <c:tx>
            <c:strRef>
              <c:f>'Zero Beta'!$A$19</c:f>
              <c:strCache>
                <c:ptCount val="1"/>
                <c:pt idx="0">
                  <c:v>Z(c1)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74000"/>
                </a:schemeClr>
              </a:solidFill>
              <a:ln w="9525">
                <a:solidFill>
                  <a:schemeClr val="accent1">
                    <a:tint val="74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Beta'!$C$19</c:f>
              <c:numCache>
                <c:formatCode>0.0%</c:formatCode>
                <c:ptCount val="1"/>
                <c:pt idx="0">
                  <c:v>0.12165525060596438</c:v>
                </c:pt>
              </c:numCache>
            </c:numRef>
          </c:xVal>
          <c:yVal>
            <c:numRef>
              <c:f>'Zero Beta'!$B$19</c:f>
              <c:numCache>
                <c:formatCode>0.0%</c:formatCode>
                <c:ptCount val="1"/>
                <c:pt idx="0">
                  <c:v>1.0000000000000009E-2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57B6-4485-97B6-37BD00F51E2E}"/>
            </c:ext>
          </c:extLst>
        </c:ser>
        <c:ser>
          <c:idx val="9"/>
          <c:order val="9"/>
          <c:tx>
            <c:strRef>
              <c:f>'Zero Beta'!$F$19</c:f>
              <c:strCache>
                <c:ptCount val="1"/>
                <c:pt idx="0">
                  <c:v>Z(c2)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tint val="63000"/>
                </a:schemeClr>
              </a:solidFill>
              <a:ln w="9525">
                <a:solidFill>
                  <a:schemeClr val="accent1">
                    <a:tint val="63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'Zero Beta'!$H$19</c:f>
              <c:numCache>
                <c:formatCode>0.0%</c:formatCode>
                <c:ptCount val="1"/>
                <c:pt idx="0">
                  <c:v>8.5877820186588349E-2</c:v>
                </c:pt>
              </c:numCache>
            </c:numRef>
          </c:xVal>
          <c:yVal>
            <c:numRef>
              <c:f>'Zero Beta'!$G$19</c:f>
              <c:numCache>
                <c:formatCode>0.0%</c:formatCode>
                <c:ptCount val="1"/>
                <c:pt idx="0">
                  <c:v>2.5000000000000001E-2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57B6-4485-97B6-37BD00F5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scatterChart>
        <c:scatterStyle val="smoothMarker"/>
        <c:varyColors val="0"/>
        <c:ser>
          <c:idx val="0"/>
          <c:order val="0"/>
          <c:tx>
            <c:strRef>
              <c:f>'Zero Beta'!$A$31</c:f>
              <c:strCache>
                <c:ptCount val="1"/>
                <c:pt idx="0">
                  <c:v>Efficient and envelope</c:v>
                </c:pt>
              </c:strCache>
            </c:strRef>
          </c:tx>
          <c:spPr>
            <a:ln w="12700" cap="rnd">
              <a:solidFill>
                <a:schemeClr val="accent1">
                  <a:shade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'Zero Beta'!$B$34:$B$50</c:f>
              <c:numCache>
                <c:formatCode>0%</c:formatCode>
                <c:ptCount val="17"/>
                <c:pt idx="0">
                  <c:v>7.0000000000000007E-2</c:v>
                </c:pt>
                <c:pt idx="1">
                  <c:v>7.0800000000000016E-2</c:v>
                </c:pt>
                <c:pt idx="2">
                  <c:v>7.3147522172661461E-2</c:v>
                </c:pt>
                <c:pt idx="3">
                  <c:v>7.6900975286403231E-2</c:v>
                </c:pt>
                <c:pt idx="4">
                  <c:v>8.1867209553031672E-2</c:v>
                </c:pt>
                <c:pt idx="5">
                  <c:v>8.7840765023991005E-2</c:v>
                </c:pt>
                <c:pt idx="6">
                  <c:v>9.4631073120830675E-2</c:v>
                </c:pt>
                <c:pt idx="7">
                  <c:v>0.10207526634792584</c:v>
                </c:pt>
                <c:pt idx="8">
                  <c:v>0.11004071973592321</c:v>
                </c:pt>
                <c:pt idx="9">
                  <c:v>0.11842229519815936</c:v>
                </c:pt>
                <c:pt idx="10">
                  <c:v>0.12713772060250253</c:v>
                </c:pt>
                <c:pt idx="11">
                  <c:v>0.13612288565851077</c:v>
                </c:pt>
                <c:pt idx="12">
                  <c:v>0.14532776747751958</c:v>
                </c:pt>
                <c:pt idx="13">
                  <c:v>0.1547131539333356</c:v>
                </c:pt>
                <c:pt idx="14">
                  <c:v>0.1642481050118996</c:v>
                </c:pt>
                <c:pt idx="15">
                  <c:v>0.17390802166662697</c:v>
                </c:pt>
                <c:pt idx="16">
                  <c:v>0.18367318802699539</c:v>
                </c:pt>
              </c:numCache>
            </c:numRef>
          </c:xVal>
          <c:yVal>
            <c:numRef>
              <c:f>'Zero Beta'!$C$34:$C$50</c:f>
              <c:numCache>
                <c:formatCode>0.00%</c:formatCode>
                <c:ptCount val="17"/>
                <c:pt idx="0">
                  <c:v>0.04</c:v>
                </c:pt>
                <c:pt idx="1">
                  <c:v>4.3200000000000002E-2</c:v>
                </c:pt>
                <c:pt idx="2">
                  <c:v>4.6399999999999997E-2</c:v>
                </c:pt>
                <c:pt idx="3">
                  <c:v>4.9599999999999998E-2</c:v>
                </c:pt>
                <c:pt idx="4">
                  <c:v>5.28E-2</c:v>
                </c:pt>
                <c:pt idx="5">
                  <c:v>5.6000000000000001E-2</c:v>
                </c:pt>
                <c:pt idx="6">
                  <c:v>5.9200000000000003E-2</c:v>
                </c:pt>
                <c:pt idx="7">
                  <c:v>6.2400000000000004E-2</c:v>
                </c:pt>
                <c:pt idx="8">
                  <c:v>6.5600000000000006E-2</c:v>
                </c:pt>
                <c:pt idx="9">
                  <c:v>6.88E-2</c:v>
                </c:pt>
                <c:pt idx="10">
                  <c:v>7.2000000000000008E-2</c:v>
                </c:pt>
                <c:pt idx="11">
                  <c:v>7.5199999999999989E-2</c:v>
                </c:pt>
                <c:pt idx="12">
                  <c:v>7.8399999999999997E-2</c:v>
                </c:pt>
                <c:pt idx="13">
                  <c:v>8.1599999999999992E-2</c:v>
                </c:pt>
                <c:pt idx="14">
                  <c:v>8.48E-2</c:v>
                </c:pt>
                <c:pt idx="15">
                  <c:v>8.8000000000000009E-2</c:v>
                </c:pt>
                <c:pt idx="16">
                  <c:v>9.1200000000000003E-2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B6-4485-97B6-37BD00F51E2E}"/>
            </c:ext>
          </c:extLst>
        </c:ser>
        <c:ser>
          <c:idx val="2"/>
          <c:order val="1"/>
          <c:tx>
            <c:strRef>
              <c:f>'Zero Beta'!$E$31</c:f>
              <c:strCache>
                <c:ptCount val="1"/>
                <c:pt idx="0">
                  <c:v>Envelope, not efficient</c:v>
                </c:pt>
              </c:strCache>
            </c:strRef>
          </c:tx>
          <c:spPr>
            <a:ln w="12700" cap="rnd">
              <a:solidFill>
                <a:schemeClr val="accent1">
                  <a:shade val="62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'Zero Beta'!$F$34:$F$50</c:f>
              <c:numCache>
                <c:formatCode>0%</c:formatCode>
                <c:ptCount val="17"/>
                <c:pt idx="0">
                  <c:v>7.0000000000000007E-2</c:v>
                </c:pt>
                <c:pt idx="1">
                  <c:v>7.0313583324987786E-2</c:v>
                </c:pt>
                <c:pt idx="2">
                  <c:v>7.1246052522227515E-2</c:v>
                </c:pt>
                <c:pt idx="3">
                  <c:v>7.2773621594641E-2</c:v>
                </c:pt>
                <c:pt idx="4">
                  <c:v>7.4859869088851616E-2</c:v>
                </c:pt>
                <c:pt idx="5">
                  <c:v>7.7459666924148338E-2</c:v>
                </c:pt>
                <c:pt idx="6">
                  <c:v>8.0523288556789599E-2</c:v>
                </c:pt>
                <c:pt idx="7">
                  <c:v>8.4000000000000005E-2</c:v>
                </c:pt>
                <c:pt idx="8">
                  <c:v>8.7840765023990991E-2</c:v>
                </c:pt>
                <c:pt idx="9">
                  <c:v>9.1999999999999998E-2</c:v>
                </c:pt>
                <c:pt idx="10">
                  <c:v>9.643650760992957E-2</c:v>
                </c:pt>
                <c:pt idx="11">
                  <c:v>0.1011137972781163</c:v>
                </c:pt>
                <c:pt idx="12">
                  <c:v>0.10600000000000001</c:v>
                </c:pt>
                <c:pt idx="13">
                  <c:v>0.11106754701531855</c:v>
                </c:pt>
                <c:pt idx="14">
                  <c:v>0.11629273408085306</c:v>
                </c:pt>
                <c:pt idx="15">
                  <c:v>0.1216552506059644</c:v>
                </c:pt>
                <c:pt idx="16">
                  <c:v>0.12713772060250256</c:v>
                </c:pt>
              </c:numCache>
            </c:numRef>
          </c:xVal>
          <c:yVal>
            <c:numRef>
              <c:f>'Zero Beta'!$G$34:$G$50</c:f>
              <c:numCache>
                <c:formatCode>0.00%</c:formatCode>
                <c:ptCount val="17"/>
                <c:pt idx="0">
                  <c:v>0.04</c:v>
                </c:pt>
                <c:pt idx="1">
                  <c:v>3.8000000000000006E-2</c:v>
                </c:pt>
                <c:pt idx="2">
                  <c:v>3.6000000000000004E-2</c:v>
                </c:pt>
                <c:pt idx="3">
                  <c:v>3.3999999999999996E-2</c:v>
                </c:pt>
                <c:pt idx="4">
                  <c:v>3.2000000000000001E-2</c:v>
                </c:pt>
                <c:pt idx="5">
                  <c:v>3.0000000000000002E-2</c:v>
                </c:pt>
                <c:pt idx="6">
                  <c:v>2.8000000000000004E-2</c:v>
                </c:pt>
                <c:pt idx="7">
                  <c:v>2.6000000000000009E-2</c:v>
                </c:pt>
                <c:pt idx="8">
                  <c:v>2.3999999999999994E-2</c:v>
                </c:pt>
                <c:pt idx="9">
                  <c:v>2.1999999999999999E-2</c:v>
                </c:pt>
                <c:pt idx="10">
                  <c:v>2.0000000000000004E-2</c:v>
                </c:pt>
                <c:pt idx="11">
                  <c:v>1.7999999999999995E-2</c:v>
                </c:pt>
                <c:pt idx="12">
                  <c:v>1.6E-2</c:v>
                </c:pt>
                <c:pt idx="13">
                  <c:v>1.3999999999999999E-2</c:v>
                </c:pt>
                <c:pt idx="14">
                  <c:v>1.1999999999999997E-2</c:v>
                </c:pt>
                <c:pt idx="15">
                  <c:v>9.999999999999995E-3</c:v>
                </c:pt>
                <c:pt idx="16">
                  <c:v>7.9999999999999932E-3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B6-4485-97B6-37BD00F51E2E}"/>
            </c:ext>
          </c:extLst>
        </c:ser>
        <c:ser>
          <c:idx val="4"/>
          <c:order val="4"/>
          <c:tx>
            <c:strRef>
              <c:f>'Zero Beta'!$A$21</c:f>
              <c:strCache>
                <c:ptCount val="1"/>
                <c:pt idx="0">
                  <c:v>Straight line connecting c1 and x</c:v>
                </c:pt>
              </c:strCache>
            </c:strRef>
          </c:tx>
          <c:spPr>
            <a:ln w="12700" cap="rnd">
              <a:solidFill>
                <a:schemeClr val="accent1">
                  <a:shade val="83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'Zero Beta'!$B$23:$B$24</c:f>
              <c:numCache>
                <c:formatCode>0.0%</c:formatCode>
                <c:ptCount val="2"/>
                <c:pt idx="0">
                  <c:v>0</c:v>
                </c:pt>
                <c:pt idx="1">
                  <c:v>0.1454990714677582</c:v>
                </c:pt>
              </c:numCache>
            </c:numRef>
          </c:xVal>
          <c:yVal>
            <c:numRef>
              <c:f>'Zero Beta'!$C$23:$C$24</c:f>
              <c:numCache>
                <c:formatCode>0.0%</c:formatCode>
                <c:ptCount val="2"/>
                <c:pt idx="0">
                  <c:v>0.01</c:v>
                </c:pt>
                <c:pt idx="1">
                  <c:v>8.6242424242424259E-2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7B6-4485-97B6-37BD00F51E2E}"/>
            </c:ext>
          </c:extLst>
        </c:ser>
        <c:ser>
          <c:idx val="5"/>
          <c:order val="7"/>
          <c:tx>
            <c:strRef>
              <c:f>'Zero Beta'!$E$21</c:f>
              <c:strCache>
                <c:ptCount val="1"/>
                <c:pt idx="0">
                  <c:v>Straight line connecting c2 and y</c:v>
                </c:pt>
              </c:strCache>
            </c:strRef>
          </c:tx>
          <c:spPr>
            <a:ln w="12700" cap="rnd">
              <a:solidFill>
                <a:schemeClr val="accent1">
                  <a:shade val="94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'Zero Beta'!$F$23:$F$24</c:f>
              <c:numCache>
                <c:formatCode>0.0%</c:formatCode>
                <c:ptCount val="2"/>
                <c:pt idx="0">
                  <c:v>0</c:v>
                </c:pt>
                <c:pt idx="1">
                  <c:v>0.18125195923705967</c:v>
                </c:pt>
              </c:numCache>
            </c:numRef>
          </c:xVal>
          <c:yVal>
            <c:numRef>
              <c:f>'Zero Beta'!$G$23:$G$24</c:f>
              <c:numCache>
                <c:formatCode>0.0%</c:formatCode>
                <c:ptCount val="2"/>
                <c:pt idx="0">
                  <c:v>2.5000000000000001E-2</c:v>
                </c:pt>
                <c:pt idx="1">
                  <c:v>9.2045454545454583E-2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7B6-4485-97B6-37BD00F51E2E}"/>
            </c:ext>
          </c:extLst>
        </c:ser>
        <c:ser>
          <c:idx val="10"/>
          <c:order val="10"/>
          <c:tx>
            <c:strRef>
              <c:f>'Zero Beta'!$A$26</c:f>
              <c:strCache>
                <c:ptCount val="1"/>
                <c:pt idx="0">
                  <c:v>Straight line connecting c1 and Z(c1)</c:v>
                </c:pt>
              </c:strCache>
            </c:strRef>
          </c:tx>
          <c:spPr>
            <a:ln w="12700" cap="rnd">
              <a:solidFill>
                <a:schemeClr val="accent1">
                  <a:tint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'Zero Beta'!$B$28:$B$29</c:f>
              <c:numCache>
                <c:formatCode>0.0%</c:formatCode>
                <c:ptCount val="2"/>
                <c:pt idx="0">
                  <c:v>0</c:v>
                </c:pt>
                <c:pt idx="1">
                  <c:v>0.12165525060596438</c:v>
                </c:pt>
              </c:numCache>
            </c:numRef>
          </c:xVal>
          <c:yVal>
            <c:numRef>
              <c:f>'Zero Beta'!$C$28:$C$29</c:f>
              <c:numCache>
                <c:formatCode>0.0%</c:formatCode>
                <c:ptCount val="2"/>
                <c:pt idx="0">
                  <c:v>0.01</c:v>
                </c:pt>
                <c:pt idx="1">
                  <c:v>1.0000000000000009E-2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57B6-4485-97B6-37BD00F51E2E}"/>
            </c:ext>
          </c:extLst>
        </c:ser>
        <c:ser>
          <c:idx val="11"/>
          <c:order val="11"/>
          <c:tx>
            <c:strRef>
              <c:f>'Zero Beta'!$E$26</c:f>
              <c:strCache>
                <c:ptCount val="1"/>
                <c:pt idx="0">
                  <c:v>Straight line connecting c2 and Z(c2)</c:v>
                </c:pt>
              </c:strCache>
            </c:strRef>
          </c:tx>
          <c:spPr>
            <a:ln w="12700" cap="rnd">
              <a:solidFill>
                <a:schemeClr val="accent1">
                  <a:tint val="41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'Zero Beta'!$F$28:$F$29</c:f>
              <c:numCache>
                <c:formatCode>0.0%</c:formatCode>
                <c:ptCount val="2"/>
                <c:pt idx="0">
                  <c:v>0</c:v>
                </c:pt>
                <c:pt idx="1">
                  <c:v>8.5877820186588349E-2</c:v>
                </c:pt>
              </c:numCache>
            </c:numRef>
          </c:xVal>
          <c:yVal>
            <c:numRef>
              <c:f>'Zero Beta'!$G$28:$G$29</c:f>
              <c:numCache>
                <c:formatCode>0.0%</c:formatCode>
                <c:ptCount val="2"/>
                <c:pt idx="0">
                  <c:v>2.5000000000000001E-2</c:v>
                </c:pt>
                <c:pt idx="1">
                  <c:v>2.5000000000000001E-2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57B6-4485-97B6-37BD00F51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valAx>
        <c:axId val="180831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deviation,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836944"/>
        <c:crosses val="autoZero"/>
        <c:crossBetween val="midCat"/>
      </c:valAx>
      <c:valAx>
        <c:axId val="1538836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return,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31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Envelope</a:t>
            </a:r>
            <a:r>
              <a:rPr lang="en-US" baseline="0"/>
              <a:t> in Our Example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47C0-4EE7-9135-6D86D4C1E8A3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47C0-4EE7-9135-6D86D4C1E8A3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C0-4EE7-9135-6D86D4C1E8A3}"/>
              </c:ext>
            </c:extLst>
          </c:dPt>
          <c:xVal>
            <c:numRef>
              <c:f>'Eff portfolios and frontier'!$B$44:$B$60</c:f>
              <c:numCache>
                <c:formatCode>0.00%</c:formatCode>
                <c:ptCount val="17"/>
                <c:pt idx="0">
                  <c:v>0.67152771707987247</c:v>
                </c:pt>
                <c:pt idx="1">
                  <c:v>0.60780023372496605</c:v>
                </c:pt>
                <c:pt idx="2">
                  <c:v>0.54562053626684992</c:v>
                </c:pt>
                <c:pt idx="3">
                  <c:v>0.48558357802391755</c:v>
                </c:pt>
                <c:pt idx="4">
                  <c:v>0.42859077109438404</c:v>
                </c:pt>
                <c:pt idx="5">
                  <c:v>0.37602883274880772</c:v>
                </c:pt>
                <c:pt idx="6">
                  <c:v>0.33002168598437048</c:v>
                </c:pt>
                <c:pt idx="7">
                  <c:v>0.29366637456795341</c:v>
                </c:pt>
                <c:pt idx="8">
                  <c:v>0.27087739302900143</c:v>
                </c:pt>
                <c:pt idx="9">
                  <c:v>0.26517575440992747</c:v>
                </c:pt>
                <c:pt idx="10">
                  <c:v>0.27761627396452043</c:v>
                </c:pt>
                <c:pt idx="11">
                  <c:v>0.30599412834790946</c:v>
                </c:pt>
                <c:pt idx="12">
                  <c:v>0.34641451148477231</c:v>
                </c:pt>
                <c:pt idx="13">
                  <c:v>0.39519946498123421</c:v>
                </c:pt>
                <c:pt idx="14">
                  <c:v>0.44963453675852899</c:v>
                </c:pt>
                <c:pt idx="15">
                  <c:v>0.50790630271836967</c:v>
                </c:pt>
                <c:pt idx="16">
                  <c:v>0.56883688717101855</c:v>
                </c:pt>
              </c:numCache>
            </c:numRef>
          </c:xVal>
          <c:yVal>
            <c:numRef>
              <c:f>'Eff portfolios and frontier'!$C$44:$C$60</c:f>
              <c:numCache>
                <c:formatCode>0.00%</c:formatCode>
                <c:ptCount val="17"/>
                <c:pt idx="0">
                  <c:v>0.16131694248744996</c:v>
                </c:pt>
                <c:pt idx="1">
                  <c:v>0.15166089245060208</c:v>
                </c:pt>
                <c:pt idx="2">
                  <c:v>0.14200484241375419</c:v>
                </c:pt>
                <c:pt idx="3">
                  <c:v>0.13234879237690622</c:v>
                </c:pt>
                <c:pt idx="4">
                  <c:v>0.12269274234005831</c:v>
                </c:pt>
                <c:pt idx="5">
                  <c:v>0.1130366923032104</c:v>
                </c:pt>
                <c:pt idx="6">
                  <c:v>0.10338064226636248</c:v>
                </c:pt>
                <c:pt idx="7">
                  <c:v>9.3724592229514556E-2</c:v>
                </c:pt>
                <c:pt idx="8">
                  <c:v>8.4068542192666629E-2</c:v>
                </c:pt>
                <c:pt idx="9">
                  <c:v>7.4412492155818716E-2</c:v>
                </c:pt>
                <c:pt idx="10">
                  <c:v>6.4756442118970803E-2</c:v>
                </c:pt>
                <c:pt idx="11">
                  <c:v>5.5100392082122862E-2</c:v>
                </c:pt>
                <c:pt idx="12">
                  <c:v>4.5444342045274921E-2</c:v>
                </c:pt>
                <c:pt idx="13">
                  <c:v>3.5788292008427036E-2</c:v>
                </c:pt>
                <c:pt idx="14">
                  <c:v>2.6132241971579151E-2</c:v>
                </c:pt>
                <c:pt idx="15">
                  <c:v>1.647619193473121E-2</c:v>
                </c:pt>
                <c:pt idx="16">
                  <c:v>6.8201418978832695E-3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7C0-4EE7-9135-6D86D4C1E8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907256"/>
        <c:axId val="318314328"/>
      </c:scatterChart>
      <c:scatterChart>
        <c:scatterStyle val="lineMarker"/>
        <c:varyColors val="0"/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14E1B95-1BE2-4E72-B6F3-F14FBF55B4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51-45B4-9079-CDD1BD181CD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8B09796-2400-4AC7-BDE8-55EDBD6ED7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51-45B4-9079-CDD1BD181CD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09B47B1-CDE7-466F-85E6-21D022EBC3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51-45B4-9079-CDD1BD181CD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BC5FB40-4F49-4203-B968-52658166EF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51-45B4-9079-CDD1BD181C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 portfolios and frontier'!$I$4:$I$7</c:f>
              <c:numCache>
                <c:formatCode>0.00</c:formatCode>
                <c:ptCount val="4"/>
                <c:pt idx="0">
                  <c:v>0.31622776601683794</c:v>
                </c:pt>
                <c:pt idx="1">
                  <c:v>0.54772255750516607</c:v>
                </c:pt>
                <c:pt idx="2">
                  <c:v>0.63245553203367588</c:v>
                </c:pt>
                <c:pt idx="3">
                  <c:v>0.70710678118654757</c:v>
                </c:pt>
              </c:numCache>
            </c:numRef>
          </c:xVal>
          <c:yVal>
            <c:numRef>
              <c:f>'Eff portfolios and frontier'!$G$4:$G$7</c:f>
              <c:numCache>
                <c:formatCode>0%</c:formatCode>
                <c:ptCount val="4"/>
                <c:pt idx="0">
                  <c:v>0.06</c:v>
                </c:pt>
                <c:pt idx="1">
                  <c:v>0.08</c:v>
                </c:pt>
                <c:pt idx="2">
                  <c:v>0.1</c:v>
                </c:pt>
                <c:pt idx="3">
                  <c:v>0.15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'Eff portfolios and frontier'!$A$4:$A$7</c15:f>
                <c15:dlblRangeCache>
                  <c:ptCount val="4"/>
                  <c:pt idx="0">
                    <c:v>Asset 1</c:v>
                  </c:pt>
                  <c:pt idx="1">
                    <c:v>Asset 2</c:v>
                  </c:pt>
                  <c:pt idx="2">
                    <c:v>Asset 3</c:v>
                  </c:pt>
                  <c:pt idx="3">
                    <c:v>Asset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BD51-45B4-9079-CDD1BD181CDD}"/>
            </c:ext>
          </c:extLst>
        </c:ser>
        <c:ser>
          <c:idx val="2"/>
          <c:order val="2"/>
          <c:tx>
            <c:strRef>
              <c:f>'Eff portfolios and frontier'!$B$26</c:f>
              <c:strCache>
                <c:ptCount val="1"/>
                <c:pt idx="0">
                  <c:v>Portfolio x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 portfolios and frontier'!$B$30</c:f>
              <c:numCache>
                <c:formatCode>0.00%</c:formatCode>
                <c:ptCount val="1"/>
                <c:pt idx="0">
                  <c:v>0.29366637456795341</c:v>
                </c:pt>
              </c:numCache>
            </c:numRef>
          </c:xVal>
          <c:yVal>
            <c:numRef>
              <c:f>'Eff portfolios and frontier'!$B$28</c:f>
              <c:numCache>
                <c:formatCode>0.00%</c:formatCode>
                <c:ptCount val="1"/>
                <c:pt idx="0">
                  <c:v>9.3724592229514556E-2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D51-45B4-9079-CDD1BD181CDD}"/>
            </c:ext>
          </c:extLst>
        </c:ser>
        <c:ser>
          <c:idx val="3"/>
          <c:order val="3"/>
          <c:tx>
            <c:strRef>
              <c:f>'Eff portfolios and frontier'!$C$26</c:f>
              <c:strCache>
                <c:ptCount val="1"/>
                <c:pt idx="0">
                  <c:v>Portfolio y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 portfolios and frontier'!$C$30</c:f>
              <c:numCache>
                <c:formatCode>0.00%</c:formatCode>
                <c:ptCount val="1"/>
                <c:pt idx="0">
                  <c:v>0.37602883274880772</c:v>
                </c:pt>
              </c:numCache>
            </c:numRef>
          </c:xVal>
          <c:yVal>
            <c:numRef>
              <c:f>'Eff portfolios and frontier'!$C$28</c:f>
              <c:numCache>
                <c:formatCode>0.00%</c:formatCode>
                <c:ptCount val="1"/>
                <c:pt idx="0">
                  <c:v>0.1130366923032104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D51-45B4-9079-CDD1BD181CDD}"/>
            </c:ext>
          </c:extLst>
        </c:ser>
        <c:ser>
          <c:idx val="4"/>
          <c:order val="4"/>
          <c:tx>
            <c:strRef>
              <c:f>'Eff portfolios and frontier'!$E$59</c:f>
              <c:strCache>
                <c:ptCount val="1"/>
                <c:pt idx="0">
                  <c:v>On the envelope but not efficient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10926353326974259"/>
                  <c:y val="-6.237966055586630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309592832962385"/>
                      <c:h val="0.1533351217374219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D-BD51-45B4-9079-CDD1BD181C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 portfolios and frontier'!$B$59</c:f>
              <c:numCache>
                <c:formatCode>0.00%</c:formatCode>
                <c:ptCount val="1"/>
                <c:pt idx="0">
                  <c:v>0.50790630271836967</c:v>
                </c:pt>
              </c:numCache>
            </c:numRef>
          </c:xVal>
          <c:yVal>
            <c:numRef>
              <c:f>'Eff portfolios and frontier'!$C$59</c:f>
              <c:numCache>
                <c:formatCode>0.00%</c:formatCode>
                <c:ptCount val="1"/>
                <c:pt idx="0">
                  <c:v>1.647619193473121E-2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D51-45B4-9079-CDD1BD181C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907256"/>
        <c:axId val="318314328"/>
      </c:scatterChart>
      <c:valAx>
        <c:axId val="532907256"/>
        <c:scaling>
          <c:orientation val="minMax"/>
          <c:min val="0.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4328"/>
        <c:crosses val="autoZero"/>
        <c:crossBetween val="midCat"/>
      </c:valAx>
      <c:valAx>
        <c:axId val="318314328"/>
        <c:scaling>
          <c:orientation val="minMax"/>
          <c:max val="0.1600000000000000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0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'High c -&gt; inefficient'!$C$22</c:f>
              <c:strCache>
                <c:ptCount val="1"/>
                <c:pt idx="0">
                  <c:v>Mean return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'High c -&gt; inefficient'!$B$23:$B$35</c:f>
              <c:numCache>
                <c:formatCode>0%</c:formatCode>
                <c:ptCount val="13"/>
                <c:pt idx="0">
                  <c:v>0.62225554693994589</c:v>
                </c:pt>
                <c:pt idx="1">
                  <c:v>0.5242322136736518</c:v>
                </c:pt>
                <c:pt idx="2">
                  <c:v>0.43235613846462972</c:v>
                </c:pt>
                <c:pt idx="3">
                  <c:v>0.35148145831912325</c:v>
                </c:pt>
                <c:pt idx="4">
                  <c:v>0.29093224138182389</c:v>
                </c:pt>
                <c:pt idx="5">
                  <c:v>0.26502620826625584</c:v>
                </c:pt>
                <c:pt idx="6">
                  <c:v>0.28342755956284227</c:v>
                </c:pt>
                <c:pt idx="7">
                  <c:v>0.33899622480306618</c:v>
                </c:pt>
                <c:pt idx="8">
                  <c:v>0.41713387275662023</c:v>
                </c:pt>
                <c:pt idx="9">
                  <c:v>0.5075212937703838</c:v>
                </c:pt>
                <c:pt idx="10">
                  <c:v>0.60469002631018709</c:v>
                </c:pt>
                <c:pt idx="11">
                  <c:v>0.70584499762121167</c:v>
                </c:pt>
                <c:pt idx="12">
                  <c:v>0.80949321298821553</c:v>
                </c:pt>
              </c:numCache>
            </c:numRef>
          </c:xVal>
          <c:yVal>
            <c:numRef>
              <c:f>'High c -&gt; inefficient'!$C$23:$C$35</c:f>
              <c:numCache>
                <c:formatCode>0%</c:formatCode>
                <c:ptCount val="13"/>
                <c:pt idx="0">
                  <c:v>-1.4057008027679868E-3</c:v>
                </c:pt>
                <c:pt idx="1">
                  <c:v>1.3853284944695794E-2</c:v>
                </c:pt>
                <c:pt idx="2">
                  <c:v>2.9112270692159575E-2</c:v>
                </c:pt>
                <c:pt idx="3">
                  <c:v>4.4371256439623363E-2</c:v>
                </c:pt>
                <c:pt idx="4">
                  <c:v>5.9630242187087137E-2</c:v>
                </c:pt>
                <c:pt idx="5">
                  <c:v>7.4889227934550912E-2</c:v>
                </c:pt>
                <c:pt idx="6">
                  <c:v>9.0148213682014686E-2</c:v>
                </c:pt>
                <c:pt idx="7">
                  <c:v>0.10540719942947849</c:v>
                </c:pt>
                <c:pt idx="8">
                  <c:v>0.12066618517694229</c:v>
                </c:pt>
                <c:pt idx="9">
                  <c:v>0.13592517092440604</c:v>
                </c:pt>
                <c:pt idx="10">
                  <c:v>0.15118415667186982</c:v>
                </c:pt>
                <c:pt idx="11">
                  <c:v>0.16644314241933361</c:v>
                </c:pt>
                <c:pt idx="12">
                  <c:v>0.1817021281667974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D91-4BF6-BA6F-F6E3A3AF42B2}"/>
            </c:ext>
          </c:extLst>
        </c:ser>
        <c:ser>
          <c:idx val="4"/>
          <c:order val="4"/>
          <c:tx>
            <c:strRef>
              <c:f>'High c -&gt; inefficient'!$A$37</c:f>
              <c:strCache>
                <c:ptCount val="1"/>
                <c:pt idx="0">
                  <c:v>Line of c and X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'High c -&gt; inefficient'!$B$39:$B$40</c:f>
              <c:numCache>
                <c:formatCode>0.00%</c:formatCode>
                <c:ptCount val="2"/>
                <c:pt idx="0">
                  <c:v>0</c:v>
                </c:pt>
                <c:pt idx="1">
                  <c:v>0.54613217980400153</c:v>
                </c:pt>
              </c:numCache>
            </c:numRef>
          </c:xVal>
          <c:yVal>
            <c:numRef>
              <c:f>'High c -&gt; inefficient'!$C$39:$C$40</c:f>
              <c:numCache>
                <c:formatCode>0.00%</c:formatCode>
                <c:ptCount val="2"/>
                <c:pt idx="0">
                  <c:v>0.11</c:v>
                </c:pt>
                <c:pt idx="1">
                  <c:v>7.4384689922480721E-3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BD91-4BF6-BA6F-F6E3A3AF4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50080"/>
        <c:axId val="572910176"/>
      </c:scatterChart>
      <c:scatterChart>
        <c:scatterStyle val="lineMarker"/>
        <c:varyColors val="0"/>
        <c:ser>
          <c:idx val="1"/>
          <c:order val="1"/>
          <c:tx>
            <c:strRef>
              <c:f>'High c -&gt; inefficient'!$B$10</c:f>
              <c:strCache>
                <c:ptCount val="1"/>
                <c:pt idx="0">
                  <c:v>Portfolio x (inefficient)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5.5555555555555558E-3"/>
                  <c:y val="0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51377952755906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BD91-4BF6-BA6F-F6E3A3AF42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'High c -&gt; inefficient'!$B$18</c:f>
              <c:numCache>
                <c:formatCode>0.00%</c:formatCode>
                <c:ptCount val="1"/>
                <c:pt idx="0">
                  <c:v>0.39009441414571544</c:v>
                </c:pt>
              </c:numCache>
            </c:numRef>
          </c:xVal>
          <c:yVal>
            <c:numRef>
              <c:f>'High c -&gt; inefficient'!$B$17</c:f>
              <c:numCache>
                <c:formatCode>0.00%</c:formatCode>
                <c:ptCount val="1"/>
                <c:pt idx="0">
                  <c:v>3.6741763565891476E-2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D91-4BF6-BA6F-F6E3A3AF42B2}"/>
            </c:ext>
          </c:extLst>
        </c:ser>
        <c:ser>
          <c:idx val="2"/>
          <c:order val="2"/>
          <c:tx>
            <c:strRef>
              <c:f>'High c -&gt; inefficient'!$C$10</c:f>
              <c:strCache>
                <c:ptCount val="1"/>
                <c:pt idx="0">
                  <c:v>Portfolio y (efficient)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7777777777778286E-3"/>
                  <c:y val="-4.2437781360066642E-17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528471128608924"/>
                      <c:h val="0.1156018518518518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BD91-4BF6-BA6F-F6E3A3AF42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'High c -&gt; inefficient'!$C$18</c:f>
              <c:numCache>
                <c:formatCode>0.00%</c:formatCode>
                <c:ptCount val="1"/>
                <c:pt idx="0">
                  <c:v>0.37602883274880772</c:v>
                </c:pt>
              </c:numCache>
            </c:numRef>
          </c:xVal>
          <c:yVal>
            <c:numRef>
              <c:f>'High c -&gt; inefficient'!$C$17</c:f>
              <c:numCache>
                <c:formatCode>0.00%</c:formatCode>
                <c:ptCount val="1"/>
                <c:pt idx="0">
                  <c:v>0.1130366923032104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91-4BF6-BA6F-F6E3A3AF42B2}"/>
            </c:ext>
          </c:extLst>
        </c:ser>
        <c:ser>
          <c:idx val="3"/>
          <c:order val="3"/>
          <c:tx>
            <c:v>c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'High c -&gt; inefficient'!$B$9</c:f>
              <c:numCache>
                <c:formatCode>0%</c:formatCode>
                <c:ptCount val="1"/>
                <c:pt idx="0">
                  <c:v>0.11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D91-4BF6-BA6F-F6E3A3AF42B2}"/>
            </c:ext>
          </c:extLst>
        </c:ser>
        <c:ser>
          <c:idx val="5"/>
          <c:order val="5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AA54119-8E34-406D-80F3-9AA2BFBCD3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BD91-4BF6-BA6F-F6E3A3AF42B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26CC1B6-C455-44AA-B18C-A551B2CF98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BD91-4BF6-BA6F-F6E3A3AF42B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C679653-4E02-44BF-8069-ABDFBFD5DE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BD91-4BF6-BA6F-F6E3A3AF42B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AA1BAB-EBE6-4425-8C6A-8F9623D914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BD91-4BF6-BA6F-F6E3A3AF42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'High c -&gt; inefficient'!$H$4:$H$7</c:f>
              <c:numCache>
                <c:formatCode>0%</c:formatCode>
                <c:ptCount val="4"/>
                <c:pt idx="0">
                  <c:v>0.31622776601683794</c:v>
                </c:pt>
                <c:pt idx="1">
                  <c:v>0.54772255750516607</c:v>
                </c:pt>
                <c:pt idx="2">
                  <c:v>0.63245553203367588</c:v>
                </c:pt>
                <c:pt idx="3">
                  <c:v>0.70710678118654757</c:v>
                </c:pt>
              </c:numCache>
            </c:numRef>
          </c:xVal>
          <c:yVal>
            <c:numRef>
              <c:f>'High c -&gt; inefficient'!$G$4:$G$7</c:f>
              <c:numCache>
                <c:formatCode>0%</c:formatCode>
                <c:ptCount val="4"/>
                <c:pt idx="0">
                  <c:v>0.06</c:v>
                </c:pt>
                <c:pt idx="1">
                  <c:v>0.08</c:v>
                </c:pt>
                <c:pt idx="2">
                  <c:v>0.1</c:v>
                </c:pt>
                <c:pt idx="3">
                  <c:v>0.15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'High c -&gt; inefficient'!$A$4:$A$7</c15:f>
                <c15:dlblRangeCache>
                  <c:ptCount val="4"/>
                  <c:pt idx="0">
                    <c:v>Asset 1</c:v>
                  </c:pt>
                  <c:pt idx="1">
                    <c:v>Asset 2</c:v>
                  </c:pt>
                  <c:pt idx="2">
                    <c:v>Asset 3</c:v>
                  </c:pt>
                  <c:pt idx="3">
                    <c:v>Asset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BD91-4BF6-BA6F-F6E3A3AF4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150080"/>
        <c:axId val="572910176"/>
      </c:scatterChart>
      <c:valAx>
        <c:axId val="243150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deviation,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910176"/>
        <c:crosses val="autoZero"/>
        <c:crossBetween val="midCat"/>
      </c:valAx>
      <c:valAx>
        <c:axId val="572910176"/>
        <c:scaling>
          <c:orientation val="minMax"/>
          <c:min val="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return, E(r</a:t>
                </a:r>
                <a:r>
                  <a:rPr lang="en-US" baseline="-25000"/>
                  <a:t>p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150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 with CML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CML!$A$24</c:f>
              <c:strCache>
                <c:ptCount val="1"/>
                <c:pt idx="0">
                  <c:v>Efficient and envelope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CML!$B$27:$B$43</c:f>
              <c:numCache>
                <c:formatCode>0%</c:formatCode>
                <c:ptCount val="17"/>
                <c:pt idx="0">
                  <c:v>7.0000000000000007E-2</c:v>
                </c:pt>
                <c:pt idx="1">
                  <c:v>7.0451117805184607E-2</c:v>
                </c:pt>
                <c:pt idx="2">
                  <c:v>7.1787464086705277E-2</c:v>
                </c:pt>
                <c:pt idx="3">
                  <c:v>7.3961070841355461E-2</c:v>
                </c:pt>
                <c:pt idx="4">
                  <c:v>7.6900975286403231E-2</c:v>
                </c:pt>
                <c:pt idx="5">
                  <c:v>8.0523288556789585E-2</c:v>
                </c:pt>
                <c:pt idx="6">
                  <c:v>8.474054519531958E-2</c:v>
                </c:pt>
                <c:pt idx="7">
                  <c:v>8.9468653728554559E-2</c:v>
                </c:pt>
                <c:pt idx="8">
                  <c:v>9.4631073120830661E-2</c:v>
                </c:pt>
                <c:pt idx="9">
                  <c:v>0.10016067092427047</c:v>
                </c:pt>
                <c:pt idx="10">
                  <c:v>0.10600000000000001</c:v>
                </c:pt>
                <c:pt idx="11">
                  <c:v>0.11210066904349859</c:v>
                </c:pt>
                <c:pt idx="12">
                  <c:v>0.1184222951981594</c:v>
                </c:pt>
                <c:pt idx="13">
                  <c:v>0.12493134114384592</c:v>
                </c:pt>
                <c:pt idx="14">
                  <c:v>0.13160000000000005</c:v>
                </c:pt>
                <c:pt idx="15">
                  <c:v>0.1384052022143677</c:v>
                </c:pt>
                <c:pt idx="16">
                  <c:v>0.14532776747751963</c:v>
                </c:pt>
              </c:numCache>
            </c:numRef>
          </c:xVal>
          <c:yVal>
            <c:numRef>
              <c:f>CML!$C$27:$C$43</c:f>
              <c:numCache>
                <c:formatCode>0.00%</c:formatCode>
                <c:ptCount val="17"/>
                <c:pt idx="0">
                  <c:v>0.04</c:v>
                </c:pt>
                <c:pt idx="1">
                  <c:v>4.24E-2</c:v>
                </c:pt>
                <c:pt idx="2">
                  <c:v>4.48E-2</c:v>
                </c:pt>
                <c:pt idx="3">
                  <c:v>4.7200000000000006E-2</c:v>
                </c:pt>
                <c:pt idx="4">
                  <c:v>4.9599999999999998E-2</c:v>
                </c:pt>
                <c:pt idx="5">
                  <c:v>5.1999999999999998E-2</c:v>
                </c:pt>
                <c:pt idx="6">
                  <c:v>5.4400000000000004E-2</c:v>
                </c:pt>
                <c:pt idx="7">
                  <c:v>5.6800000000000003E-2</c:v>
                </c:pt>
                <c:pt idx="8">
                  <c:v>5.9200000000000003E-2</c:v>
                </c:pt>
                <c:pt idx="9">
                  <c:v>6.1600000000000002E-2</c:v>
                </c:pt>
                <c:pt idx="10">
                  <c:v>6.4000000000000001E-2</c:v>
                </c:pt>
                <c:pt idx="11">
                  <c:v>6.6400000000000015E-2</c:v>
                </c:pt>
                <c:pt idx="12">
                  <c:v>6.8800000000000014E-2</c:v>
                </c:pt>
                <c:pt idx="13">
                  <c:v>7.1200000000000013E-2</c:v>
                </c:pt>
                <c:pt idx="14">
                  <c:v>7.3600000000000013E-2</c:v>
                </c:pt>
                <c:pt idx="15">
                  <c:v>7.6000000000000026E-2</c:v>
                </c:pt>
                <c:pt idx="16">
                  <c:v>7.8400000000000025E-2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470-431D-A650-022E46406CD7}"/>
            </c:ext>
          </c:extLst>
        </c:ser>
        <c:ser>
          <c:idx val="2"/>
          <c:order val="1"/>
          <c:tx>
            <c:strRef>
              <c:f>CML!$E$24</c:f>
              <c:strCache>
                <c:ptCount val="1"/>
                <c:pt idx="0">
                  <c:v>Envelope, not efficient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CML!$F$27:$F$43</c:f>
              <c:numCache>
                <c:formatCode>0%</c:formatCode>
                <c:ptCount val="17"/>
                <c:pt idx="0">
                  <c:v>7.0000000000000007E-2</c:v>
                </c:pt>
                <c:pt idx="1">
                  <c:v>7.0313583324987786E-2</c:v>
                </c:pt>
                <c:pt idx="2">
                  <c:v>7.1246052522227515E-2</c:v>
                </c:pt>
                <c:pt idx="3">
                  <c:v>7.2773621594641E-2</c:v>
                </c:pt>
                <c:pt idx="4">
                  <c:v>7.4859869088851616E-2</c:v>
                </c:pt>
                <c:pt idx="5">
                  <c:v>7.7459666924148338E-2</c:v>
                </c:pt>
                <c:pt idx="6">
                  <c:v>8.0523288556789599E-2</c:v>
                </c:pt>
                <c:pt idx="7">
                  <c:v>8.4000000000000005E-2</c:v>
                </c:pt>
                <c:pt idx="8">
                  <c:v>8.7840765023990991E-2</c:v>
                </c:pt>
                <c:pt idx="9">
                  <c:v>9.1999999999999998E-2</c:v>
                </c:pt>
                <c:pt idx="10">
                  <c:v>9.643650760992957E-2</c:v>
                </c:pt>
                <c:pt idx="11">
                  <c:v>0.1011137972781163</c:v>
                </c:pt>
                <c:pt idx="12">
                  <c:v>0.10600000000000001</c:v>
                </c:pt>
                <c:pt idx="13">
                  <c:v>0.11106754701531855</c:v>
                </c:pt>
                <c:pt idx="14">
                  <c:v>0.11629273408085306</c:v>
                </c:pt>
                <c:pt idx="15">
                  <c:v>0.1216552506059644</c:v>
                </c:pt>
                <c:pt idx="16">
                  <c:v>0.12713772060250256</c:v>
                </c:pt>
              </c:numCache>
            </c:numRef>
          </c:xVal>
          <c:yVal>
            <c:numRef>
              <c:f>CML!$G$27:$G$43</c:f>
              <c:numCache>
                <c:formatCode>0.00%</c:formatCode>
                <c:ptCount val="17"/>
                <c:pt idx="0">
                  <c:v>0.04</c:v>
                </c:pt>
                <c:pt idx="1">
                  <c:v>3.8000000000000006E-2</c:v>
                </c:pt>
                <c:pt idx="2">
                  <c:v>3.6000000000000004E-2</c:v>
                </c:pt>
                <c:pt idx="3">
                  <c:v>3.3999999999999996E-2</c:v>
                </c:pt>
                <c:pt idx="4">
                  <c:v>3.2000000000000001E-2</c:v>
                </c:pt>
                <c:pt idx="5">
                  <c:v>3.0000000000000002E-2</c:v>
                </c:pt>
                <c:pt idx="6">
                  <c:v>2.8000000000000004E-2</c:v>
                </c:pt>
                <c:pt idx="7">
                  <c:v>2.6000000000000009E-2</c:v>
                </c:pt>
                <c:pt idx="8">
                  <c:v>2.3999999999999994E-2</c:v>
                </c:pt>
                <c:pt idx="9">
                  <c:v>2.1999999999999999E-2</c:v>
                </c:pt>
                <c:pt idx="10">
                  <c:v>2.0000000000000004E-2</c:v>
                </c:pt>
                <c:pt idx="11">
                  <c:v>1.7999999999999995E-2</c:v>
                </c:pt>
                <c:pt idx="12">
                  <c:v>1.6E-2</c:v>
                </c:pt>
                <c:pt idx="13">
                  <c:v>1.3999999999999999E-2</c:v>
                </c:pt>
                <c:pt idx="14">
                  <c:v>1.1999999999999997E-2</c:v>
                </c:pt>
                <c:pt idx="15">
                  <c:v>9.999999999999995E-3</c:v>
                </c:pt>
                <c:pt idx="16">
                  <c:v>7.9999999999999932E-3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0470-431D-A650-022E46406CD7}"/>
            </c:ext>
          </c:extLst>
        </c:ser>
        <c:ser>
          <c:idx val="4"/>
          <c:order val="4"/>
          <c:tx>
            <c:strRef>
              <c:f>CML!$A$19</c:f>
              <c:strCache>
                <c:ptCount val="1"/>
                <c:pt idx="0">
                  <c:v>Straight line connecting c and x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CML!$B$21:$B$22</c:f>
              <c:numCache>
                <c:formatCode>0.0%</c:formatCode>
                <c:ptCount val="2"/>
                <c:pt idx="0">
                  <c:v>0</c:v>
                </c:pt>
                <c:pt idx="1">
                  <c:v>0.1454990714677582</c:v>
                </c:pt>
              </c:numCache>
            </c:numRef>
          </c:xVal>
          <c:yVal>
            <c:numRef>
              <c:f>CML!$C$21:$C$22</c:f>
              <c:numCache>
                <c:formatCode>0.0%</c:formatCode>
                <c:ptCount val="2"/>
                <c:pt idx="0">
                  <c:v>0.01</c:v>
                </c:pt>
                <c:pt idx="1">
                  <c:v>8.6242424242424259E-2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470-431D-A650-022E4640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scatterChart>
        <c:scatterStyle val="lineMarker"/>
        <c:varyColors val="0"/>
        <c:ser>
          <c:idx val="1"/>
          <c:order val="2"/>
          <c:tx>
            <c:strRef>
              <c:f>CML!$A$11</c:f>
              <c:strCache>
                <c:ptCount val="1"/>
                <c:pt idx="0">
                  <c:v>Risk-free rate, rf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CML!$C$11</c:f>
              <c:numCache>
                <c:formatCode>0%</c:formatCode>
                <c:ptCount val="1"/>
                <c:pt idx="0">
                  <c:v>0</c:v>
                </c:pt>
              </c:numCache>
            </c:numRef>
          </c:xVal>
          <c:yVal>
            <c:numRef>
              <c:f>CML!$B$11</c:f>
              <c:numCache>
                <c:formatCode>0%</c:formatCode>
                <c:ptCount val="1"/>
                <c:pt idx="0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0470-431D-A650-022E46406CD7}"/>
            </c:ext>
          </c:extLst>
        </c:ser>
        <c:ser>
          <c:idx val="3"/>
          <c:order val="3"/>
          <c:tx>
            <c:strRef>
              <c:f>CML!$A$17</c:f>
              <c:strCache>
                <c:ptCount val="1"/>
                <c:pt idx="0">
                  <c:v>Market portfolio, 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0.2228403324584427"/>
                  <c:y val="-5.6034607823554766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470-431D-A650-022E46406CD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CML!$C$17</c:f>
              <c:numCache>
                <c:formatCode>0.0%</c:formatCode>
                <c:ptCount val="1"/>
                <c:pt idx="0">
                  <c:v>8.5587689098681294E-2</c:v>
                </c:pt>
              </c:numCache>
            </c:numRef>
          </c:xVal>
          <c:yVal>
            <c:numRef>
              <c:f>CML!$B$17</c:f>
              <c:numCache>
                <c:formatCode>0.0%</c:formatCode>
                <c:ptCount val="1"/>
                <c:pt idx="0">
                  <c:v>5.4848484848484855E-2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0470-431D-A650-022E46406C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8315008"/>
        <c:axId val="1538836944"/>
      </c:scatterChart>
      <c:valAx>
        <c:axId val="1808315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standard deviation, </a:t>
                </a:r>
                <a:r>
                  <a:rPr lang="el-GR"/>
                  <a:t>σ</a:t>
                </a:r>
                <a:r>
                  <a:rPr lang="en-US" baseline="-25000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836944"/>
        <c:crosses val="autoZero"/>
        <c:crossBetween val="midCat"/>
      </c:valAx>
      <c:valAx>
        <c:axId val="153883694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 expected return,</a:t>
                </a:r>
                <a:r>
                  <a:rPr lang="en-US" baseline="0"/>
                  <a:t> E(r</a:t>
                </a:r>
                <a:r>
                  <a:rPr lang="en-US" baseline="-25000"/>
                  <a:t>p</a:t>
                </a:r>
                <a:r>
                  <a:rPr lang="en-US" baseline="0"/>
                  <a:t>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arrow" w="med" len="med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315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global</a:t>
            </a:r>
            <a:r>
              <a:rPr lang="en-US" baseline="0"/>
              <a:t> minimum variance portfolio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7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943-401C-B656-BAD7CC0FD8D6}"/>
              </c:ext>
            </c:extLst>
          </c:dPt>
          <c:dPt>
            <c:idx val="1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943-401C-B656-BAD7CC0FD8D6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8943-401C-B656-BAD7CC0FD8D6}"/>
              </c:ext>
            </c:extLst>
          </c:dPt>
          <c:xVal>
            <c:numRef>
              <c:f>'Eff portfolios and frontier'!$B$44:$B$60</c:f>
              <c:numCache>
                <c:formatCode>0.00%</c:formatCode>
                <c:ptCount val="17"/>
                <c:pt idx="0">
                  <c:v>0.67152771707987247</c:v>
                </c:pt>
                <c:pt idx="1">
                  <c:v>0.60780023372496605</c:v>
                </c:pt>
                <c:pt idx="2">
                  <c:v>0.54562053626684992</c:v>
                </c:pt>
                <c:pt idx="3">
                  <c:v>0.48558357802391755</c:v>
                </c:pt>
                <c:pt idx="4">
                  <c:v>0.42859077109438404</c:v>
                </c:pt>
                <c:pt idx="5">
                  <c:v>0.37602883274880772</c:v>
                </c:pt>
                <c:pt idx="6">
                  <c:v>0.33002168598437048</c:v>
                </c:pt>
                <c:pt idx="7">
                  <c:v>0.29366637456795341</c:v>
                </c:pt>
                <c:pt idx="8">
                  <c:v>0.27087739302900143</c:v>
                </c:pt>
                <c:pt idx="9">
                  <c:v>0.26517575440992747</c:v>
                </c:pt>
                <c:pt idx="10">
                  <c:v>0.27761627396452043</c:v>
                </c:pt>
                <c:pt idx="11">
                  <c:v>0.30599412834790946</c:v>
                </c:pt>
                <c:pt idx="12">
                  <c:v>0.34641451148477231</c:v>
                </c:pt>
                <c:pt idx="13">
                  <c:v>0.39519946498123421</c:v>
                </c:pt>
                <c:pt idx="14">
                  <c:v>0.44963453675852899</c:v>
                </c:pt>
                <c:pt idx="15">
                  <c:v>0.50790630271836967</c:v>
                </c:pt>
                <c:pt idx="16">
                  <c:v>0.56883688717101855</c:v>
                </c:pt>
              </c:numCache>
            </c:numRef>
          </c:xVal>
          <c:yVal>
            <c:numRef>
              <c:f>'Eff portfolios and frontier'!$C$44:$C$60</c:f>
              <c:numCache>
                <c:formatCode>0.00%</c:formatCode>
                <c:ptCount val="17"/>
                <c:pt idx="0">
                  <c:v>0.16131694248744996</c:v>
                </c:pt>
                <c:pt idx="1">
                  <c:v>0.15166089245060208</c:v>
                </c:pt>
                <c:pt idx="2">
                  <c:v>0.14200484241375419</c:v>
                </c:pt>
                <c:pt idx="3">
                  <c:v>0.13234879237690622</c:v>
                </c:pt>
                <c:pt idx="4">
                  <c:v>0.12269274234005831</c:v>
                </c:pt>
                <c:pt idx="5">
                  <c:v>0.1130366923032104</c:v>
                </c:pt>
                <c:pt idx="6">
                  <c:v>0.10338064226636248</c:v>
                </c:pt>
                <c:pt idx="7">
                  <c:v>9.3724592229514556E-2</c:v>
                </c:pt>
                <c:pt idx="8">
                  <c:v>8.4068542192666629E-2</c:v>
                </c:pt>
                <c:pt idx="9">
                  <c:v>7.4412492155818716E-2</c:v>
                </c:pt>
                <c:pt idx="10">
                  <c:v>6.4756442118970803E-2</c:v>
                </c:pt>
                <c:pt idx="11">
                  <c:v>5.5100392082122862E-2</c:v>
                </c:pt>
                <c:pt idx="12">
                  <c:v>4.5444342045274921E-2</c:v>
                </c:pt>
                <c:pt idx="13">
                  <c:v>3.5788292008427036E-2</c:v>
                </c:pt>
                <c:pt idx="14">
                  <c:v>2.6132241971579151E-2</c:v>
                </c:pt>
                <c:pt idx="15">
                  <c:v>1.647619193473121E-2</c:v>
                </c:pt>
                <c:pt idx="16">
                  <c:v>6.8201418978832695E-3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943-401C-B656-BAD7CC0F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907256"/>
        <c:axId val="318314328"/>
      </c:scatterChart>
      <c:scatterChart>
        <c:scatterStyle val="lineMarker"/>
        <c:varyColors val="0"/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A63D1C3-98A2-43CA-83D8-ABAECB9F7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8943-401C-B656-BAD7CC0FD8D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6338043-6338-4F94-A964-B76F7810B7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943-401C-B656-BAD7CC0FD8D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DFB1254-9B9F-4D24-9586-5A8B0D749C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943-401C-B656-BAD7CC0FD8D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16AF9E2-A6BE-4B3A-A2E8-FAEF95549A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943-401C-B656-BAD7CC0FD8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'Eff portfolios and frontier'!$I$4:$I$7</c:f>
              <c:numCache>
                <c:formatCode>0.00</c:formatCode>
                <c:ptCount val="4"/>
                <c:pt idx="0">
                  <c:v>0.31622776601683794</c:v>
                </c:pt>
                <c:pt idx="1">
                  <c:v>0.54772255750516607</c:v>
                </c:pt>
                <c:pt idx="2">
                  <c:v>0.63245553203367588</c:v>
                </c:pt>
                <c:pt idx="3">
                  <c:v>0.70710678118654757</c:v>
                </c:pt>
              </c:numCache>
            </c:numRef>
          </c:xVal>
          <c:yVal>
            <c:numRef>
              <c:f>'Eff portfolios and frontier'!$G$4:$G$7</c:f>
              <c:numCache>
                <c:formatCode>0%</c:formatCode>
                <c:ptCount val="4"/>
                <c:pt idx="0">
                  <c:v>0.06</c:v>
                </c:pt>
                <c:pt idx="1">
                  <c:v>0.08</c:v>
                </c:pt>
                <c:pt idx="2">
                  <c:v>0.1</c:v>
                </c:pt>
                <c:pt idx="3">
                  <c:v>0.15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'Eff portfolios and frontier'!$A$4:$A$7</c15:f>
                <c15:dlblRangeCache>
                  <c:ptCount val="4"/>
                  <c:pt idx="0">
                    <c:v>Asset 1</c:v>
                  </c:pt>
                  <c:pt idx="1">
                    <c:v>Asset 2</c:v>
                  </c:pt>
                  <c:pt idx="2">
                    <c:v>Asset 3</c:v>
                  </c:pt>
                  <c:pt idx="3">
                    <c:v>Asset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8943-401C-B656-BAD7CC0FD8D6}"/>
            </c:ext>
          </c:extLst>
        </c:ser>
        <c:ser>
          <c:idx val="5"/>
          <c:order val="5"/>
          <c:tx>
            <c:v>GMVP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GMVP!$B$20</c:f>
              <c:numCache>
                <c:formatCode>0.00%</c:formatCode>
                <c:ptCount val="1"/>
                <c:pt idx="0">
                  <c:v>0.26484727397259661</c:v>
                </c:pt>
              </c:numCache>
            </c:numRef>
          </c:xVal>
          <c:yVal>
            <c:numRef>
              <c:f>GMVP!$B$18</c:f>
              <c:numCache>
                <c:formatCode>0.00%</c:formatCode>
                <c:ptCount val="1"/>
                <c:pt idx="0">
                  <c:v>7.6231792273590879E-2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943-401C-B656-BAD7CC0FD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2907256"/>
        <c:axId val="31831432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'Eff portfolios and frontier'!$B$26</c15:sqref>
                        </c15:formulaRef>
                      </c:ext>
                    </c:extLst>
                    <c:strCache>
                      <c:ptCount val="1"/>
                      <c:pt idx="0">
                        <c:v>Portfolio x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'Eff portfolios and frontier'!$B$30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0.29366637456795341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'Eff portfolios and frontier'!$B$28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9.3724592229514556E-2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A-8943-401C-B656-BAD7CC0FD8D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frontier'!$C$26</c15:sqref>
                        </c15:formulaRef>
                      </c:ext>
                    </c:extLst>
                    <c:strCache>
                      <c:ptCount val="1"/>
                      <c:pt idx="0">
                        <c:v>Portfolio y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frontier'!$C$30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0.37602883274880772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frontier'!$C$28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0.1130366923032104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943-401C-B656-BAD7CC0FD8D6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frontier'!$E$59</c15:sqref>
                        </c15:formulaRef>
                      </c:ext>
                    </c:extLst>
                    <c:strCache>
                      <c:ptCount val="1"/>
                      <c:pt idx="0">
                        <c:v>On the envelope but not efficient</c:v>
                      </c:pt>
                    </c:strCache>
                  </c:strRef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dLbls>
                  <c:dLbl>
                    <c:idx val="0"/>
                    <c:layout>
                      <c:manualLayout>
                        <c:x val="0.10926353326974259"/>
                        <c:y val="-6.2379660555866308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1309592832962385"/>
                            <c:h val="0.15333512173742198"/>
                          </c:manualLayout>
                        </c15:layout>
                      </c:ext>
                      <c:ext xmlns:c16="http://schemas.microsoft.com/office/drawing/2014/chart" uri="{C3380CC4-5D6E-409C-BE32-E72D297353CC}">
                        <c16:uniqueId val="{0000000C-8943-401C-B656-BAD7CC0FD8D6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frontier'!$B$59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0.50790630271836967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'Eff portfolios and frontier'!$C$59</c15:sqref>
                        </c15:formulaRef>
                      </c:ext>
                    </c:extLst>
                    <c:numCache>
                      <c:formatCode>0.00%</c:formatCode>
                      <c:ptCount val="1"/>
                      <c:pt idx="0">
                        <c:v>1.647619193473121E-2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943-401C-B656-BAD7CC0FD8D6}"/>
                  </c:ext>
                </c:extLst>
              </c15:ser>
            </c15:filteredScatterSeries>
          </c:ext>
        </c:extLst>
      </c:scatterChart>
      <c:valAx>
        <c:axId val="532907256"/>
        <c:scaling>
          <c:orientation val="minMax"/>
          <c:min val="0.15000000000000002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8314328"/>
        <c:crosses val="autoZero"/>
        <c:crossBetween val="midCat"/>
      </c:valAx>
      <c:valAx>
        <c:axId val="318314328"/>
        <c:scaling>
          <c:orientation val="minMax"/>
          <c:max val="0.16000000000000003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0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1D-4C8C-A500-BB300C146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7A-4083-9065-AC62C2FE08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541-4F84-BE19-8FB33706B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5E-43E3-9A79-B1D46CA6F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CB7-4967-A9A0-7516EB6C9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Comparing two efficient frontiers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shade val="65000"/>
                </a:schemeClr>
              </a:solidFill>
              <a:ln w="9525">
                <a:solidFill>
                  <a:schemeClr val="accent1">
                    <a:shade val="65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921B9DDA-F4BE-487E-B990-2F25CE96D0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161-4EB8-93BD-1262CA08E1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4933CAB-990E-4FC6-BBF6-91B0CCB5DD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161-4EB8-93BD-1262CA08E1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5893A7E-6F79-433C-B76F-DAA34D0E18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161-4EB8-93BD-1262CA08E13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05D551-5CBF-44F3-B9A1-5FEAE0BB65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161-4EB8-93BD-1262CA08E1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'No short vs general eff. front.'!$I$4:$I$7</c:f>
              <c:numCache>
                <c:formatCode>0.0%</c:formatCode>
                <c:ptCount val="4"/>
                <c:pt idx="0">
                  <c:v>0.31622776601683794</c:v>
                </c:pt>
                <c:pt idx="1">
                  <c:v>0.54772255750516607</c:v>
                </c:pt>
                <c:pt idx="2">
                  <c:v>0.63245553203367588</c:v>
                </c:pt>
                <c:pt idx="3">
                  <c:v>0.70710678118654757</c:v>
                </c:pt>
              </c:numCache>
            </c:numRef>
          </c:xVal>
          <c:yVal>
            <c:numRef>
              <c:f>'No short vs general eff. front.'!$G$4:$G$7</c:f>
              <c:numCache>
                <c:formatCode>0%</c:formatCode>
                <c:ptCount val="4"/>
                <c:pt idx="0">
                  <c:v>0.02</c:v>
                </c:pt>
                <c:pt idx="1">
                  <c:v>0.02</c:v>
                </c:pt>
                <c:pt idx="2">
                  <c:v>0.08</c:v>
                </c:pt>
                <c:pt idx="3">
                  <c:v>0.1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'No short vs general eff. front.'!$A$4:$A$7</c15:f>
                <c15:dlblRangeCache>
                  <c:ptCount val="4"/>
                  <c:pt idx="0">
                    <c:v>Asset 1</c:v>
                  </c:pt>
                  <c:pt idx="1">
                    <c:v>Asset 2</c:v>
                  </c:pt>
                  <c:pt idx="2">
                    <c:v>Asset 3</c:v>
                  </c:pt>
                  <c:pt idx="3">
                    <c:v>Asset 4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D161-4EB8-93BD-1262CA08E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626032"/>
        <c:axId val="804606112"/>
      </c:scatterChart>
      <c:scatterChart>
        <c:scatterStyle val="smoothMarker"/>
        <c:varyColors val="0"/>
        <c:ser>
          <c:idx val="1"/>
          <c:order val="1"/>
          <c:tx>
            <c:strRef>
              <c:f>'No short vs general eff. front.'!$A$22</c:f>
              <c:strCache>
                <c:ptCount val="1"/>
                <c:pt idx="0">
                  <c:v>Efficient frontier without short-sales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'No short vs general eff. front.'!$B$24:$B$64</c:f>
              <c:numCache>
                <c:formatCode>0.0%</c:formatCode>
                <c:ptCount val="41"/>
                <c:pt idx="0">
                  <c:v>0.28050705967286421</c:v>
                </c:pt>
                <c:pt idx="1">
                  <c:v>0.27613021282448924</c:v>
                </c:pt>
                <c:pt idx="2">
                  <c:v>0.27246692810204781</c:v>
                </c:pt>
                <c:pt idx="3">
                  <c:v>0.26949678504138391</c:v>
                </c:pt>
                <c:pt idx="4">
                  <c:v>0.26724289545197605</c:v>
                </c:pt>
                <c:pt idx="5">
                  <c:v>0.26572348681829705</c:v>
                </c:pt>
                <c:pt idx="6">
                  <c:v>0.26495119279652962</c:v>
                </c:pt>
                <c:pt idx="7">
                  <c:v>0.26493254978793912</c:v>
                </c:pt>
                <c:pt idx="8">
                  <c:v>0.26566771556516361</c:v>
                </c:pt>
                <c:pt idx="9">
                  <c:v>0.26715046952912563</c:v>
                </c:pt>
                <c:pt idx="10">
                  <c:v>0.26936845909910817</c:v>
                </c:pt>
                <c:pt idx="11">
                  <c:v>0.27230373299998772</c:v>
                </c:pt>
                <c:pt idx="12">
                  <c:v>0.2759333887010495</c:v>
                </c:pt>
                <c:pt idx="13">
                  <c:v>0.28023044925986795</c:v>
                </c:pt>
                <c:pt idx="14">
                  <c:v>0.2851647304429174</c:v>
                </c:pt>
                <c:pt idx="15">
                  <c:v>0.29070382813701506</c:v>
                </c:pt>
                <c:pt idx="16">
                  <c:v>0.29681382810767315</c:v>
                </c:pt>
                <c:pt idx="17">
                  <c:v>0.30346030639543004</c:v>
                </c:pt>
                <c:pt idx="18">
                  <c:v>0.31060878942738851</c:v>
                </c:pt>
                <c:pt idx="19">
                  <c:v>0.31822542251403491</c:v>
                </c:pt>
                <c:pt idx="20">
                  <c:v>0.32627747714989419</c:v>
                </c:pt>
                <c:pt idx="21">
                  <c:v>0.33473350958502596</c:v>
                </c:pt>
                <c:pt idx="22">
                  <c:v>0.34356369215410132</c:v>
                </c:pt>
                <c:pt idx="23">
                  <c:v>0.35273992753535971</c:v>
                </c:pt>
                <c:pt idx="24">
                  <c:v>0.36223591783861292</c:v>
                </c:pt>
                <c:pt idx="25">
                  <c:v>0.37202717864526741</c:v>
                </c:pt>
                <c:pt idx="26">
                  <c:v>0.38209101129544198</c:v>
                </c:pt>
                <c:pt idx="27">
                  <c:v>0.3924064448482355</c:v>
                </c:pt>
                <c:pt idx="28">
                  <c:v>0.40295415717886429</c:v>
                </c:pt>
                <c:pt idx="29">
                  <c:v>0.41371638280429468</c:v>
                </c:pt>
                <c:pt idx="30">
                  <c:v>0.42467681335016294</c:v>
                </c:pt>
                <c:pt idx="31">
                  <c:v>0.43582049513242388</c:v>
                </c:pt>
                <c:pt idx="32">
                  <c:v>0.44716171574214708</c:v>
                </c:pt>
                <c:pt idx="33">
                  <c:v>0.45903333216392928</c:v>
                </c:pt>
                <c:pt idx="34">
                  <c:v>0.47149803821473363</c:v>
                </c:pt>
                <c:pt idx="35">
                  <c:v>0.48451006185957035</c:v>
                </c:pt>
                <c:pt idx="36">
                  <c:v>0.50360063755916751</c:v>
                </c:pt>
                <c:pt idx="37">
                  <c:v>0.53797974139367</c:v>
                </c:pt>
                <c:pt idx="38">
                  <c:v>0.58517587283653449</c:v>
                </c:pt>
                <c:pt idx="39">
                  <c:v>0.64237014419258309</c:v>
                </c:pt>
                <c:pt idx="40">
                  <c:v>0.70710678118654757</c:v>
                </c:pt>
              </c:numCache>
            </c:numRef>
          </c:xVal>
          <c:yVal>
            <c:numRef>
              <c:f>'No short vs general eff. front.'!$A$24:$A$64</c:f>
              <c:numCache>
                <c:formatCode>0.0%</c:formatCode>
                <c:ptCount val="41"/>
                <c:pt idx="0">
                  <c:v>1.9999999999999997E-2</c:v>
                </c:pt>
                <c:pt idx="1">
                  <c:v>2.2000000022300542E-2</c:v>
                </c:pt>
                <c:pt idx="2">
                  <c:v>2.4000000004017856E-2</c:v>
                </c:pt>
                <c:pt idx="3">
                  <c:v>2.6000000004017806E-2</c:v>
                </c:pt>
                <c:pt idx="4">
                  <c:v>2.8000000004017801E-2</c:v>
                </c:pt>
                <c:pt idx="5">
                  <c:v>2.9999999998660293E-2</c:v>
                </c:pt>
                <c:pt idx="6">
                  <c:v>3.2000000004039915E-2</c:v>
                </c:pt>
                <c:pt idx="7">
                  <c:v>3.4000000004017789E-2</c:v>
                </c:pt>
                <c:pt idx="8">
                  <c:v>3.6000000004017797E-2</c:v>
                </c:pt>
                <c:pt idx="9">
                  <c:v>3.7999999998757417E-2</c:v>
                </c:pt>
                <c:pt idx="10">
                  <c:v>4.0000000003942743E-2</c:v>
                </c:pt>
                <c:pt idx="11">
                  <c:v>4.1999999998834386E-2</c:v>
                </c:pt>
                <c:pt idx="12">
                  <c:v>4.3999999998928618E-2</c:v>
                </c:pt>
                <c:pt idx="13">
                  <c:v>4.5999999998980072E-2</c:v>
                </c:pt>
                <c:pt idx="14">
                  <c:v>4.8000000003797713E-2</c:v>
                </c:pt>
                <c:pt idx="15">
                  <c:v>4.9999999998968522E-2</c:v>
                </c:pt>
                <c:pt idx="16">
                  <c:v>5.200000000373161E-2</c:v>
                </c:pt>
                <c:pt idx="17">
                  <c:v>5.3999999999006787E-2</c:v>
                </c:pt>
                <c:pt idx="18">
                  <c:v>5.5999999999431879E-2</c:v>
                </c:pt>
                <c:pt idx="19">
                  <c:v>5.8000000003660679E-2</c:v>
                </c:pt>
                <c:pt idx="20">
                  <c:v>6.000000000401786E-2</c:v>
                </c:pt>
                <c:pt idx="21">
                  <c:v>6.2000000004017827E-2</c:v>
                </c:pt>
                <c:pt idx="22">
                  <c:v>6.4000000004017815E-2</c:v>
                </c:pt>
                <c:pt idx="23">
                  <c:v>6.6000000004017817E-2</c:v>
                </c:pt>
                <c:pt idx="24">
                  <c:v>6.8000000004017819E-2</c:v>
                </c:pt>
                <c:pt idx="25">
                  <c:v>7.0000000004017834E-2</c:v>
                </c:pt>
                <c:pt idx="26">
                  <c:v>7.2000000004017822E-2</c:v>
                </c:pt>
                <c:pt idx="27">
                  <c:v>7.4000000004017824E-2</c:v>
                </c:pt>
                <c:pt idx="28">
                  <c:v>7.6000000004017826E-2</c:v>
                </c:pt>
                <c:pt idx="29">
                  <c:v>7.8000000004017828E-2</c:v>
                </c:pt>
                <c:pt idx="30">
                  <c:v>8.0000000004017843E-2</c:v>
                </c:pt>
                <c:pt idx="31">
                  <c:v>8.2000000004017831E-2</c:v>
                </c:pt>
                <c:pt idx="32">
                  <c:v>8.4000000004925857E-2</c:v>
                </c:pt>
                <c:pt idx="33">
                  <c:v>8.6000000006712971E-2</c:v>
                </c:pt>
                <c:pt idx="34">
                  <c:v>8.8000000006712958E-2</c:v>
                </c:pt>
                <c:pt idx="35">
                  <c:v>9.0000000006713002E-2</c:v>
                </c:pt>
                <c:pt idx="36">
                  <c:v>9.2000999999999999E-2</c:v>
                </c:pt>
                <c:pt idx="37">
                  <c:v>9.4001000000000001E-2</c:v>
                </c:pt>
                <c:pt idx="38">
                  <c:v>9.6001000000000003E-2</c:v>
                </c:pt>
                <c:pt idx="39">
                  <c:v>9.8000999999999991E-2</c:v>
                </c:pt>
                <c:pt idx="40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61-4EB8-93BD-1262CA08E13B}"/>
            </c:ext>
          </c:extLst>
        </c:ser>
        <c:ser>
          <c:idx val="2"/>
          <c:order val="2"/>
          <c:tx>
            <c:strRef>
              <c:f>'No short vs general eff. front.'!$I$22</c:f>
              <c:strCache>
                <c:ptCount val="1"/>
                <c:pt idx="0">
                  <c:v>Efficient frontier with short-sales</c:v>
                </c:pt>
              </c:strCache>
            </c:strRef>
          </c:tx>
          <c:spPr>
            <a:ln w="19050" cap="rnd">
              <a:solidFill>
                <a:schemeClr val="accent1">
                  <a:tint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'No short vs general eff. front.'!$L$24:$L$64</c:f>
              <c:numCache>
                <c:formatCode>0.00%</c:formatCode>
                <c:ptCount val="41"/>
                <c:pt idx="0">
                  <c:v>0.71878142824622149</c:v>
                </c:pt>
                <c:pt idx="1">
                  <c:v>0.69744887478623951</c:v>
                </c:pt>
                <c:pt idx="2">
                  <c:v>0.6762258154995554</c:v>
                </c:pt>
                <c:pt idx="3">
                  <c:v>0.65512289184092753</c:v>
                </c:pt>
                <c:pt idx="4">
                  <c:v>0.63415209732250688</c:v>
                </c:pt>
                <c:pt idx="5">
                  <c:v>0.61332698531988805</c:v>
                </c:pt>
                <c:pt idx="6">
                  <c:v>0.59266291309914421</c:v>
                </c:pt>
                <c:pt idx="7">
                  <c:v>0.57217732868690196</c:v>
                </c:pt>
                <c:pt idx="8">
                  <c:v>0.55189010828418361</c:v>
                </c:pt>
                <c:pt idx="9">
                  <c:v>0.53182395305129904</c:v>
                </c:pt>
                <c:pt idx="10">
                  <c:v>0.51200485516723993</c:v>
                </c:pt>
                <c:pt idx="11">
                  <c:v>0.49246264391228289</c:v>
                </c:pt>
                <c:pt idx="12">
                  <c:v>0.47323162282529169</c:v>
                </c:pt>
                <c:pt idx="13">
                  <c:v>0.45435130823315117</c:v>
                </c:pt>
                <c:pt idx="14">
                  <c:v>0.43586727682062387</c:v>
                </c:pt>
                <c:pt idx="15">
                  <c:v>0.41783212414965221</c:v>
                </c:pt>
                <c:pt idx="16">
                  <c:v>0.40030652530071026</c:v>
                </c:pt>
                <c:pt idx="17">
                  <c:v>0.38336037051810562</c:v>
                </c:pt>
                <c:pt idx="18">
                  <c:v>0.36707391956902097</c:v>
                </c:pt>
                <c:pt idx="19">
                  <c:v>0.35153887470702655</c:v>
                </c:pt>
                <c:pt idx="20">
                  <c:v>0.33685921048909218</c:v>
                </c:pt>
                <c:pt idx="21">
                  <c:v>0.3231515189673726</c:v>
                </c:pt>
                <c:pt idx="22">
                  <c:v>0.31054453785091657</c:v>
                </c:pt>
                <c:pt idx="23">
                  <c:v>0.29917744738815477</c:v>
                </c:pt>
                <c:pt idx="24">
                  <c:v>0.28919648912266999</c:v>
                </c:pt>
                <c:pt idx="25">
                  <c:v>0.2807495376213443</c:v>
                </c:pt>
                <c:pt idx="26">
                  <c:v>0.27397851318461502</c:v>
                </c:pt>
                <c:pt idx="27">
                  <c:v>0.26900999564633177</c:v>
                </c:pt>
                <c:pt idx="28">
                  <c:v>0.265945030197897</c:v>
                </c:pt>
                <c:pt idx="29">
                  <c:v>0.26484971148712788</c:v>
                </c:pt>
                <c:pt idx="30">
                  <c:v>0.26574839514323068</c:v>
                </c:pt>
                <c:pt idx="31">
                  <c:v>0.26862106884256942</c:v>
                </c:pt>
                <c:pt idx="32">
                  <c:v>0.2734055174819624</c:v>
                </c:pt>
                <c:pt idx="33">
                  <c:v>0.28000375820972184</c:v>
                </c:pt>
                <c:pt idx="34">
                  <c:v>0.2882912789039771</c:v>
                </c:pt>
                <c:pt idx="35">
                  <c:v>0.2981272339642036</c:v>
                </c:pt>
                <c:pt idx="36">
                  <c:v>0.30936396530419719</c:v>
                </c:pt>
                <c:pt idx="37">
                  <c:v>0.3218547928567474</c:v>
                </c:pt>
                <c:pt idx="38">
                  <c:v>0.33545965718624993</c:v>
                </c:pt>
                <c:pt idx="39">
                  <c:v>0.3500486891458201</c:v>
                </c:pt>
                <c:pt idx="40">
                  <c:v>0.36550405908064926</c:v>
                </c:pt>
              </c:numCache>
            </c:numRef>
          </c:xVal>
          <c:yVal>
            <c:numRef>
              <c:f>'No short vs general eff. front.'!$K$24:$K$64</c:f>
              <c:numCache>
                <c:formatCode>0.0%</c:formatCode>
                <c:ptCount val="41"/>
                <c:pt idx="0">
                  <c:v>0.12755334454894593</c:v>
                </c:pt>
                <c:pt idx="1">
                  <c:v>0.12430012928280135</c:v>
                </c:pt>
                <c:pt idx="2">
                  <c:v>0.12104691401665676</c:v>
                </c:pt>
                <c:pt idx="3">
                  <c:v>0.1177936987505122</c:v>
                </c:pt>
                <c:pt idx="4">
                  <c:v>0.11454048348436763</c:v>
                </c:pt>
                <c:pt idx="5">
                  <c:v>0.11128726821822305</c:v>
                </c:pt>
                <c:pt idx="6">
                  <c:v>0.10803405295207846</c:v>
                </c:pt>
                <c:pt idx="7">
                  <c:v>0.10478083768593389</c:v>
                </c:pt>
                <c:pt idx="8">
                  <c:v>0.10152762241978931</c:v>
                </c:pt>
                <c:pt idx="9">
                  <c:v>9.827440715364473E-2</c:v>
                </c:pt>
                <c:pt idx="10">
                  <c:v>9.5021191887500148E-2</c:v>
                </c:pt>
                <c:pt idx="11">
                  <c:v>9.1767976621355579E-2</c:v>
                </c:pt>
                <c:pt idx="12">
                  <c:v>8.8514761355210997E-2</c:v>
                </c:pt>
                <c:pt idx="13">
                  <c:v>8.5261546089066415E-2</c:v>
                </c:pt>
                <c:pt idx="14">
                  <c:v>8.2008330822921832E-2</c:v>
                </c:pt>
                <c:pt idx="15">
                  <c:v>7.875511555677725E-2</c:v>
                </c:pt>
                <c:pt idx="16">
                  <c:v>7.5501900290632709E-2</c:v>
                </c:pt>
                <c:pt idx="17">
                  <c:v>7.2248685024488113E-2</c:v>
                </c:pt>
                <c:pt idx="18">
                  <c:v>6.8995469758343517E-2</c:v>
                </c:pt>
                <c:pt idx="19">
                  <c:v>6.5742254492198948E-2</c:v>
                </c:pt>
                <c:pt idx="20">
                  <c:v>6.2489039226054366E-2</c:v>
                </c:pt>
                <c:pt idx="21">
                  <c:v>5.9235823959909777E-2</c:v>
                </c:pt>
                <c:pt idx="22">
                  <c:v>5.5982608693765208E-2</c:v>
                </c:pt>
                <c:pt idx="23">
                  <c:v>5.2729393427620619E-2</c:v>
                </c:pt>
                <c:pt idx="24">
                  <c:v>4.947617816147605E-2</c:v>
                </c:pt>
                <c:pt idx="25">
                  <c:v>4.6222962895331468E-2</c:v>
                </c:pt>
                <c:pt idx="26">
                  <c:v>4.2969747629186886E-2</c:v>
                </c:pt>
                <c:pt idx="27">
                  <c:v>3.9716532363042303E-2</c:v>
                </c:pt>
                <c:pt idx="28">
                  <c:v>3.6463317096897735E-2</c:v>
                </c:pt>
                <c:pt idx="29">
                  <c:v>3.3210101830753153E-2</c:v>
                </c:pt>
                <c:pt idx="30">
                  <c:v>2.995688656460857E-2</c:v>
                </c:pt>
                <c:pt idx="31">
                  <c:v>2.6703671298463988E-2</c:v>
                </c:pt>
                <c:pt idx="32">
                  <c:v>2.3450456032319406E-2</c:v>
                </c:pt>
                <c:pt idx="33">
                  <c:v>2.0197240766174823E-2</c:v>
                </c:pt>
                <c:pt idx="34">
                  <c:v>1.6944025500030269E-2</c:v>
                </c:pt>
                <c:pt idx="35">
                  <c:v>1.3690810233885686E-2</c:v>
                </c:pt>
                <c:pt idx="36">
                  <c:v>1.0437594967741104E-2</c:v>
                </c:pt>
                <c:pt idx="37">
                  <c:v>7.1843797015965494E-3</c:v>
                </c:pt>
                <c:pt idx="38">
                  <c:v>3.9311644354519948E-3</c:v>
                </c:pt>
                <c:pt idx="39">
                  <c:v>6.7794916930741245E-4</c:v>
                </c:pt>
                <c:pt idx="40">
                  <c:v>-2.5752660968371421E-3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61-4EB8-93BD-1262CA08E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626032"/>
        <c:axId val="804606112"/>
      </c:scatterChart>
      <c:valAx>
        <c:axId val="8126260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606112"/>
        <c:crosses val="autoZero"/>
        <c:crossBetween val="midCat"/>
      </c:valAx>
      <c:valAx>
        <c:axId val="8046061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Mean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26260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4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Efficient Frontier, Short Sales Allowed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'Page 337'!#REF!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71-4584-B032-F94108DD0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8573720"/>
        <c:axId val="468574112"/>
      </c:scatterChart>
      <c:valAx>
        <c:axId val="468573720"/>
        <c:scaling>
          <c:orientation val="minMax"/>
          <c:min val="0.18"/>
        </c:scaling>
        <c:delete val="0"/>
        <c:axPos val="b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Sigma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4112"/>
        <c:crosses val="autoZero"/>
        <c:crossBetween val="midCat"/>
      </c:valAx>
      <c:valAx>
        <c:axId val="468574112"/>
        <c:scaling>
          <c:orientation val="minMax"/>
          <c:min val="7.4999999999999997E-2"/>
        </c:scaling>
        <c:delete val="0"/>
        <c:axPos val="l"/>
        <c:title>
          <c:tx>
            <c:rich>
              <a:bodyPr/>
              <a:lstStyle/>
              <a:p>
                <a:pPr>
                  <a:defRPr sz="3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Mean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7372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10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185737</xdr:colOff>
      <xdr:row>2</xdr:row>
      <xdr:rowOff>19050</xdr:rowOff>
    </xdr:from>
    <xdr:to>
      <xdr:col>14</xdr:col>
      <xdr:colOff>134937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188622</xdr:colOff>
      <xdr:row>1</xdr:row>
      <xdr:rowOff>1441</xdr:rowOff>
    </xdr:from>
    <xdr:to>
      <xdr:col>17</xdr:col>
      <xdr:colOff>130895</xdr:colOff>
      <xdr:row>16</xdr:row>
      <xdr:rowOff>4905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447040</xdr:colOff>
      <xdr:row>36</xdr:row>
      <xdr:rowOff>177165</xdr:rowOff>
    </xdr:from>
    <xdr:to>
      <xdr:col>15</xdr:col>
      <xdr:colOff>411480</xdr:colOff>
      <xdr:row>51</xdr:row>
      <xdr:rowOff>8255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19050</xdr:colOff>
      <xdr:row>19</xdr:row>
      <xdr:rowOff>88900</xdr:rowOff>
    </xdr:from>
    <xdr:to>
      <xdr:col>3</xdr:col>
      <xdr:colOff>19050</xdr:colOff>
      <xdr:row>19</xdr:row>
      <xdr:rowOff>120650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H="1" flipV="1">
          <a:off x="1739900" y="4013200"/>
          <a:ext cx="711200" cy="3175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758825</xdr:colOff>
      <xdr:row>10</xdr:row>
      <xdr:rowOff>95250</xdr:rowOff>
    </xdr:from>
    <xdr:to>
      <xdr:col>3</xdr:col>
      <xdr:colOff>15875</xdr:colOff>
      <xdr:row>10</xdr:row>
      <xdr:rowOff>98425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 flipH="1" flipV="1">
          <a:off x="1419225" y="2159000"/>
          <a:ext cx="679450" cy="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758825</xdr:colOff>
      <xdr:row>10</xdr:row>
      <xdr:rowOff>95250</xdr:rowOff>
    </xdr:from>
    <xdr:to>
      <xdr:col>3</xdr:col>
      <xdr:colOff>15875</xdr:colOff>
      <xdr:row>10</xdr:row>
      <xdr:rowOff>98425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CxnSpPr/>
      </xdr:nvCxnSpPr>
      <xdr:spPr>
        <a:xfrm flipH="1" flipV="1">
          <a:off x="1419225" y="2168525"/>
          <a:ext cx="679450" cy="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</xdr:colOff>
      <xdr:row>19</xdr:row>
      <xdr:rowOff>15875</xdr:rowOff>
    </xdr:from>
    <xdr:to>
      <xdr:col>6</xdr:col>
      <xdr:colOff>869950</xdr:colOff>
      <xdr:row>34</xdr:row>
      <xdr:rowOff>158750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185737</xdr:colOff>
      <xdr:row>2</xdr:row>
      <xdr:rowOff>19050</xdr:rowOff>
    </xdr:from>
    <xdr:to>
      <xdr:col>14</xdr:col>
      <xdr:colOff>134937</xdr:colOff>
      <xdr:row>18</xdr:row>
      <xdr:rowOff>33655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139700</xdr:colOff>
      <xdr:row>20</xdr:row>
      <xdr:rowOff>34925</xdr:rowOff>
    </xdr:from>
    <xdr:to>
      <xdr:col>5</xdr:col>
      <xdr:colOff>571500</xdr:colOff>
      <xdr:row>34</xdr:row>
      <xdr:rowOff>147955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758825</xdr:colOff>
      <xdr:row>10</xdr:row>
      <xdr:rowOff>95250</xdr:rowOff>
    </xdr:from>
    <xdr:to>
      <xdr:col>3</xdr:col>
      <xdr:colOff>15875</xdr:colOff>
      <xdr:row>10</xdr:row>
      <xdr:rowOff>98425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CxnSpPr/>
      </xdr:nvCxnSpPr>
      <xdr:spPr>
        <a:xfrm flipH="1" flipV="1">
          <a:off x="1419225" y="2168525"/>
          <a:ext cx="679450" cy="317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807358</xdr:colOff>
      <xdr:row>10</xdr:row>
      <xdr:rowOff>140607</xdr:rowOff>
    </xdr:from>
    <xdr:to>
      <xdr:col>7</xdr:col>
      <xdr:colOff>178711</xdr:colOff>
      <xdr:row>15</xdr:row>
      <xdr:rowOff>36317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CxnSpPr>
          <a:stCxn id="8" idx="1"/>
        </xdr:cNvCxnSpPr>
      </xdr:nvCxnSpPr>
      <xdr:spPr>
        <a:xfrm flipH="1" flipV="1">
          <a:off x="2403929" y="2449286"/>
          <a:ext cx="4387853" cy="82553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178711</xdr:colOff>
      <xdr:row>4</xdr:row>
      <xdr:rowOff>74387</xdr:rowOff>
    </xdr:from>
    <xdr:to>
      <xdr:col>13</xdr:col>
      <xdr:colOff>621395</xdr:colOff>
      <xdr:row>27</xdr:row>
      <xdr:rowOff>88961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1782" y="1094923"/>
          <a:ext cx="4574720" cy="4359788"/>
        </a:xfrm>
        <a:prstGeom prst="rect">
          <a:avLst/>
        </a:prstGeom>
      </xdr:spPr>
    </xdr:pic>
    <xdr:clientData/>
  </xdr:twoCellAnchor>
  <xdr:twoCellAnchor editAs="oneCell">
    <xdr:from>
      <xdr:col>2</xdr:col>
      <xdr:colOff>642018</xdr:colOff>
      <xdr:row>7</xdr:row>
      <xdr:rowOff>35890</xdr:rowOff>
    </xdr:from>
    <xdr:to>
      <xdr:col>7</xdr:col>
      <xdr:colOff>0</xdr:colOff>
      <xdr:row>18</xdr:row>
      <xdr:rowOff>220911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77105" y="1606825"/>
          <a:ext cx="3535178" cy="233849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52</xdr:row>
      <xdr:rowOff>0</xdr:rowOff>
    </xdr:from>
    <xdr:to>
      <xdr:col>8</xdr:col>
      <xdr:colOff>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104774</xdr:colOff>
      <xdr:row>1</xdr:row>
      <xdr:rowOff>159577</xdr:rowOff>
    </xdr:from>
    <xdr:to>
      <xdr:col>13</xdr:col>
      <xdr:colOff>555625</xdr:colOff>
      <xdr:row>23</xdr:row>
      <xdr:rowOff>106554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11949" y="619952"/>
          <a:ext cx="4572001" cy="4188777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29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63965</xdr:colOff>
      <xdr:row>0</xdr:row>
      <xdr:rowOff>122912</xdr:rowOff>
    </xdr:from>
    <xdr:to>
      <xdr:col>13</xdr:col>
      <xdr:colOff>609599</xdr:colOff>
      <xdr:row>24</xdr:row>
      <xdr:rowOff>102174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30898" y="122912"/>
          <a:ext cx="4668901" cy="472482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29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790575</xdr:colOff>
          <xdr:row>19</xdr:row>
          <xdr:rowOff>28575</xdr:rowOff>
        </xdr:from>
        <xdr:to>
          <xdr:col>6</xdr:col>
          <xdr:colOff>752475</xdr:colOff>
          <xdr:row>21</xdr:row>
          <xdr:rowOff>114300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efficient frontier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345015</xdr:colOff>
      <xdr:row>6</xdr:row>
      <xdr:rowOff>12701</xdr:rowOff>
    </xdr:from>
    <xdr:to>
      <xdr:col>16</xdr:col>
      <xdr:colOff>294215</xdr:colOff>
      <xdr:row>20</xdr:row>
      <xdr:rowOff>97367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144780</xdr:colOff>
      <xdr:row>29</xdr:row>
      <xdr:rowOff>0</xdr:rowOff>
    </xdr:from>
    <xdr:to>
      <xdr:col>8</xdr:col>
      <xdr:colOff>0</xdr:colOff>
      <xdr:row>29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39158</xdr:colOff>
      <xdr:row>0</xdr:row>
      <xdr:rowOff>41276</xdr:rowOff>
    </xdr:from>
    <xdr:to>
      <xdr:col>12</xdr:col>
      <xdr:colOff>431800</xdr:colOff>
      <xdr:row>17</xdr:row>
      <xdr:rowOff>153567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5033" y="41276"/>
          <a:ext cx="3853392" cy="365876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ofka/Google%20Drive/My%20books/FM/FM4/FM4%20Disk%20with%20book/FM4%20chapter%20files/FM4,%20Chapter%2012,%20no%20short%20sal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 293"/>
      <sheetName val="Page 294"/>
      <sheetName val="Page 295"/>
      <sheetName val="Page 297, top"/>
      <sheetName val="Page 297, bottom"/>
      <sheetName val="Page 298"/>
      <sheetName val="Page 299 chart"/>
      <sheetName val="Page 301"/>
      <sheetName val="Page 303"/>
      <sheetName val="Page 299 data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17">
          <cell r="B17">
            <v>0.11000000000000003</v>
          </cell>
        </row>
        <row r="18">
          <cell r="B18">
            <v>0.94868329805051399</v>
          </cell>
        </row>
      </sheetData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3"/>
  <sheetViews>
    <sheetView workbookViewId="0">
      <selection activeCell="J23" sqref="J23"/>
    </sheetView>
  </sheetViews>
  <sheetFormatPr defaultRowHeight="14.25"/>
  <cols>
    <col min="1" max="1" width="19.625" bestFit="1" customWidth="1"/>
  </cols>
  <sheetData>
    <row r="1" spans="1:7" ht="18">
      <c r="A1" s="90" t="s">
        <v>53</v>
      </c>
      <c r="B1" s="90"/>
      <c r="C1" s="90"/>
      <c r="D1" s="90"/>
      <c r="E1" s="90"/>
      <c r="F1" s="90"/>
      <c r="G1" s="90"/>
    </row>
    <row r="2" spans="1:7">
      <c r="B2" t="s">
        <v>41</v>
      </c>
      <c r="C2" t="s">
        <v>12</v>
      </c>
    </row>
    <row r="3" spans="1:7">
      <c r="A3" t="s">
        <v>42</v>
      </c>
      <c r="B3" s="3">
        <v>0.1</v>
      </c>
      <c r="C3" s="3">
        <v>0.2</v>
      </c>
    </row>
    <row r="4" spans="1:7">
      <c r="A4" t="s">
        <v>49</v>
      </c>
      <c r="B4" s="3">
        <v>0.08</v>
      </c>
      <c r="C4" s="3">
        <v>0.15</v>
      </c>
      <c r="E4" t="s">
        <v>43</v>
      </c>
      <c r="F4" s="33">
        <f>C4/C3</f>
        <v>0.74999999999999989</v>
      </c>
    </row>
    <row r="5" spans="1:7">
      <c r="B5" s="3"/>
      <c r="C5" s="3"/>
      <c r="F5" s="33"/>
    </row>
    <row r="6" spans="1:7">
      <c r="A6" t="s">
        <v>48</v>
      </c>
      <c r="B6" s="33">
        <v>0.1</v>
      </c>
      <c r="C6" s="33">
        <v>0.185</v>
      </c>
    </row>
    <row r="7" spans="1:7">
      <c r="A7" t="str">
        <f>A6</f>
        <v>Infeasible</v>
      </c>
      <c r="B7" s="33">
        <v>0.06</v>
      </c>
      <c r="C7" s="33">
        <v>0.17499999999999999</v>
      </c>
    </row>
    <row r="8" spans="1:7">
      <c r="A8" t="str">
        <f>A14</f>
        <v>Efficient and envelope</v>
      </c>
      <c r="B8" s="33">
        <f>D8*$B$3+(1-D8)*$B$4</f>
        <v>8.8000000000000009E-2</v>
      </c>
      <c r="C8" s="33">
        <f>SQRT(D8^2*$C$3^2+(1-D8)^2*$C$4^2+2*D8*(1-D8)*$C$3*$C$4*$F$4)</f>
        <v>0.15905973720586866</v>
      </c>
      <c r="D8" s="3">
        <v>0.4</v>
      </c>
    </row>
    <row r="9" spans="1:7">
      <c r="A9" t="str">
        <f>E14</f>
        <v>Envelope, not efficient</v>
      </c>
      <c r="B9" s="33">
        <f>D9*$B$3+(1-D9)*$B$4</f>
        <v>7.1999999999999981E-2</v>
      </c>
      <c r="C9" s="33">
        <f>SQRT(D9^2*$C$3^2+(1-D9)^2*$C$4^2+2*D9*(1-D9)*$C$3*$C$4*$F$4)</f>
        <v>0.15905973720586866</v>
      </c>
      <c r="D9" s="3">
        <f>-D8</f>
        <v>-0.4</v>
      </c>
    </row>
    <row r="10" spans="1:7">
      <c r="A10" t="s">
        <v>52</v>
      </c>
      <c r="B10" s="33">
        <v>0.09</v>
      </c>
      <c r="C10" s="33">
        <v>0.19</v>
      </c>
    </row>
    <row r="11" spans="1:7">
      <c r="A11" t="str">
        <f>A10</f>
        <v>Feasable, not envelope</v>
      </c>
      <c r="B11" s="33">
        <v>0.08</v>
      </c>
      <c r="C11" s="33">
        <v>0.17</v>
      </c>
    </row>
    <row r="12" spans="1:7">
      <c r="A12" t="str">
        <f>A11</f>
        <v>Feasable, not envelope</v>
      </c>
      <c r="B12" s="33">
        <v>7.0000000000000007E-2</v>
      </c>
      <c r="C12" s="33">
        <v>0.18</v>
      </c>
    </row>
    <row r="14" spans="1:7">
      <c r="A14" t="s">
        <v>50</v>
      </c>
      <c r="E14" t="s">
        <v>51</v>
      </c>
    </row>
    <row r="15" spans="1:7">
      <c r="A15" t="s">
        <v>47</v>
      </c>
      <c r="B15" s="3">
        <v>7.0000000000000007E-2</v>
      </c>
      <c r="E15" t="s">
        <v>47</v>
      </c>
      <c r="F15" s="3">
        <f>-B15</f>
        <v>-7.0000000000000007E-2</v>
      </c>
    </row>
    <row r="16" spans="1:7">
      <c r="A16" t="s">
        <v>44</v>
      </c>
      <c r="B16" t="s">
        <v>46</v>
      </c>
      <c r="C16" t="s">
        <v>45</v>
      </c>
      <c r="E16" t="s">
        <v>44</v>
      </c>
      <c r="F16" t="s">
        <v>46</v>
      </c>
      <c r="G16" t="s">
        <v>45</v>
      </c>
    </row>
    <row r="17" spans="1:7">
      <c r="A17" s="3">
        <v>0</v>
      </c>
      <c r="B17" s="3">
        <f t="shared" ref="B17:B33" si="0">SQRT(A17^2*$C$3^2+(1-A17)^2*$C$4^2+2*A17*(1-A17)*$C$3*$C$4*$F$4)</f>
        <v>0.15</v>
      </c>
      <c r="C17" s="9">
        <f t="shared" ref="C17" si="1">A17*$B$3+(1-A17)*$B$4</f>
        <v>0.08</v>
      </c>
      <c r="E17" s="3">
        <v>0</v>
      </c>
      <c r="F17" s="3">
        <f>SQRT(E17^2*$C$3^2+(1-E17)^2*$C$4^2+2*E17*(1-E17)*$C$3*$C$4*$F$4)</f>
        <v>0.15</v>
      </c>
      <c r="G17" s="9">
        <f>E17*$B$3+(1-E17)*$B$4</f>
        <v>0.08</v>
      </c>
    </row>
    <row r="18" spans="1:7">
      <c r="A18" s="3">
        <f>A17+$B$15</f>
        <v>7.0000000000000007E-2</v>
      </c>
      <c r="B18" s="3">
        <f t="shared" si="0"/>
        <v>0.15028556151540307</v>
      </c>
      <c r="C18" s="9">
        <f t="shared" ref="C18:C33" si="2">A18*$B$3+(1-A18)*$B$4</f>
        <v>8.14E-2</v>
      </c>
      <c r="E18" s="3">
        <f>E17+$F$15</f>
        <v>-7.0000000000000007E-2</v>
      </c>
      <c r="F18" s="3">
        <f t="shared" ref="F18:F33" si="3">SQRT(E18^2*$C$3^2+(1-E18)^2*$C$4^2+2*E18*(1-E18)*$C$3*$C$4*$F$4)</f>
        <v>0.15028556151540307</v>
      </c>
      <c r="G18" s="9">
        <f t="shared" ref="G18:G33" si="4">E18*$B$3+(1-E18)*$B$4</f>
        <v>7.8600000000000003E-2</v>
      </c>
    </row>
    <row r="19" spans="1:7">
      <c r="A19" s="3">
        <f t="shared" ref="A19:A33" si="5">A18+$B$15</f>
        <v>0.14000000000000001</v>
      </c>
      <c r="B19" s="3">
        <f t="shared" si="0"/>
        <v>0.15113900886270226</v>
      </c>
      <c r="C19" s="9">
        <f t="shared" si="2"/>
        <v>8.2799999999999999E-2</v>
      </c>
      <c r="E19" s="3">
        <f t="shared" ref="E19:E33" si="6">E18+$F$15</f>
        <v>-0.14000000000000001</v>
      </c>
      <c r="F19" s="3">
        <f t="shared" si="3"/>
        <v>0.15113900886270232</v>
      </c>
      <c r="G19" s="9">
        <f t="shared" si="4"/>
        <v>7.7200000000000019E-2</v>
      </c>
    </row>
    <row r="20" spans="1:7">
      <c r="A20" s="3">
        <f t="shared" si="5"/>
        <v>0.21000000000000002</v>
      </c>
      <c r="B20" s="3">
        <f t="shared" si="0"/>
        <v>0.15255081120728267</v>
      </c>
      <c r="C20" s="9">
        <f t="shared" si="2"/>
        <v>8.4200000000000011E-2</v>
      </c>
      <c r="E20" s="3">
        <f t="shared" si="6"/>
        <v>-0.21000000000000002</v>
      </c>
      <c r="F20" s="3">
        <f t="shared" si="3"/>
        <v>0.15255081120728267</v>
      </c>
      <c r="G20" s="9">
        <f t="shared" si="4"/>
        <v>7.5799999999999992E-2</v>
      </c>
    </row>
    <row r="21" spans="1:7">
      <c r="A21" s="3">
        <f t="shared" si="5"/>
        <v>0.28000000000000003</v>
      </c>
      <c r="B21" s="3">
        <f t="shared" si="0"/>
        <v>0.15450566332662372</v>
      </c>
      <c r="C21" s="9">
        <f t="shared" si="2"/>
        <v>8.5600000000000009E-2</v>
      </c>
      <c r="E21" s="3">
        <f t="shared" si="6"/>
        <v>-0.28000000000000003</v>
      </c>
      <c r="F21" s="3">
        <f t="shared" si="3"/>
        <v>0.15450566332662374</v>
      </c>
      <c r="G21" s="9">
        <f t="shared" si="4"/>
        <v>7.4399999999999994E-2</v>
      </c>
    </row>
    <row r="22" spans="1:7">
      <c r="A22" s="3">
        <f t="shared" si="5"/>
        <v>0.35000000000000003</v>
      </c>
      <c r="B22" s="3">
        <f t="shared" si="0"/>
        <v>0.15698327936439599</v>
      </c>
      <c r="C22" s="9">
        <f t="shared" si="2"/>
        <v>8.6999999999999994E-2</v>
      </c>
      <c r="E22" s="3">
        <f t="shared" si="6"/>
        <v>-0.35000000000000003</v>
      </c>
      <c r="F22" s="3">
        <f t="shared" si="3"/>
        <v>0.15698327936439599</v>
      </c>
      <c r="G22" s="9">
        <f t="shared" si="4"/>
        <v>7.3000000000000009E-2</v>
      </c>
    </row>
    <row r="23" spans="1:7">
      <c r="A23" s="3">
        <f t="shared" si="5"/>
        <v>0.42000000000000004</v>
      </c>
      <c r="B23" s="3">
        <f t="shared" si="0"/>
        <v>0.15995936984121936</v>
      </c>
      <c r="C23" s="9">
        <f t="shared" si="2"/>
        <v>8.8400000000000006E-2</v>
      </c>
      <c r="E23" s="3">
        <f t="shared" si="6"/>
        <v>-0.42000000000000004</v>
      </c>
      <c r="F23" s="3">
        <f t="shared" si="3"/>
        <v>0.15995936984121936</v>
      </c>
      <c r="G23" s="9">
        <f t="shared" si="4"/>
        <v>7.1599999999999983E-2</v>
      </c>
    </row>
    <row r="24" spans="1:7">
      <c r="A24" s="3">
        <f t="shared" si="5"/>
        <v>0.49000000000000005</v>
      </c>
      <c r="B24" s="3">
        <f t="shared" si="0"/>
        <v>0.16340670120897735</v>
      </c>
      <c r="C24" s="9">
        <f t="shared" si="2"/>
        <v>8.9800000000000019E-2</v>
      </c>
      <c r="E24" s="3">
        <f t="shared" si="6"/>
        <v>-0.49000000000000005</v>
      </c>
      <c r="F24" s="3">
        <f t="shared" si="3"/>
        <v>0.16340670120897735</v>
      </c>
      <c r="G24" s="9">
        <f t="shared" si="4"/>
        <v>7.0199999999999985E-2</v>
      </c>
    </row>
    <row r="25" spans="1:7">
      <c r="A25" s="3">
        <f t="shared" si="5"/>
        <v>0.56000000000000005</v>
      </c>
      <c r="B25" s="3">
        <f t="shared" si="0"/>
        <v>0.16729614460590539</v>
      </c>
      <c r="C25" s="9">
        <f t="shared" si="2"/>
        <v>9.1200000000000003E-2</v>
      </c>
      <c r="E25" s="3">
        <f t="shared" si="6"/>
        <v>-0.56000000000000005</v>
      </c>
      <c r="F25" s="3">
        <f t="shared" si="3"/>
        <v>0.16729614460590542</v>
      </c>
      <c r="G25" s="9">
        <f t="shared" si="4"/>
        <v>6.88E-2</v>
      </c>
    </row>
    <row r="26" spans="1:7">
      <c r="A26" s="3">
        <f t="shared" si="5"/>
        <v>0.63000000000000012</v>
      </c>
      <c r="B26" s="3">
        <f t="shared" si="0"/>
        <v>0.1715976398439093</v>
      </c>
      <c r="C26" s="9">
        <f t="shared" si="2"/>
        <v>9.2600000000000002E-2</v>
      </c>
      <c r="E26" s="3">
        <f t="shared" si="6"/>
        <v>-0.63000000000000012</v>
      </c>
      <c r="F26" s="3">
        <f t="shared" si="3"/>
        <v>0.17159763984390927</v>
      </c>
      <c r="G26" s="9">
        <f t="shared" si="4"/>
        <v>6.7400000000000002E-2</v>
      </c>
    </row>
    <row r="27" spans="1:7">
      <c r="A27" s="3">
        <f t="shared" si="5"/>
        <v>0.70000000000000018</v>
      </c>
      <c r="B27" s="3">
        <f t="shared" si="0"/>
        <v>0.17628102563804196</v>
      </c>
      <c r="C27" s="9">
        <f t="shared" si="2"/>
        <v>9.4E-2</v>
      </c>
      <c r="E27" s="3">
        <f t="shared" si="6"/>
        <v>-0.70000000000000018</v>
      </c>
      <c r="F27" s="3">
        <f t="shared" si="3"/>
        <v>0.17628102563804199</v>
      </c>
      <c r="G27" s="9">
        <f t="shared" si="4"/>
        <v>6.5999999999999989E-2</v>
      </c>
    </row>
    <row r="28" spans="1:7">
      <c r="A28" s="3">
        <f t="shared" si="5"/>
        <v>0.77000000000000024</v>
      </c>
      <c r="B28" s="3">
        <f t="shared" si="0"/>
        <v>0.18131671186076592</v>
      </c>
      <c r="C28" s="9">
        <f t="shared" si="2"/>
        <v>9.5400000000000013E-2</v>
      </c>
      <c r="E28" s="3">
        <f t="shared" si="6"/>
        <v>-0.77000000000000024</v>
      </c>
      <c r="F28" s="3">
        <f t="shared" si="3"/>
        <v>0.18131671186076592</v>
      </c>
      <c r="G28" s="9">
        <f t="shared" si="4"/>
        <v>6.4600000000000005E-2</v>
      </c>
    </row>
    <row r="29" spans="1:7">
      <c r="A29" s="3">
        <f t="shared" si="5"/>
        <v>0.8400000000000003</v>
      </c>
      <c r="B29" s="3">
        <f t="shared" si="0"/>
        <v>0.18667619023324858</v>
      </c>
      <c r="C29" s="9">
        <f t="shared" si="2"/>
        <v>9.6800000000000011E-2</v>
      </c>
      <c r="E29" s="3">
        <f t="shared" si="6"/>
        <v>-0.8400000000000003</v>
      </c>
      <c r="F29" s="3">
        <f t="shared" si="3"/>
        <v>0.18667619023324861</v>
      </c>
      <c r="G29" s="9">
        <f t="shared" si="4"/>
        <v>6.3199999999999992E-2</v>
      </c>
    </row>
    <row r="30" spans="1:7">
      <c r="A30" s="3">
        <f t="shared" si="5"/>
        <v>0.91000000000000036</v>
      </c>
      <c r="B30" s="3">
        <f t="shared" si="0"/>
        <v>0.19233239456732196</v>
      </c>
      <c r="C30" s="9">
        <f t="shared" si="2"/>
        <v>9.820000000000001E-2</v>
      </c>
      <c r="E30" s="3">
        <f t="shared" si="6"/>
        <v>-0.91000000000000036</v>
      </c>
      <c r="F30" s="3">
        <f t="shared" si="3"/>
        <v>0.19233239456732193</v>
      </c>
      <c r="G30" s="9">
        <f t="shared" si="4"/>
        <v>6.179999999999998E-2</v>
      </c>
    </row>
    <row r="31" spans="1:7">
      <c r="A31" s="3">
        <f t="shared" si="5"/>
        <v>0.98000000000000043</v>
      </c>
      <c r="B31" s="3">
        <f t="shared" si="0"/>
        <v>0.19825993039441939</v>
      </c>
      <c r="C31" s="9">
        <f t="shared" si="2"/>
        <v>9.9600000000000008E-2</v>
      </c>
      <c r="E31" s="3">
        <f t="shared" si="6"/>
        <v>-0.98000000000000043</v>
      </c>
      <c r="F31" s="3">
        <f t="shared" si="3"/>
        <v>0.19825993039441941</v>
      </c>
      <c r="G31" s="9">
        <f t="shared" si="4"/>
        <v>6.0399999999999995E-2</v>
      </c>
    </row>
    <row r="32" spans="1:7">
      <c r="A32" s="3">
        <f t="shared" si="5"/>
        <v>1.0500000000000005</v>
      </c>
      <c r="B32" s="3">
        <f t="shared" si="0"/>
        <v>0.20443519755658521</v>
      </c>
      <c r="C32" s="9">
        <f t="shared" si="2"/>
        <v>0.10100000000000001</v>
      </c>
      <c r="E32" s="3">
        <f t="shared" si="6"/>
        <v>-1.0500000000000005</v>
      </c>
      <c r="F32" s="3">
        <f t="shared" si="3"/>
        <v>0.20443519755658529</v>
      </c>
      <c r="G32" s="9">
        <f t="shared" si="4"/>
        <v>5.9000000000000011E-2</v>
      </c>
    </row>
    <row r="33" spans="1:7">
      <c r="A33" s="3">
        <f t="shared" si="5"/>
        <v>1.1200000000000006</v>
      </c>
      <c r="B33" s="3">
        <f t="shared" si="0"/>
        <v>0.21083642948978251</v>
      </c>
      <c r="C33" s="9">
        <f t="shared" si="2"/>
        <v>0.10240000000000002</v>
      </c>
      <c r="E33" s="3">
        <f t="shared" si="6"/>
        <v>-1.1200000000000006</v>
      </c>
      <c r="F33" s="3">
        <f t="shared" si="3"/>
        <v>0.21083642948978251</v>
      </c>
      <c r="G33" s="9">
        <f t="shared" si="4"/>
        <v>5.7599999999999998E-2</v>
      </c>
    </row>
  </sheetData>
  <mergeCells count="1">
    <mergeCell ref="A1:G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0"/>
  <sheetViews>
    <sheetView zoomScale="55" zoomScaleNormal="55" workbookViewId="0">
      <selection activeCell="J28" sqref="J28"/>
    </sheetView>
  </sheetViews>
  <sheetFormatPr defaultRowHeight="14.25"/>
  <cols>
    <col min="1" max="1" width="19.625" bestFit="1" customWidth="1"/>
    <col min="2" max="2" width="16.25" customWidth="1"/>
    <col min="3" max="3" width="18.125" customWidth="1"/>
    <col min="6" max="6" width="15.625" customWidth="1"/>
  </cols>
  <sheetData>
    <row r="1" spans="1:8" ht="18">
      <c r="A1" s="90" t="s">
        <v>57</v>
      </c>
      <c r="B1" s="90"/>
      <c r="C1" s="90"/>
      <c r="D1" s="90"/>
      <c r="E1" s="90"/>
      <c r="F1" s="90"/>
      <c r="G1" s="90"/>
    </row>
    <row r="2" spans="1:8">
      <c r="B2" t="s">
        <v>41</v>
      </c>
      <c r="C2" t="s">
        <v>12</v>
      </c>
    </row>
    <row r="3" spans="1:8">
      <c r="A3" t="s">
        <v>54</v>
      </c>
      <c r="B3" s="3">
        <v>0.08</v>
      </c>
      <c r="C3" s="3">
        <v>0.15</v>
      </c>
    </row>
    <row r="4" spans="1:8">
      <c r="A4" t="s">
        <v>55</v>
      </c>
      <c r="B4" s="3">
        <v>0.04</v>
      </c>
      <c r="C4" s="3">
        <v>7.0000000000000007E-2</v>
      </c>
      <c r="E4" t="s">
        <v>43</v>
      </c>
      <c r="F4" s="33">
        <f>C4/C3</f>
        <v>0.46666666666666673</v>
      </c>
    </row>
    <row r="5" spans="1:8">
      <c r="B5" s="3"/>
      <c r="C5" s="3"/>
      <c r="F5" s="33"/>
    </row>
    <row r="6" spans="1:8">
      <c r="A6" t="s">
        <v>58</v>
      </c>
      <c r="B6" s="3"/>
      <c r="C6" s="3"/>
      <c r="F6" s="33"/>
    </row>
    <row r="7" spans="1:8" ht="15">
      <c r="A7" s="4"/>
      <c r="B7" s="36" t="str">
        <f>A3</f>
        <v>Efficient a</v>
      </c>
      <c r="C7" s="36" t="str">
        <f>A4</f>
        <v>Efficient b (MVP)</v>
      </c>
      <c r="F7" s="33"/>
    </row>
    <row r="8" spans="1:8" ht="15">
      <c r="A8" s="4" t="str">
        <f>A3</f>
        <v>Efficient a</v>
      </c>
      <c r="B8" s="35">
        <f>C3^2</f>
        <v>2.2499999999999999E-2</v>
      </c>
      <c r="C8" s="35">
        <f>C3*C4*F4</f>
        <v>4.9000000000000007E-3</v>
      </c>
      <c r="F8" s="33"/>
    </row>
    <row r="9" spans="1:8" ht="15">
      <c r="A9" s="4" t="str">
        <f>A4</f>
        <v>Efficient b (MVP)</v>
      </c>
      <c r="B9" s="35">
        <f>C8</f>
        <v>4.9000000000000007E-3</v>
      </c>
      <c r="C9" s="35">
        <f>C4^2</f>
        <v>4.9000000000000007E-3</v>
      </c>
      <c r="F9" s="33"/>
    </row>
    <row r="10" spans="1:8">
      <c r="B10" s="3"/>
      <c r="C10" s="3"/>
      <c r="F10" s="33"/>
    </row>
    <row r="11" spans="1:8">
      <c r="A11" t="s">
        <v>61</v>
      </c>
      <c r="B11" s="3">
        <v>0.01</v>
      </c>
      <c r="C11" s="3">
        <v>0</v>
      </c>
      <c r="F11" t="s">
        <v>62</v>
      </c>
      <c r="G11" s="33">
        <v>2.5000000000000001E-2</v>
      </c>
      <c r="H11" s="3">
        <v>0</v>
      </c>
    </row>
    <row r="13" spans="1:8">
      <c r="B13" s="3" t="s">
        <v>59</v>
      </c>
      <c r="C13" s="3" t="s">
        <v>60</v>
      </c>
      <c r="G13" s="3" t="s">
        <v>59</v>
      </c>
      <c r="H13" s="3" t="s">
        <v>60</v>
      </c>
    </row>
    <row r="14" spans="1:8" ht="15">
      <c r="A14" s="4" t="str">
        <f>A8</f>
        <v>Efficient a</v>
      </c>
      <c r="B14" s="34">
        <f t="array" ref="B14:B15">MMULT(MINVERSE(B8:C9),B3:B4-B11)</f>
        <v>2.2727272727272734</v>
      </c>
      <c r="C14" s="3">
        <f>B14/SUM($B$14:$B$15)</f>
        <v>0.37121212121212138</v>
      </c>
      <c r="F14" s="4" t="str">
        <f>A8</f>
        <v>Efficient a</v>
      </c>
      <c r="G14" s="34">
        <f t="array" ref="G14:G15">MMULT(MINVERSE(B8:C9),B3:B4-G11)</f>
        <v>2.2727272727272729</v>
      </c>
      <c r="H14" s="3">
        <f>G14/SUM($G$14:$G$15)</f>
        <v>0.74242424242424265</v>
      </c>
    </row>
    <row r="15" spans="1:8" ht="15">
      <c r="A15" s="4" t="str">
        <f>A9</f>
        <v>Efficient b (MVP)</v>
      </c>
      <c r="B15" s="34">
        <v>3.8497217068645622</v>
      </c>
      <c r="C15" s="3">
        <f>B15/SUM($B$14:$B$15)</f>
        <v>0.62878787878787856</v>
      </c>
      <c r="F15" s="4" t="str">
        <f>A9</f>
        <v>Efficient b (MVP)</v>
      </c>
      <c r="G15" s="34">
        <v>0.78849721706864484</v>
      </c>
      <c r="H15" s="3">
        <f>G15/SUM($G$14:$G$15)</f>
        <v>0.25757575757575735</v>
      </c>
    </row>
    <row r="16" spans="1:8" ht="15">
      <c r="A16" s="4"/>
      <c r="B16" s="34"/>
      <c r="C16" s="3"/>
      <c r="F16" s="4"/>
      <c r="G16" s="34"/>
      <c r="H16" s="3"/>
    </row>
    <row r="17" spans="1:9">
      <c r="B17" t="s">
        <v>41</v>
      </c>
      <c r="C17" t="s">
        <v>12</v>
      </c>
      <c r="G17" t="s">
        <v>41</v>
      </c>
      <c r="H17" t="s">
        <v>12</v>
      </c>
    </row>
    <row r="18" spans="1:9">
      <c r="A18" t="s">
        <v>63</v>
      </c>
      <c r="B18" s="33">
        <f>D18*$B$3+(1-D18)*$B$4</f>
        <v>5.4848484848484855E-2</v>
      </c>
      <c r="C18" s="33">
        <f>SQRT(D18^2*$C$3^2+(1-D18)^2*$C$4^2+2*D18*(1-D18)*$C$3*$C$4*$F$4)</f>
        <v>8.5587689098681294E-2</v>
      </c>
      <c r="D18" s="3">
        <f>C14</f>
        <v>0.37121212121212138</v>
      </c>
      <c r="F18" t="s">
        <v>64</v>
      </c>
      <c r="G18" s="33">
        <f>I18*$B$3+(1-I18)*$B$4</f>
        <v>6.9696969696969716E-2</v>
      </c>
      <c r="H18" s="33">
        <f>SQRT(I18^2*$C$3^2+(1-I18)^2*$C$4^2+2*I18*(1-I18)*$C$3*$C$4*$F$4)</f>
        <v>0.12083463949137312</v>
      </c>
      <c r="I18" s="3">
        <f>H14</f>
        <v>0.74242424242424265</v>
      </c>
    </row>
    <row r="19" spans="1:9">
      <c r="A19" t="s">
        <v>65</v>
      </c>
      <c r="B19" s="33">
        <f>D19*$B$3+(1-D19)*$B$4</f>
        <v>1.0000000000000009E-2</v>
      </c>
      <c r="C19" s="33">
        <f>SQRT(D19^2*$C$3^2+(1-D19)^2*$C$4^2+2*D19*(1-D19)*$C$3*$C$4*$F$4)</f>
        <v>0.12165525060596438</v>
      </c>
      <c r="D19" s="3">
        <f>(B11-$B$4)/($B$3-$B$4)</f>
        <v>-0.75</v>
      </c>
      <c r="F19" t="s">
        <v>66</v>
      </c>
      <c r="G19" s="33">
        <f>I19*$B$3+(1-I19)*$B$4</f>
        <v>2.5000000000000001E-2</v>
      </c>
      <c r="H19" s="33">
        <f>SQRT(I19^2*$C$3^2+(1-I19)^2*$C$4^2+2*I19*(1-I19)*$C$3*$C$4*$F$4)</f>
        <v>8.5877820186588349E-2</v>
      </c>
      <c r="I19" s="3">
        <f>(G11-$B$4)/($B$3-$B$4)</f>
        <v>-0.375</v>
      </c>
    </row>
    <row r="20" spans="1:9">
      <c r="B20" s="33"/>
      <c r="C20" s="33"/>
      <c r="D20" s="3"/>
    </row>
    <row r="21" spans="1:9" ht="15">
      <c r="A21" s="4" t="s">
        <v>123</v>
      </c>
      <c r="D21" s="3"/>
      <c r="E21" s="4" t="s">
        <v>124</v>
      </c>
    </row>
    <row r="22" spans="1:9">
      <c r="A22" t="s">
        <v>56</v>
      </c>
      <c r="B22" s="33" t="s">
        <v>12</v>
      </c>
      <c r="C22" s="33" t="s">
        <v>41</v>
      </c>
      <c r="E22" t="s">
        <v>56</v>
      </c>
      <c r="F22" s="33" t="s">
        <v>12</v>
      </c>
      <c r="G22" s="33" t="s">
        <v>41</v>
      </c>
    </row>
    <row r="23" spans="1:9">
      <c r="A23" s="3">
        <v>0</v>
      </c>
      <c r="B23" s="33">
        <f>A23*$C$18</f>
        <v>0</v>
      </c>
      <c r="C23" s="33">
        <f>A23*$B$18+(1-A23)*$B$11</f>
        <v>0.01</v>
      </c>
      <c r="E23" s="3">
        <v>0</v>
      </c>
      <c r="F23" s="33">
        <f>E23*$H$18</f>
        <v>0</v>
      </c>
      <c r="G23" s="33">
        <f>E23*$G$18+(1-E23)*$G$11</f>
        <v>2.5000000000000001E-2</v>
      </c>
    </row>
    <row r="24" spans="1:9">
      <c r="A24" s="3">
        <v>1.7</v>
      </c>
      <c r="B24" s="33">
        <f>A24*$C$18</f>
        <v>0.1454990714677582</v>
      </c>
      <c r="C24" s="33">
        <f>A24*$B$18+(1-A24)*$B$11</f>
        <v>8.6242424242424259E-2</v>
      </c>
      <c r="E24" s="3">
        <v>1.5</v>
      </c>
      <c r="F24" s="33">
        <f>E24*$H$18</f>
        <v>0.18125195923705967</v>
      </c>
      <c r="G24" s="33">
        <f>E24*$G$18+(1-E24)*$G$11</f>
        <v>9.2045454545454583E-2</v>
      </c>
    </row>
    <row r="26" spans="1:9" ht="15">
      <c r="A26" s="4" t="s">
        <v>125</v>
      </c>
      <c r="D26" s="3"/>
      <c r="E26" s="4" t="s">
        <v>126</v>
      </c>
    </row>
    <row r="27" spans="1:9">
      <c r="A27" t="s">
        <v>56</v>
      </c>
      <c r="B27" s="33" t="s">
        <v>12</v>
      </c>
      <c r="C27" s="33" t="s">
        <v>41</v>
      </c>
      <c r="E27" t="s">
        <v>56</v>
      </c>
      <c r="F27" s="33" t="s">
        <v>12</v>
      </c>
      <c r="G27" s="33" t="s">
        <v>41</v>
      </c>
    </row>
    <row r="28" spans="1:9">
      <c r="A28" s="3">
        <v>0</v>
      </c>
      <c r="B28" s="33">
        <f>A28*$C$19</f>
        <v>0</v>
      </c>
      <c r="C28" s="33">
        <f>A28*$B$19+(1-A28)*$B$11</f>
        <v>0.01</v>
      </c>
      <c r="E28" s="3">
        <v>0</v>
      </c>
      <c r="F28" s="33">
        <f>E28*$H$19</f>
        <v>0</v>
      </c>
      <c r="G28" s="33">
        <f>E28*$G$19+(1-E28)*$G$11</f>
        <v>2.5000000000000001E-2</v>
      </c>
    </row>
    <row r="29" spans="1:9">
      <c r="A29" s="3">
        <v>1</v>
      </c>
      <c r="B29" s="33">
        <f>A29*$C$19</f>
        <v>0.12165525060596438</v>
      </c>
      <c r="C29" s="33">
        <f>A29*$B$19+(1-A29)*$B$11</f>
        <v>1.0000000000000009E-2</v>
      </c>
      <c r="E29" s="3">
        <v>1</v>
      </c>
      <c r="F29" s="33">
        <f>E29*$H$19</f>
        <v>8.5877820186588349E-2</v>
      </c>
      <c r="G29" s="33">
        <f>E29*$G$19+(1-E29)*$G$11</f>
        <v>2.5000000000000001E-2</v>
      </c>
    </row>
    <row r="30" spans="1:9">
      <c r="A30" s="3"/>
      <c r="B30" s="33"/>
      <c r="C30" s="33"/>
      <c r="E30" s="3"/>
      <c r="F30" s="33"/>
      <c r="G30" s="33"/>
    </row>
    <row r="31" spans="1:9" ht="15">
      <c r="A31" s="4" t="s">
        <v>50</v>
      </c>
      <c r="B31" s="4"/>
      <c r="C31" s="4"/>
      <c r="D31" s="4"/>
      <c r="E31" s="4" t="s">
        <v>51</v>
      </c>
    </row>
    <row r="32" spans="1:9">
      <c r="A32" t="s">
        <v>47</v>
      </c>
      <c r="B32" s="3">
        <v>0.08</v>
      </c>
      <c r="E32" t="s">
        <v>47</v>
      </c>
      <c r="F32" s="3">
        <v>-0.05</v>
      </c>
    </row>
    <row r="33" spans="1:7">
      <c r="A33" t="s">
        <v>44</v>
      </c>
      <c r="B33" t="s">
        <v>46</v>
      </c>
      <c r="C33" t="s">
        <v>45</v>
      </c>
      <c r="E33" t="s">
        <v>44</v>
      </c>
      <c r="F33" t="s">
        <v>46</v>
      </c>
      <c r="G33" t="s">
        <v>45</v>
      </c>
    </row>
    <row r="34" spans="1:7">
      <c r="A34" s="3">
        <v>0</v>
      </c>
      <c r="B34" s="3">
        <f t="shared" ref="B34:B50" si="0">SQRT(A34^2*$C$3^2+(1-A34)^2*$C$4^2+2*A34*(1-A34)*$C$3*$C$4*$F$4)</f>
        <v>7.0000000000000007E-2</v>
      </c>
      <c r="C34" s="9">
        <f t="shared" ref="C34:C50" si="1">A34*$B$3+(1-A34)*$B$4</f>
        <v>0.04</v>
      </c>
      <c r="E34" s="3">
        <v>0</v>
      </c>
      <c r="F34" s="3">
        <f>SQRT(E34^2*$C$3^2+(1-E34)^2*$C$4^2+2*E34*(1-E34)*$C$3*$C$4*$F$4)</f>
        <v>7.0000000000000007E-2</v>
      </c>
      <c r="G34" s="9">
        <f>E34*$B$3+(1-E34)*$B$4</f>
        <v>0.04</v>
      </c>
    </row>
    <row r="35" spans="1:7">
      <c r="A35" s="3">
        <f>A34+$B$32</f>
        <v>0.08</v>
      </c>
      <c r="B35" s="3">
        <f t="shared" si="0"/>
        <v>7.0800000000000016E-2</v>
      </c>
      <c r="C35" s="9">
        <f t="shared" si="1"/>
        <v>4.3200000000000002E-2</v>
      </c>
      <c r="E35" s="3">
        <f>E34+$F$32</f>
        <v>-0.05</v>
      </c>
      <c r="F35" s="3">
        <f t="shared" ref="F35:F50" si="2">SQRT(E35^2*$C$3^2+(1-E35)^2*$C$4^2+2*E35*(1-E35)*$C$3*$C$4*$F$4)</f>
        <v>7.0313583324987786E-2</v>
      </c>
      <c r="G35" s="9">
        <f t="shared" ref="G35:G50" si="3">E35*$B$3+(1-E35)*$B$4</f>
        <v>3.8000000000000006E-2</v>
      </c>
    </row>
    <row r="36" spans="1:7">
      <c r="A36" s="3">
        <f t="shared" ref="A36:A50" si="4">A35+$B$32</f>
        <v>0.16</v>
      </c>
      <c r="B36" s="3">
        <f t="shared" si="0"/>
        <v>7.3147522172661461E-2</v>
      </c>
      <c r="C36" s="9">
        <f t="shared" si="1"/>
        <v>4.6399999999999997E-2</v>
      </c>
      <c r="E36" s="3">
        <f t="shared" ref="E36:E50" si="5">E35+$F$32</f>
        <v>-0.1</v>
      </c>
      <c r="F36" s="3">
        <f t="shared" si="2"/>
        <v>7.1246052522227515E-2</v>
      </c>
      <c r="G36" s="9">
        <f t="shared" si="3"/>
        <v>3.6000000000000004E-2</v>
      </c>
    </row>
    <row r="37" spans="1:7">
      <c r="A37" s="3">
        <f t="shared" si="4"/>
        <v>0.24</v>
      </c>
      <c r="B37" s="3">
        <f t="shared" si="0"/>
        <v>7.6900975286403231E-2</v>
      </c>
      <c r="C37" s="9">
        <f t="shared" si="1"/>
        <v>4.9599999999999998E-2</v>
      </c>
      <c r="E37" s="3">
        <f t="shared" si="5"/>
        <v>-0.15000000000000002</v>
      </c>
      <c r="F37" s="3">
        <f t="shared" si="2"/>
        <v>7.2773621594641E-2</v>
      </c>
      <c r="G37" s="9">
        <f t="shared" si="3"/>
        <v>3.3999999999999996E-2</v>
      </c>
    </row>
    <row r="38" spans="1:7">
      <c r="A38" s="3">
        <f t="shared" si="4"/>
        <v>0.32</v>
      </c>
      <c r="B38" s="3">
        <f t="shared" si="0"/>
        <v>8.1867209553031672E-2</v>
      </c>
      <c r="C38" s="9">
        <f t="shared" si="1"/>
        <v>5.28E-2</v>
      </c>
      <c r="E38" s="3">
        <f t="shared" si="5"/>
        <v>-0.2</v>
      </c>
      <c r="F38" s="3">
        <f t="shared" si="2"/>
        <v>7.4859869088851616E-2</v>
      </c>
      <c r="G38" s="9">
        <f t="shared" si="3"/>
        <v>3.2000000000000001E-2</v>
      </c>
    </row>
    <row r="39" spans="1:7">
      <c r="A39" s="3">
        <f t="shared" si="4"/>
        <v>0.4</v>
      </c>
      <c r="B39" s="3">
        <f t="shared" si="0"/>
        <v>8.7840765023991005E-2</v>
      </c>
      <c r="C39" s="9">
        <f t="shared" si="1"/>
        <v>5.6000000000000001E-2</v>
      </c>
      <c r="E39" s="3">
        <f t="shared" si="5"/>
        <v>-0.25</v>
      </c>
      <c r="F39" s="3">
        <f t="shared" si="2"/>
        <v>7.7459666924148338E-2</v>
      </c>
      <c r="G39" s="9">
        <f t="shared" si="3"/>
        <v>3.0000000000000002E-2</v>
      </c>
    </row>
    <row r="40" spans="1:7">
      <c r="A40" s="3">
        <f t="shared" si="4"/>
        <v>0.48000000000000004</v>
      </c>
      <c r="B40" s="3">
        <f t="shared" si="0"/>
        <v>9.4631073120830675E-2</v>
      </c>
      <c r="C40" s="9">
        <f t="shared" si="1"/>
        <v>5.9200000000000003E-2</v>
      </c>
      <c r="E40" s="3">
        <f t="shared" si="5"/>
        <v>-0.3</v>
      </c>
      <c r="F40" s="3">
        <f t="shared" si="2"/>
        <v>8.0523288556789599E-2</v>
      </c>
      <c r="G40" s="9">
        <f t="shared" si="3"/>
        <v>2.8000000000000004E-2</v>
      </c>
    </row>
    <row r="41" spans="1:7">
      <c r="A41" s="3">
        <f t="shared" si="4"/>
        <v>0.56000000000000005</v>
      </c>
      <c r="B41" s="3">
        <f t="shared" si="0"/>
        <v>0.10207526634792584</v>
      </c>
      <c r="C41" s="9">
        <f t="shared" si="1"/>
        <v>6.2400000000000004E-2</v>
      </c>
      <c r="E41" s="3">
        <f t="shared" si="5"/>
        <v>-0.35</v>
      </c>
      <c r="F41" s="3">
        <f t="shared" si="2"/>
        <v>8.4000000000000005E-2</v>
      </c>
      <c r="G41" s="9">
        <f t="shared" si="3"/>
        <v>2.6000000000000009E-2</v>
      </c>
    </row>
    <row r="42" spans="1:7">
      <c r="A42" s="3">
        <f t="shared" si="4"/>
        <v>0.64</v>
      </c>
      <c r="B42" s="3">
        <f t="shared" si="0"/>
        <v>0.11004071973592321</v>
      </c>
      <c r="C42" s="9">
        <f t="shared" si="1"/>
        <v>6.5600000000000006E-2</v>
      </c>
      <c r="E42" s="3">
        <f t="shared" si="5"/>
        <v>-0.39999999999999997</v>
      </c>
      <c r="F42" s="3">
        <f t="shared" si="2"/>
        <v>8.7840765023990991E-2</v>
      </c>
      <c r="G42" s="9">
        <f t="shared" si="3"/>
        <v>2.3999999999999994E-2</v>
      </c>
    </row>
    <row r="43" spans="1:7">
      <c r="A43" s="3">
        <f t="shared" si="4"/>
        <v>0.72</v>
      </c>
      <c r="B43" s="3">
        <f t="shared" si="0"/>
        <v>0.11842229519815936</v>
      </c>
      <c r="C43" s="9">
        <f t="shared" si="1"/>
        <v>6.88E-2</v>
      </c>
      <c r="E43" s="3">
        <f t="shared" si="5"/>
        <v>-0.44999999999999996</v>
      </c>
      <c r="F43" s="3">
        <f t="shared" si="2"/>
        <v>9.1999999999999998E-2</v>
      </c>
      <c r="G43" s="9">
        <f t="shared" si="3"/>
        <v>2.1999999999999999E-2</v>
      </c>
    </row>
    <row r="44" spans="1:7">
      <c r="A44" s="3">
        <f t="shared" si="4"/>
        <v>0.79999999999999993</v>
      </c>
      <c r="B44" s="3">
        <f t="shared" si="0"/>
        <v>0.12713772060250253</v>
      </c>
      <c r="C44" s="9">
        <f t="shared" si="1"/>
        <v>7.2000000000000008E-2</v>
      </c>
      <c r="E44" s="3">
        <f t="shared" si="5"/>
        <v>-0.49999999999999994</v>
      </c>
      <c r="F44" s="3">
        <f t="shared" si="2"/>
        <v>9.643650760992957E-2</v>
      </c>
      <c r="G44" s="9">
        <f t="shared" si="3"/>
        <v>2.0000000000000004E-2</v>
      </c>
    </row>
    <row r="45" spans="1:7">
      <c r="A45" s="3">
        <f t="shared" si="4"/>
        <v>0.87999999999999989</v>
      </c>
      <c r="B45" s="3">
        <f t="shared" si="0"/>
        <v>0.13612288565851077</v>
      </c>
      <c r="C45" s="9">
        <f t="shared" si="1"/>
        <v>7.5199999999999989E-2</v>
      </c>
      <c r="E45" s="3">
        <f t="shared" si="5"/>
        <v>-0.54999999999999993</v>
      </c>
      <c r="F45" s="3">
        <f t="shared" si="2"/>
        <v>0.1011137972781163</v>
      </c>
      <c r="G45" s="9">
        <f t="shared" si="3"/>
        <v>1.7999999999999995E-2</v>
      </c>
    </row>
    <row r="46" spans="1:7">
      <c r="A46" s="3">
        <f t="shared" si="4"/>
        <v>0.95999999999999985</v>
      </c>
      <c r="B46" s="3">
        <f t="shared" si="0"/>
        <v>0.14532776747751958</v>
      </c>
      <c r="C46" s="9">
        <f t="shared" si="1"/>
        <v>7.8399999999999997E-2</v>
      </c>
      <c r="E46" s="3">
        <f t="shared" si="5"/>
        <v>-0.6</v>
      </c>
      <c r="F46" s="3">
        <f t="shared" si="2"/>
        <v>0.10600000000000001</v>
      </c>
      <c r="G46" s="9">
        <f t="shared" si="3"/>
        <v>1.6E-2</v>
      </c>
    </row>
    <row r="47" spans="1:7">
      <c r="A47" s="3">
        <f t="shared" si="4"/>
        <v>1.0399999999999998</v>
      </c>
      <c r="B47" s="3">
        <f t="shared" si="0"/>
        <v>0.1547131539333356</v>
      </c>
      <c r="C47" s="9">
        <f t="shared" si="1"/>
        <v>8.1599999999999992E-2</v>
      </c>
      <c r="E47" s="3">
        <f t="shared" si="5"/>
        <v>-0.65</v>
      </c>
      <c r="F47" s="3">
        <f t="shared" si="2"/>
        <v>0.11106754701531855</v>
      </c>
      <c r="G47" s="9">
        <f t="shared" si="3"/>
        <v>1.3999999999999999E-2</v>
      </c>
    </row>
    <row r="48" spans="1:7">
      <c r="A48" s="3">
        <f t="shared" si="4"/>
        <v>1.1199999999999999</v>
      </c>
      <c r="B48" s="3">
        <f t="shared" si="0"/>
        <v>0.1642481050118996</v>
      </c>
      <c r="C48" s="9">
        <f t="shared" si="1"/>
        <v>8.48E-2</v>
      </c>
      <c r="E48" s="3">
        <f t="shared" si="5"/>
        <v>-0.70000000000000007</v>
      </c>
      <c r="F48" s="3">
        <f t="shared" si="2"/>
        <v>0.11629273408085306</v>
      </c>
      <c r="G48" s="9">
        <f t="shared" si="3"/>
        <v>1.1999999999999997E-2</v>
      </c>
    </row>
    <row r="49" spans="1:7">
      <c r="A49" s="3">
        <f t="shared" si="4"/>
        <v>1.2</v>
      </c>
      <c r="B49" s="3">
        <f t="shared" si="0"/>
        <v>0.17390802166662697</v>
      </c>
      <c r="C49" s="9">
        <f t="shared" si="1"/>
        <v>8.8000000000000009E-2</v>
      </c>
      <c r="E49" s="3">
        <f t="shared" si="5"/>
        <v>-0.75000000000000011</v>
      </c>
      <c r="F49" s="3">
        <f t="shared" si="2"/>
        <v>0.1216552506059644</v>
      </c>
      <c r="G49" s="9">
        <f t="shared" si="3"/>
        <v>9.999999999999995E-3</v>
      </c>
    </row>
    <row r="50" spans="1:7">
      <c r="A50" s="3">
        <f t="shared" si="4"/>
        <v>1.28</v>
      </c>
      <c r="B50" s="3">
        <f t="shared" si="0"/>
        <v>0.18367318802699539</v>
      </c>
      <c r="C50" s="9">
        <f t="shared" si="1"/>
        <v>9.1200000000000003E-2</v>
      </c>
      <c r="E50" s="3">
        <f t="shared" si="5"/>
        <v>-0.80000000000000016</v>
      </c>
      <c r="F50" s="3">
        <f t="shared" si="2"/>
        <v>0.12713772060250256</v>
      </c>
      <c r="G50" s="9">
        <f t="shared" si="3"/>
        <v>7.9999999999999932E-3</v>
      </c>
    </row>
  </sheetData>
  <mergeCells count="1">
    <mergeCell ref="A1:G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0"/>
  <sheetViews>
    <sheetView topLeftCell="A7" workbookViewId="0">
      <selection activeCell="B23" sqref="B23"/>
    </sheetView>
  </sheetViews>
  <sheetFormatPr defaultRowHeight="14.25"/>
  <cols>
    <col min="1" max="1" width="13.25" customWidth="1"/>
    <col min="2" max="5" width="9.25" customWidth="1"/>
    <col min="6" max="6" width="8" bestFit="1" customWidth="1"/>
    <col min="7" max="7" width="11.375" customWidth="1"/>
    <col min="8" max="8" width="17.75" bestFit="1" customWidth="1"/>
    <col min="9" max="9" width="17.25" customWidth="1"/>
    <col min="12" max="12" width="11.75" customWidth="1"/>
  </cols>
  <sheetData>
    <row r="1" spans="1:14" ht="18">
      <c r="A1" s="90" t="s">
        <v>77</v>
      </c>
      <c r="B1" s="90"/>
      <c r="C1" s="90"/>
      <c r="D1" s="90"/>
      <c r="E1" s="90"/>
      <c r="F1" s="90"/>
      <c r="G1" s="90"/>
      <c r="H1" s="12"/>
      <c r="I1" s="12"/>
    </row>
    <row r="2" spans="1:14" ht="14.65" customHeight="1">
      <c r="A2" s="8" t="s">
        <v>67</v>
      </c>
      <c r="C2" s="8"/>
      <c r="D2" s="8"/>
      <c r="E2" s="8"/>
      <c r="F2" s="41"/>
      <c r="G2" s="97" t="s">
        <v>0</v>
      </c>
      <c r="H2" s="2"/>
      <c r="I2" s="2"/>
      <c r="J2" s="2"/>
      <c r="K2" s="2"/>
      <c r="M2" s="3"/>
    </row>
    <row r="3" spans="1:14" ht="15">
      <c r="B3" s="31" t="s">
        <v>26</v>
      </c>
      <c r="C3" s="31" t="s">
        <v>27</v>
      </c>
      <c r="D3" s="31" t="s">
        <v>28</v>
      </c>
      <c r="E3" s="31" t="s">
        <v>29</v>
      </c>
      <c r="F3" s="41"/>
      <c r="G3" s="97"/>
      <c r="H3" s="2"/>
      <c r="I3" s="2" t="s">
        <v>12</v>
      </c>
      <c r="J3" s="2"/>
      <c r="K3" s="2"/>
      <c r="M3" s="3"/>
    </row>
    <row r="4" spans="1:14" ht="15">
      <c r="A4" s="31" t="s">
        <v>26</v>
      </c>
      <c r="B4" s="42">
        <v>0.1</v>
      </c>
      <c r="C4" s="42">
        <v>0.01</v>
      </c>
      <c r="D4" s="42">
        <v>0.03</v>
      </c>
      <c r="E4" s="42">
        <v>0.05</v>
      </c>
      <c r="F4" s="41"/>
      <c r="G4" s="43">
        <v>0.06</v>
      </c>
      <c r="H4" s="2"/>
      <c r="I4" s="2">
        <f>SQRT(B4)</f>
        <v>0.31622776601683794</v>
      </c>
      <c r="J4" s="2"/>
      <c r="K4" s="2"/>
      <c r="L4" s="2"/>
      <c r="M4" s="2"/>
      <c r="N4" s="2"/>
    </row>
    <row r="5" spans="1:14" ht="15">
      <c r="A5" s="31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 s="41"/>
      <c r="G5" s="43">
        <v>0.08</v>
      </c>
      <c r="H5" s="2"/>
      <c r="I5" s="2">
        <f>SQRT(C5)</f>
        <v>0.54772255750516607</v>
      </c>
      <c r="J5" s="2"/>
      <c r="K5" s="2"/>
      <c r="L5" s="2"/>
      <c r="M5" s="2"/>
    </row>
    <row r="6" spans="1:14" ht="15">
      <c r="A6" s="31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 s="41"/>
      <c r="G6" s="43">
        <v>0.1</v>
      </c>
      <c r="H6" s="2"/>
      <c r="I6" s="2">
        <f>SQRT(D6)</f>
        <v>0.63245553203367588</v>
      </c>
      <c r="J6" s="2"/>
      <c r="K6" s="2"/>
      <c r="L6" s="2"/>
    </row>
    <row r="7" spans="1:14" ht="15">
      <c r="A7" s="31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 s="41"/>
      <c r="G7" s="43">
        <v>0.15</v>
      </c>
      <c r="H7" s="2"/>
      <c r="I7" s="2">
        <f>SQRT(E7)</f>
        <v>0.70710678118654757</v>
      </c>
      <c r="J7" s="2"/>
      <c r="K7" s="2"/>
    </row>
    <row r="9" spans="1:14" ht="15">
      <c r="A9" s="4" t="s">
        <v>2</v>
      </c>
    </row>
    <row r="10" spans="1:14" ht="30">
      <c r="B10" s="7" t="s">
        <v>3</v>
      </c>
      <c r="C10" s="8"/>
      <c r="D10" s="8"/>
      <c r="E10" s="8"/>
      <c r="F10" s="8"/>
      <c r="G10" s="7" t="s">
        <v>68</v>
      </c>
    </row>
    <row r="11" spans="1:14" ht="15">
      <c r="A11" s="31" t="s">
        <v>26</v>
      </c>
      <c r="B11" s="6">
        <f t="array" ref="B11:B14">MMULT(MINVERSE(B4:E7),G4:G7-0)</f>
        <v>0.38610628324643165</v>
      </c>
      <c r="C11" s="46" t="str">
        <f ca="1">"&lt;--"&amp;_xlfn.FORMULATEXT(B11)</f>
        <v>&lt;--{=MMULT(MINVERSE(B4:E7),G4:G7-0)}</v>
      </c>
      <c r="G11" s="6">
        <f>B11/$B$15</f>
        <v>0.35527263160809713</v>
      </c>
      <c r="H11" t="str">
        <f ca="1">"&lt;--"&amp;_xlfn.FORMULATEXT(G11)</f>
        <v>&lt;--=B11/$B$15</v>
      </c>
    </row>
    <row r="12" spans="1:14" ht="15">
      <c r="A12" s="31" t="s">
        <v>27</v>
      </c>
      <c r="B12" s="6">
        <v>0.25673204974832409</v>
      </c>
      <c r="G12" s="6">
        <f t="shared" ref="G12:G14" si="0">B12/$B$15</f>
        <v>0.23622995763063889</v>
      </c>
    </row>
    <row r="13" spans="1:14" ht="15">
      <c r="A13" s="31" t="s">
        <v>28</v>
      </c>
      <c r="B13" s="6">
        <v>0.16877337125401595</v>
      </c>
      <c r="G13" s="6">
        <f t="shared" si="0"/>
        <v>0.15529547783223951</v>
      </c>
    </row>
    <row r="14" spans="1:14" ht="15">
      <c r="A14" s="31" t="s">
        <v>29</v>
      </c>
      <c r="B14" s="6">
        <v>0.27517700080506213</v>
      </c>
      <c r="G14" s="6">
        <f t="shared" si="0"/>
        <v>0.25320193292902443</v>
      </c>
    </row>
    <row r="15" spans="1:14" ht="15">
      <c r="A15" s="4" t="s">
        <v>4</v>
      </c>
      <c r="B15" s="45">
        <f>SUM(B11:B14)</f>
        <v>1.0867887050538338</v>
      </c>
      <c r="C15" t="str">
        <f ca="1">"&lt;--"&amp;_xlfn.FORMULATEXT(B15)</f>
        <v>&lt;--=SUM(B11:B14)</v>
      </c>
      <c r="F15" s="4" t="s">
        <v>4</v>
      </c>
      <c r="G15" s="45">
        <f>SUM(G11:G14)</f>
        <v>1</v>
      </c>
      <c r="H15" t="str">
        <f ca="1">"&lt;--"&amp;_xlfn.FORMULATEXT(G15)</f>
        <v>&lt;--=SUM(G11:G14)</v>
      </c>
    </row>
    <row r="16" spans="1:14" ht="15">
      <c r="F16" s="4"/>
      <c r="G16" s="4"/>
    </row>
    <row r="17" spans="1:8" ht="15">
      <c r="A17" s="4" t="str">
        <f>"Computing an envelope portfolio with constant = "&amp;TEXT(B18,"0.00%")</f>
        <v>Computing an envelope portfolio with constant = 4.00%</v>
      </c>
    </row>
    <row r="18" spans="1:8">
      <c r="A18" t="s">
        <v>1</v>
      </c>
      <c r="B18" s="9">
        <v>0.04</v>
      </c>
    </row>
    <row r="19" spans="1:8" ht="30.75" thickBot="1">
      <c r="B19" s="7" t="s">
        <v>3</v>
      </c>
      <c r="C19" s="8"/>
      <c r="D19" s="8"/>
      <c r="E19" s="8"/>
      <c r="F19" s="8"/>
      <c r="G19" s="7" t="s">
        <v>69</v>
      </c>
    </row>
    <row r="20" spans="1:8" ht="14.65" customHeight="1">
      <c r="A20" s="31" t="s">
        <v>26</v>
      </c>
      <c r="B20" s="6">
        <f t="array" ref="B20:B23">MMULT(MINVERSE(B4:E7),G4:G7-B18)</f>
        <v>4.0396060462421612E-2</v>
      </c>
      <c r="C20" s="47"/>
      <c r="D20" s="91" t="str">
        <f ca="1">_xlfn.FORMULATEXT(B20)</f>
        <v>{=MMULT(MINVERSE(B4:E7),G4:G7-B18)}</v>
      </c>
      <c r="E20" s="92"/>
      <c r="G20" s="6">
        <f>B20/$B$24</f>
        <v>7.8206024587775952E-2</v>
      </c>
      <c r="H20" t="str">
        <f ca="1">"&lt;--"&amp;_xlfn.FORMULATEXT(G20)</f>
        <v>&lt;--=B20/$B$24</v>
      </c>
    </row>
    <row r="21" spans="1:8" ht="15">
      <c r="A21" s="31" t="s">
        <v>27</v>
      </c>
      <c r="B21" s="6">
        <v>0.13863620973748958</v>
      </c>
      <c r="C21" s="47"/>
      <c r="D21" s="93"/>
      <c r="E21" s="94"/>
      <c r="G21" s="6">
        <f t="shared" ref="G21:G23" si="1">B21/$B$24</f>
        <v>0.2683971333682923</v>
      </c>
    </row>
    <row r="22" spans="1:8" ht="15.75" thickBot="1">
      <c r="A22" s="31" t="s">
        <v>28</v>
      </c>
      <c r="B22" s="6">
        <v>0.11505240427661033</v>
      </c>
      <c r="C22" s="47"/>
      <c r="D22" s="95"/>
      <c r="E22" s="96"/>
      <c r="G22" s="6">
        <f t="shared" si="1"/>
        <v>0.22273932296218615</v>
      </c>
    </row>
    <row r="23" spans="1:8" ht="15">
      <c r="A23" s="31" t="s">
        <v>29</v>
      </c>
      <c r="B23" s="6">
        <v>0.22244919456169257</v>
      </c>
      <c r="G23" s="6">
        <f t="shared" si="1"/>
        <v>0.4306575190817456</v>
      </c>
    </row>
    <row r="24" spans="1:8" ht="15">
      <c r="A24" s="4" t="s">
        <v>4</v>
      </c>
      <c r="B24" s="45">
        <f>SUM(B20:B23)</f>
        <v>0.51653386903821408</v>
      </c>
      <c r="C24" t="str">
        <f ca="1">"&lt;--"&amp;_xlfn.FORMULATEXT(B24)</f>
        <v>&lt;--=SUM(B20:B23)</v>
      </c>
      <c r="F24" s="4" t="s">
        <v>4</v>
      </c>
      <c r="G24" s="45">
        <f>SUM(G20:G23)</f>
        <v>1</v>
      </c>
      <c r="H24" t="str">
        <f ca="1">"&lt;--"&amp;_xlfn.FORMULATEXT(G24)</f>
        <v>&lt;--=SUM(G20:G23)</v>
      </c>
    </row>
    <row r="26" spans="1:8" ht="30">
      <c r="B26" s="40" t="s">
        <v>70</v>
      </c>
      <c r="C26" s="40" t="s">
        <v>71</v>
      </c>
    </row>
    <row r="27" spans="1:8">
      <c r="A27" t="s">
        <v>1</v>
      </c>
      <c r="B27" s="48">
        <v>0</v>
      </c>
      <c r="C27" s="49">
        <f>B18</f>
        <v>0.04</v>
      </c>
      <c r="D27" t="str">
        <f ca="1">"&lt;--"&amp;_xlfn.FORMULATEXT(C27)</f>
        <v>&lt;--=B18</v>
      </c>
    </row>
    <row r="28" spans="1:8" ht="18.75">
      <c r="A28" t="s">
        <v>10</v>
      </c>
      <c r="B28" s="5">
        <f t="array" ref="B28">MMULT(TRANSPOSE(G11:G14),G4:G7)</f>
        <v>9.3724592229514556E-2</v>
      </c>
      <c r="C28" s="5">
        <f t="array" ref="C28">MMULT(TRANSPOSE(G20:G23),G4:G7)</f>
        <v>0.1130366923032104</v>
      </c>
      <c r="D28" t="str">
        <f ca="1">"&lt;--"&amp;_xlfn.FORMULATEXT(C28)</f>
        <v>&lt;--{=MMULT(TRANSPOSE(G20:G23),G4:G7)}</v>
      </c>
    </row>
    <row r="29" spans="1:8" ht="18.75">
      <c r="A29" t="s">
        <v>72</v>
      </c>
      <c r="B29" s="6">
        <f t="array" ref="B29">MMULT(MMULT(TRANSPOSE(G11:G14),B4:E7),G11:G14)</f>
        <v>8.6239939551885511E-2</v>
      </c>
      <c r="C29" s="6">
        <f t="array" ref="C29">MMULT(MMULT(TRANSPOSE(G20:G23),B4:E7),G20:G23)</f>
        <v>0.14139768305843081</v>
      </c>
      <c r="D29" t="str">
        <f ca="1">"&lt;--"&amp;_xlfn.FORMULATEXT(C29)</f>
        <v>&lt;--{=MMULT(MMULT(TRANSPOSE(G20:G23),B4:E7),G20:G23)}</v>
      </c>
    </row>
    <row r="30" spans="1:8">
      <c r="A30" t="s">
        <v>12</v>
      </c>
      <c r="B30" s="5">
        <f>SQRT(B29)</f>
        <v>0.29366637456795341</v>
      </c>
      <c r="C30" s="5">
        <f>SQRT(C29)</f>
        <v>0.37602883274880772</v>
      </c>
      <c r="D30" t="str">
        <f ca="1">"&lt;--"&amp;_xlfn.FORMULATEXT(C30)</f>
        <v>&lt;--=SQRT(C29)</v>
      </c>
    </row>
    <row r="32" spans="1:8">
      <c r="A32" t="s">
        <v>5</v>
      </c>
      <c r="B32" s="6">
        <f t="array" ref="B32">MMULT(MMULT(TRANSPOSE(G11:G14),B4:E7),G20:G23)</f>
        <v>0.10400981513477467</v>
      </c>
      <c r="C32" t="str">
        <f ca="1">"&lt;--"&amp;_xlfn.FORMULATEXT(B32)</f>
        <v>&lt;--{=MMULT(MMULT(TRANSPOSE(G11:G14),B4:E7),G20:G23)}</v>
      </c>
    </row>
    <row r="33" spans="1:9">
      <c r="A33" t="s">
        <v>6</v>
      </c>
      <c r="B33" s="6">
        <f>B32/(B30*C30)</f>
        <v>0.94188733267960922</v>
      </c>
      <c r="C33" t="str">
        <f ca="1">"&lt;--"&amp;_xlfn.FORMULATEXT(B33)</f>
        <v>&lt;--=B32/(B30*C30)</v>
      </c>
    </row>
    <row r="35" spans="1:9" ht="15">
      <c r="A35" s="4" t="s">
        <v>7</v>
      </c>
    </row>
    <row r="36" spans="1:9">
      <c r="A36" s="39" t="s">
        <v>8</v>
      </c>
      <c r="B36" s="3">
        <v>0.3</v>
      </c>
    </row>
    <row r="37" spans="1:9" ht="18.75">
      <c r="A37" t="s">
        <v>10</v>
      </c>
      <c r="B37" s="5">
        <f>B36*B28+(1-B36)*C28</f>
        <v>0.10724306228110164</v>
      </c>
      <c r="C37" t="str">
        <f ca="1">"&lt;--"&amp;_xlfn.FORMULATEXT(B37)</f>
        <v>&lt;--=B36*B28+(1-B36)*C28</v>
      </c>
    </row>
    <row r="38" spans="1:9" ht="18.75">
      <c r="A38" s="50" t="s">
        <v>73</v>
      </c>
      <c r="B38" s="6">
        <f>B36^2*B29+(1-B36)^2*C29+2*B36*(1-B36)*B32</f>
        <v>0.12073058161490614</v>
      </c>
      <c r="C38" t="str">
        <f ca="1">"&lt;--"&amp;_xlfn.FORMULATEXT(B38)</f>
        <v>&lt;--=B36^2*B29+(1-B36)^2*C29+2*B36*(1-B36)*B32</v>
      </c>
    </row>
    <row r="39" spans="1:9" ht="18.75">
      <c r="A39" t="s">
        <v>9</v>
      </c>
      <c r="B39" s="5">
        <f>SQRT(B38)</f>
        <v>0.34746306510894959</v>
      </c>
      <c r="C39" t="str">
        <f ca="1">"&lt;--"&amp;_xlfn.FORMULATEXT(B39)</f>
        <v>&lt;--=SQRT(B38)</v>
      </c>
    </row>
    <row r="41" spans="1:9" ht="15">
      <c r="A41" s="4" t="s">
        <v>11</v>
      </c>
    </row>
    <row r="42" spans="1:9" ht="15">
      <c r="A42" s="1" t="s">
        <v>74</v>
      </c>
      <c r="B42" s="11" t="s">
        <v>12</v>
      </c>
      <c r="C42" s="11" t="s">
        <v>13</v>
      </c>
      <c r="I42" t="s">
        <v>47</v>
      </c>
    </row>
    <row r="43" spans="1:9">
      <c r="B43" s="9">
        <f>B39</f>
        <v>0.34746306510894959</v>
      </c>
      <c r="C43" s="9">
        <f>B37</f>
        <v>0.10724306228110164</v>
      </c>
      <c r="D43" t="str">
        <f ca="1">"&lt;--"&amp;_xlfn.FORMULATEXT(C43)&amp;", data table header"</f>
        <v>&lt;--=B37, data table header</v>
      </c>
      <c r="I43" s="3">
        <v>0.5</v>
      </c>
    </row>
    <row r="44" spans="1:9">
      <c r="A44" s="43">
        <v>-2.5</v>
      </c>
      <c r="B44" s="5">
        <f t="dataTable" ref="B44:C60" dt2D="0" dtr="0" r1="B36"/>
        <v>0.67152771707987247</v>
      </c>
      <c r="C44" s="5">
        <v>0.16131694248744996</v>
      </c>
    </row>
    <row r="45" spans="1:9">
      <c r="A45" s="43">
        <f>A44+$I$43</f>
        <v>-2</v>
      </c>
      <c r="B45" s="5">
        <v>0.60780023372496605</v>
      </c>
      <c r="C45" s="5">
        <v>0.15166089245060208</v>
      </c>
    </row>
    <row r="46" spans="1:9">
      <c r="A46" s="43">
        <f t="shared" ref="A46:A60" si="2">A45+$I$43</f>
        <v>-1.5</v>
      </c>
      <c r="B46" s="5">
        <v>0.54562053626684992</v>
      </c>
      <c r="C46" s="5">
        <v>0.14200484241375419</v>
      </c>
    </row>
    <row r="47" spans="1:9">
      <c r="A47" s="43">
        <f t="shared" si="2"/>
        <v>-1</v>
      </c>
      <c r="B47" s="5">
        <v>0.48558357802391755</v>
      </c>
      <c r="C47" s="5">
        <v>0.13234879237690622</v>
      </c>
    </row>
    <row r="48" spans="1:9">
      <c r="A48" s="43">
        <f t="shared" si="2"/>
        <v>-0.5</v>
      </c>
      <c r="B48" s="5">
        <v>0.42859077109438404</v>
      </c>
      <c r="C48" s="5">
        <v>0.12269274234005831</v>
      </c>
    </row>
    <row r="49" spans="1:5">
      <c r="A49" s="43">
        <f t="shared" si="2"/>
        <v>0</v>
      </c>
      <c r="B49" s="5">
        <v>0.37602883274880772</v>
      </c>
      <c r="C49" s="5">
        <v>0.1130366923032104</v>
      </c>
    </row>
    <row r="50" spans="1:5">
      <c r="A50" s="43">
        <f t="shared" si="2"/>
        <v>0.5</v>
      </c>
      <c r="B50" s="5">
        <v>0.33002168598437048</v>
      </c>
      <c r="C50" s="5">
        <v>0.10338064226636248</v>
      </c>
    </row>
    <row r="51" spans="1:5">
      <c r="A51" s="43">
        <f t="shared" si="2"/>
        <v>1</v>
      </c>
      <c r="B51" s="5">
        <v>0.29366637456795341</v>
      </c>
      <c r="C51" s="5">
        <v>9.3724592229514556E-2</v>
      </c>
    </row>
    <row r="52" spans="1:5">
      <c r="A52" s="43">
        <f t="shared" si="2"/>
        <v>1.5</v>
      </c>
      <c r="B52" s="5">
        <v>0.27087739302900143</v>
      </c>
      <c r="C52" s="5">
        <v>8.4068542192666629E-2</v>
      </c>
    </row>
    <row r="53" spans="1:5">
      <c r="A53" s="43">
        <f t="shared" si="2"/>
        <v>2</v>
      </c>
      <c r="B53" s="5">
        <v>0.26517575440992747</v>
      </c>
      <c r="C53" s="5">
        <v>7.4412492155818716E-2</v>
      </c>
    </row>
    <row r="54" spans="1:5">
      <c r="A54" s="43">
        <f t="shared" si="2"/>
        <v>2.5</v>
      </c>
      <c r="B54" s="5">
        <v>0.27761627396452043</v>
      </c>
      <c r="C54" s="5">
        <v>6.4756442118970803E-2</v>
      </c>
    </row>
    <row r="55" spans="1:5">
      <c r="A55" s="43">
        <f t="shared" si="2"/>
        <v>3</v>
      </c>
      <c r="B55" s="5">
        <v>0.30599412834790946</v>
      </c>
      <c r="C55" s="5">
        <v>5.5100392082122862E-2</v>
      </c>
    </row>
    <row r="56" spans="1:5">
      <c r="A56" s="43">
        <f t="shared" si="2"/>
        <v>3.5</v>
      </c>
      <c r="B56" s="5">
        <v>0.34641451148477231</v>
      </c>
      <c r="C56" s="5">
        <v>4.5444342045274921E-2</v>
      </c>
    </row>
    <row r="57" spans="1:5">
      <c r="A57" s="43">
        <f t="shared" si="2"/>
        <v>4</v>
      </c>
      <c r="B57" s="5">
        <v>0.39519946498123421</v>
      </c>
      <c r="C57" s="5">
        <v>3.5788292008427036E-2</v>
      </c>
    </row>
    <row r="58" spans="1:5">
      <c r="A58" s="43">
        <f t="shared" si="2"/>
        <v>4.5</v>
      </c>
      <c r="B58" s="5">
        <v>0.44963453675852899</v>
      </c>
      <c r="C58" s="5">
        <v>2.6132241971579151E-2</v>
      </c>
    </row>
    <row r="59" spans="1:5" ht="15">
      <c r="A59" s="52">
        <f t="shared" si="2"/>
        <v>5</v>
      </c>
      <c r="B59" s="53">
        <v>0.50790630271836967</v>
      </c>
      <c r="C59" s="53">
        <v>1.647619193473121E-2</v>
      </c>
      <c r="D59" s="51" t="s">
        <v>76</v>
      </c>
      <c r="E59" t="s">
        <v>75</v>
      </c>
    </row>
    <row r="60" spans="1:5">
      <c r="A60" s="54">
        <f t="shared" si="2"/>
        <v>5.5</v>
      </c>
      <c r="B60" s="55">
        <v>0.56883688717101855</v>
      </c>
      <c r="C60" s="55">
        <v>6.8201418978832695E-3</v>
      </c>
    </row>
  </sheetData>
  <mergeCells count="3">
    <mergeCell ref="D20:E22"/>
    <mergeCell ref="A1:G1"/>
    <mergeCell ref="G2:G3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8"/>
  <sheetViews>
    <sheetView workbookViewId="0">
      <selection sqref="A1:H1"/>
    </sheetView>
  </sheetViews>
  <sheetFormatPr defaultRowHeight="14.25"/>
  <cols>
    <col min="2" max="2" width="10" customWidth="1"/>
    <col min="8" max="8" width="17.125" customWidth="1"/>
    <col min="9" max="9" width="8.875" customWidth="1"/>
  </cols>
  <sheetData>
    <row r="1" spans="1:8" ht="18">
      <c r="A1" s="90" t="s">
        <v>14</v>
      </c>
      <c r="B1" s="90"/>
      <c r="C1" s="90"/>
      <c r="D1" s="90"/>
      <c r="E1" s="90"/>
      <c r="F1" s="90"/>
      <c r="G1" s="90"/>
      <c r="H1" s="90"/>
    </row>
    <row r="2" spans="1:8" ht="15">
      <c r="A2" s="8" t="s">
        <v>67</v>
      </c>
      <c r="B2" s="8"/>
      <c r="C2" s="8"/>
      <c r="D2" s="8"/>
      <c r="E2" s="8"/>
      <c r="G2" s="97" t="s">
        <v>0</v>
      </c>
    </row>
    <row r="3" spans="1:8" ht="15">
      <c r="B3" s="31" t="s">
        <v>26</v>
      </c>
      <c r="C3" s="31" t="s">
        <v>27</v>
      </c>
      <c r="D3" s="31" t="s">
        <v>28</v>
      </c>
      <c r="E3" s="31" t="s">
        <v>29</v>
      </c>
      <c r="G3" s="97"/>
    </row>
    <row r="4" spans="1:8" ht="15">
      <c r="A4" s="31" t="s">
        <v>26</v>
      </c>
      <c r="B4" s="42">
        <v>0.1</v>
      </c>
      <c r="C4" s="42">
        <v>0.01</v>
      </c>
      <c r="D4" s="42">
        <v>0.03</v>
      </c>
      <c r="E4" s="42">
        <v>0.05</v>
      </c>
      <c r="G4" s="3">
        <v>0.06</v>
      </c>
    </row>
    <row r="5" spans="1:8" ht="15">
      <c r="A5" s="31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G5" s="3">
        <v>0.08</v>
      </c>
    </row>
    <row r="6" spans="1:8" ht="15">
      <c r="A6" s="31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G6" s="3">
        <v>0.1</v>
      </c>
    </row>
    <row r="7" spans="1:8" ht="15">
      <c r="A7" s="31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G7" s="3">
        <v>0.15</v>
      </c>
    </row>
    <row r="9" spans="1:8">
      <c r="A9" t="s">
        <v>15</v>
      </c>
      <c r="B9" s="3">
        <v>0.04</v>
      </c>
    </row>
    <row r="10" spans="1:8" ht="30.75" thickBot="1">
      <c r="B10" s="1" t="s">
        <v>16</v>
      </c>
    </row>
    <row r="11" spans="1:8" ht="13.9" customHeight="1">
      <c r="A11" s="31" t="s">
        <v>26</v>
      </c>
      <c r="B11" s="9">
        <f t="array" ref="B11:B14">MMULT(MINVERSE(B4:E7),G4:G7-B9)/SUM(MMULT(MINVERSE(B4:E7),G4:G7-B9))</f>
        <v>7.8206024587775952E-2</v>
      </c>
      <c r="D11" s="98" t="str">
        <f ca="1">_xlfn.FORMULATEXT(B11)</f>
        <v>{=MMULT(MINVERSE(B4:E7),G4:G7-B9)/SUM(MMULT(MINVERSE(B4:E7),G4:G7-B9))}</v>
      </c>
      <c r="E11" s="99"/>
      <c r="F11" s="99"/>
      <c r="G11" s="100"/>
    </row>
    <row r="12" spans="1:8" ht="15">
      <c r="A12" s="31" t="s">
        <v>27</v>
      </c>
      <c r="B12" s="9">
        <v>0.2683971333682923</v>
      </c>
      <c r="D12" s="101"/>
      <c r="E12" s="102"/>
      <c r="F12" s="102"/>
      <c r="G12" s="103"/>
    </row>
    <row r="13" spans="1:8" ht="15.75" thickBot="1">
      <c r="A13" s="31" t="s">
        <v>28</v>
      </c>
      <c r="B13" s="9">
        <v>0.22273932296218615</v>
      </c>
      <c r="D13" s="104"/>
      <c r="E13" s="105"/>
      <c r="F13" s="105"/>
      <c r="G13" s="106"/>
    </row>
    <row r="14" spans="1:8" ht="15">
      <c r="A14" s="31" t="s">
        <v>29</v>
      </c>
      <c r="B14" s="9">
        <v>0.4306575190817456</v>
      </c>
      <c r="C14" s="30"/>
      <c r="D14" s="30"/>
      <c r="E14" s="30"/>
      <c r="F14" s="30"/>
    </row>
    <row r="15" spans="1:8" ht="15">
      <c r="A15" s="31" t="s">
        <v>4</v>
      </c>
      <c r="B15" s="56">
        <f>SUM(B11:B14)</f>
        <v>1</v>
      </c>
      <c r="C15" s="57" t="str">
        <f ca="1">"&lt;--"&amp;_xlfn.FORMULATEXT(B15)</f>
        <v>&lt;--=SUM(B11:B14)</v>
      </c>
      <c r="D15" s="32"/>
      <c r="E15" s="32"/>
      <c r="F15" s="32"/>
    </row>
    <row r="17" spans="1:3" ht="28.5">
      <c r="A17" s="10" t="s">
        <v>17</v>
      </c>
      <c r="B17" s="5">
        <f>SUMPRODUCT(B11:B14,G4:G7)</f>
        <v>0.1130366923032104</v>
      </c>
      <c r="C17" t="str">
        <f ca="1">getformula(B17)</f>
        <v>&lt;-- =SUMPRODUCT(B11:B14,G4:G7)</v>
      </c>
    </row>
    <row r="18" spans="1:3" ht="28.5">
      <c r="A18" s="10" t="s">
        <v>18</v>
      </c>
      <c r="B18" s="5">
        <f t="array" ref="B18">SQRT(MMULT(MMULT(TRANSPOSE(B11:B14),B4:E7),B11:B14))</f>
        <v>0.37602883274880772</v>
      </c>
      <c r="C18" t="str">
        <f ca="1">getformula(B18)</f>
        <v>&lt;--  {=SQRT(MMULT(MMULT(TRANSPOSE(B11:B14),B4:E7),B11:B14))}</v>
      </c>
    </row>
  </sheetData>
  <mergeCells count="3">
    <mergeCell ref="G2:G3"/>
    <mergeCell ref="D11:G13"/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8"/>
  <sheetViews>
    <sheetView workbookViewId="0">
      <selection sqref="A1:H1"/>
    </sheetView>
  </sheetViews>
  <sheetFormatPr defaultRowHeight="14.25"/>
  <cols>
    <col min="2" max="2" width="10" customWidth="1"/>
    <col min="8" max="8" width="17.125" customWidth="1"/>
    <col min="9" max="9" width="8.875" customWidth="1"/>
  </cols>
  <sheetData>
    <row r="1" spans="1:8" ht="18">
      <c r="A1" s="90" t="s">
        <v>78</v>
      </c>
      <c r="B1" s="90"/>
      <c r="C1" s="90"/>
      <c r="D1" s="90"/>
      <c r="E1" s="90"/>
      <c r="F1" s="90"/>
      <c r="G1" s="90"/>
      <c r="H1" s="90"/>
    </row>
    <row r="2" spans="1:8" ht="15">
      <c r="A2" s="8" t="s">
        <v>67</v>
      </c>
      <c r="B2" s="8"/>
      <c r="C2" s="8"/>
      <c r="D2" s="8"/>
      <c r="E2" s="8"/>
      <c r="G2" s="97" t="s">
        <v>0</v>
      </c>
    </row>
    <row r="3" spans="1:8" ht="15">
      <c r="B3" s="31" t="s">
        <v>26</v>
      </c>
      <c r="C3" s="31" t="s">
        <v>27</v>
      </c>
      <c r="D3" s="31" t="s">
        <v>28</v>
      </c>
      <c r="E3" s="31" t="s">
        <v>29</v>
      </c>
      <c r="G3" s="97"/>
    </row>
    <row r="4" spans="1:8" ht="15">
      <c r="A4" s="31" t="s">
        <v>26</v>
      </c>
      <c r="B4" s="42">
        <v>0.1</v>
      </c>
      <c r="C4" s="42">
        <v>0.01</v>
      </c>
      <c r="D4" s="42">
        <v>0.03</v>
      </c>
      <c r="E4" s="42">
        <v>0.05</v>
      </c>
      <c r="G4" s="3">
        <v>0.06</v>
      </c>
    </row>
    <row r="5" spans="1:8" ht="15">
      <c r="A5" s="31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G5" s="3">
        <v>0.08</v>
      </c>
    </row>
    <row r="6" spans="1:8" ht="15">
      <c r="A6" s="31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G6" s="3">
        <v>0.1</v>
      </c>
    </row>
    <row r="7" spans="1:8" ht="15">
      <c r="A7" s="31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G7" s="3">
        <v>0.15</v>
      </c>
    </row>
    <row r="9" spans="1:8">
      <c r="A9" t="s">
        <v>15</v>
      </c>
      <c r="B9" s="3">
        <v>0.04</v>
      </c>
    </row>
    <row r="10" spans="1:8" ht="30.75" thickBot="1">
      <c r="B10" s="1" t="s">
        <v>16</v>
      </c>
    </row>
    <row r="11" spans="1:8" ht="13.9" customHeight="1">
      <c r="A11" s="31" t="s">
        <v>26</v>
      </c>
      <c r="B11" s="9">
        <f t="array" ref="B11:B14">MMULT(MINVERSE(varcov),G4:G7-B9)/SUM(MMULT(MINVERSE(varcov),G4:G7-B9))</f>
        <v>7.8206024587775952E-2</v>
      </c>
      <c r="D11" s="98" t="str">
        <f ca="1">_xlfn.FORMULATEXT(B11)</f>
        <v>{=MMULT(MINVERSE(varcov),G4:G7-B9)/SUM(MMULT(MINVERSE(varcov),G4:G7-B9))}</v>
      </c>
      <c r="E11" s="99"/>
      <c r="F11" s="99"/>
      <c r="G11" s="100"/>
    </row>
    <row r="12" spans="1:8" ht="15">
      <c r="A12" s="31" t="s">
        <v>27</v>
      </c>
      <c r="B12" s="9">
        <v>0.2683971333682923</v>
      </c>
      <c r="D12" s="101"/>
      <c r="E12" s="102"/>
      <c r="F12" s="102"/>
      <c r="G12" s="103"/>
    </row>
    <row r="13" spans="1:8" ht="15.75" thickBot="1">
      <c r="A13" s="31" t="s">
        <v>28</v>
      </c>
      <c r="B13" s="9">
        <v>0.22273932296218615</v>
      </c>
      <c r="D13" s="104"/>
      <c r="E13" s="105"/>
      <c r="F13" s="105"/>
      <c r="G13" s="106"/>
    </row>
    <row r="14" spans="1:8" ht="15">
      <c r="A14" s="31" t="s">
        <v>29</v>
      </c>
      <c r="B14" s="9">
        <v>0.4306575190817456</v>
      </c>
      <c r="C14" s="30"/>
      <c r="D14" s="30"/>
      <c r="E14" s="30"/>
      <c r="F14" s="30"/>
    </row>
    <row r="15" spans="1:8" ht="15">
      <c r="A15" s="31" t="s">
        <v>4</v>
      </c>
      <c r="B15" s="56">
        <f>SUM(B11:B14)</f>
        <v>1</v>
      </c>
      <c r="C15" s="57" t="str">
        <f ca="1">"&lt;--"&amp;_xlfn.FORMULATEXT(B15)</f>
        <v>&lt;--=SUM(B11:B14)</v>
      </c>
      <c r="D15" s="32"/>
      <c r="E15" s="32"/>
      <c r="F15" s="32"/>
    </row>
    <row r="17" spans="1:3" ht="28.5">
      <c r="A17" s="10" t="s">
        <v>17</v>
      </c>
      <c r="B17" s="5">
        <f>SUMPRODUCT(B11:B14,G4:G7)</f>
        <v>0.1130366923032104</v>
      </c>
      <c r="C17" t="str">
        <f ca="1">"&lt;--"&amp;_xlfn.FORMULATEXT(B17)</f>
        <v>&lt;--=SUMPRODUCT(B11:B14,G4:G7)</v>
      </c>
    </row>
    <row r="18" spans="1:3" ht="28.5">
      <c r="A18" s="10" t="s">
        <v>18</v>
      </c>
      <c r="B18" s="5">
        <f t="array" ref="B18">SQRT(MMULT(MMULT(TRANSPOSE(B11:B14),varcov),B11:B14))</f>
        <v>0.37602883274880772</v>
      </c>
      <c r="C18" t="str">
        <f ca="1">"&lt;--"&amp;_xlfn.FORMULATEXT(B18)</f>
        <v>&lt;--{=SQRT(MMULT(MMULT(TRANSPOSE(B11:B14),varcov),B11:B14))}</v>
      </c>
    </row>
  </sheetData>
  <mergeCells count="3">
    <mergeCell ref="A1:H1"/>
    <mergeCell ref="G2:G3"/>
    <mergeCell ref="D11:G13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27"/>
  <sheetViews>
    <sheetView workbookViewId="0">
      <selection activeCell="D12" sqref="D12"/>
    </sheetView>
  </sheetViews>
  <sheetFormatPr defaultRowHeight="14.25"/>
  <cols>
    <col min="1" max="1" width="14.75" customWidth="1"/>
    <col min="2" max="4" width="10.125" customWidth="1"/>
    <col min="5" max="5" width="9.375" customWidth="1"/>
    <col min="7" max="7" width="11.25" customWidth="1"/>
    <col min="8" max="8" width="13.5" customWidth="1"/>
    <col min="9" max="9" width="16.875" customWidth="1"/>
  </cols>
  <sheetData>
    <row r="1" spans="1:9" ht="36" customHeight="1">
      <c r="A1" s="109" t="s">
        <v>19</v>
      </c>
      <c r="B1" s="109"/>
      <c r="C1" s="109"/>
      <c r="D1" s="109"/>
      <c r="E1" s="109"/>
      <c r="F1" s="109"/>
      <c r="G1" s="109"/>
      <c r="H1" s="109"/>
      <c r="I1" s="12"/>
    </row>
    <row r="2" spans="1:9" ht="15">
      <c r="A2" s="8" t="s">
        <v>67</v>
      </c>
      <c r="B2" s="8"/>
      <c r="C2" s="8"/>
      <c r="D2" s="8"/>
      <c r="E2" s="8"/>
      <c r="G2" s="97" t="s">
        <v>79</v>
      </c>
    </row>
    <row r="3" spans="1:9" ht="15">
      <c r="B3" s="37" t="s">
        <v>26</v>
      </c>
      <c r="C3" s="37" t="s">
        <v>27</v>
      </c>
      <c r="D3" s="37" t="s">
        <v>28</v>
      </c>
      <c r="E3" s="37" t="s">
        <v>29</v>
      </c>
      <c r="G3" s="97"/>
    </row>
    <row r="4" spans="1:9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G4" s="3">
        <v>0.06</v>
      </c>
    </row>
    <row r="5" spans="1:9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G5" s="3">
        <v>0.08</v>
      </c>
    </row>
    <row r="6" spans="1:9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G6" s="3">
        <v>0.1</v>
      </c>
    </row>
    <row r="7" spans="1:9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G7" s="3">
        <v>0.15</v>
      </c>
    </row>
    <row r="9" spans="1:9">
      <c r="A9" t="s">
        <v>15</v>
      </c>
      <c r="B9" s="3">
        <v>0</v>
      </c>
      <c r="C9" s="3">
        <v>0.04</v>
      </c>
      <c r="D9" s="3">
        <v>0.06</v>
      </c>
    </row>
    <row r="10" spans="1:9" ht="15">
      <c r="B10" s="1" t="s">
        <v>70</v>
      </c>
      <c r="C10" s="1" t="s">
        <v>71</v>
      </c>
      <c r="D10" s="1" t="s">
        <v>80</v>
      </c>
    </row>
    <row r="11" spans="1:9" ht="13.9" customHeight="1">
      <c r="A11" s="37" t="s">
        <v>26</v>
      </c>
      <c r="B11" s="58">
        <f t="array" ref="B11:B14">MMULT(MINVERSE(B4:E7),G4:G7-B9)/SUM(MMULT(MINVERSE(B4:E7),G4:G7-B9))</f>
        <v>0.35527263160809713</v>
      </c>
      <c r="C11" s="58">
        <f t="array" ref="C11:C14">MMULT(MINVERSE(B4:E7),G4:G7-C9)/SUM(MMULT(MINVERSE(B4:E7),G4:G7-C9))</f>
        <v>7.8206024587775952E-2</v>
      </c>
      <c r="D11" s="58">
        <f t="array" ref="D11:D14">MMULT(MINVERSE(B4:E7),G4:G7-D9)/SUM(MMULT(MINVERSE(B4:E7),G4:G7-D9))</f>
        <v>-0.57240863571335665</v>
      </c>
      <c r="E11" s="107" t="str">
        <f ca="1">"&lt;--"&amp;_xlfn.FORMULATEXT(D11)</f>
        <v>&lt;--{=MMULT(MINVERSE(B4:E7),G4:G7-D9)/SUM(MMULT(MINVERSE(B4:E7),G4:G7-D9))}</v>
      </c>
      <c r="F11" s="107"/>
      <c r="G11" s="107"/>
      <c r="H11" s="107"/>
    </row>
    <row r="12" spans="1:9" ht="15">
      <c r="A12" s="37" t="s">
        <v>27</v>
      </c>
      <c r="B12" s="58">
        <v>0.23622995763063889</v>
      </c>
      <c r="C12" s="58">
        <v>0.2683971333682923</v>
      </c>
      <c r="D12" s="58">
        <v>0.34393289114319164</v>
      </c>
      <c r="E12" s="107"/>
      <c r="F12" s="107"/>
      <c r="G12" s="107"/>
      <c r="H12" s="107"/>
    </row>
    <row r="13" spans="1:9" ht="15">
      <c r="A13" s="37" t="s">
        <v>28</v>
      </c>
      <c r="B13" s="58">
        <v>0.15529547783223951</v>
      </c>
      <c r="C13" s="58">
        <v>0.22273932296218615</v>
      </c>
      <c r="D13" s="58">
        <v>0.38111262843022503</v>
      </c>
      <c r="E13" s="30"/>
      <c r="F13" s="30"/>
      <c r="G13" s="30"/>
    </row>
    <row r="14" spans="1:9" ht="15">
      <c r="A14" s="37" t="s">
        <v>29</v>
      </c>
      <c r="B14" s="58">
        <v>0.25320193292902443</v>
      </c>
      <c r="C14" s="58">
        <v>0.4306575190817456</v>
      </c>
      <c r="D14" s="58">
        <v>0.84736311613994009</v>
      </c>
      <c r="E14" s="30"/>
      <c r="F14" s="30"/>
      <c r="G14" s="30"/>
    </row>
    <row r="15" spans="1:9" ht="15">
      <c r="A15" s="37" t="s">
        <v>4</v>
      </c>
      <c r="B15" s="59">
        <f>SUM(B11:B14)</f>
        <v>1</v>
      </c>
      <c r="C15" s="59">
        <f t="shared" ref="C15:D15" si="0">SUM(C11:C14)</f>
        <v>1</v>
      </c>
      <c r="D15" s="59">
        <f t="shared" si="0"/>
        <v>1</v>
      </c>
      <c r="E15" s="57" t="str">
        <f ca="1">"&lt;--"&amp;_xlfn.FORMULATEXT(D15)</f>
        <v>&lt;--=SUM(D11:D14)</v>
      </c>
      <c r="F15" s="38"/>
      <c r="G15" s="38"/>
    </row>
    <row r="17" spans="1:8">
      <c r="A17" s="60" t="s">
        <v>17</v>
      </c>
      <c r="B17" s="61">
        <f>SUMPRODUCT(B11:B14,$G$4:$G$7)</f>
        <v>9.3724592229514556E-2</v>
      </c>
      <c r="C17" s="61">
        <f t="shared" ref="C17:D17" si="1">SUMPRODUCT(C11:C14,$G$4:$G$7)</f>
        <v>0.1130366923032104</v>
      </c>
      <c r="D17" s="61">
        <f t="shared" si="1"/>
        <v>0.15838584341266745</v>
      </c>
      <c r="E17" t="str">
        <f ca="1">getformula(D17)</f>
        <v>&lt;-- =SUMPRODUCT(D11:D14,$G$4:$G$7)</v>
      </c>
    </row>
    <row r="18" spans="1:8" ht="14.25" customHeight="1">
      <c r="A18" s="60" t="s">
        <v>18</v>
      </c>
      <c r="B18" s="61">
        <f t="array" ref="B18">SQRT(MMULT(MMULT(TRANSPOSE(B11:B14),$B$4:$E$7),B11:B14))</f>
        <v>0.29366637456795341</v>
      </c>
      <c r="C18" s="61">
        <f t="array" ref="C18">SQRT(MMULT(MMULT(TRANSPOSE(C11:C14),$B$4:$E$7),C11:C14))</f>
        <v>0.37602883274880772</v>
      </c>
      <c r="D18" s="61">
        <f t="array" ref="D18">SQRT(MMULT(MMULT(TRANSPOSE(D11:D14),$B$4:$E$7),D11:D14))</f>
        <v>0.65204651123986135</v>
      </c>
      <c r="E18" s="108" t="str">
        <f ca="1">"&lt;--"&amp;_xlfn.FORMULATEXT(D18)</f>
        <v>&lt;--{=SQRT(MMULT(MMULT(TRANSPOSE(D11:D14),$B$4:$E$7),D11:D14))}</v>
      </c>
      <c r="F18" s="108"/>
      <c r="G18" s="108"/>
      <c r="H18" s="108"/>
    </row>
    <row r="19" spans="1:8">
      <c r="E19" s="108"/>
      <c r="F19" s="108"/>
      <c r="G19" s="108"/>
      <c r="H19" s="108"/>
    </row>
    <row r="20" spans="1:8">
      <c r="E20" s="108"/>
      <c r="F20" s="108"/>
      <c r="G20" s="108"/>
      <c r="H20" s="108"/>
    </row>
    <row r="21" spans="1:8" ht="15">
      <c r="A21" s="4" t="s">
        <v>22</v>
      </c>
    </row>
    <row r="22" spans="1:8">
      <c r="A22" s="63" t="s">
        <v>21</v>
      </c>
      <c r="B22" s="63">
        <f>(D11-C11)/(B11-C11)</f>
        <v>-2.3482247366367539</v>
      </c>
      <c r="C22" t="str">
        <f ca="1">"&lt;--"&amp;_xlfn.FORMULATEXT(B22)</f>
        <v>&lt;--=(D11-C11)/(B11-C11)</v>
      </c>
    </row>
    <row r="23" spans="1:8">
      <c r="A23" t="s">
        <v>20</v>
      </c>
    </row>
    <row r="24" spans="1:8" ht="15">
      <c r="A24" s="37" t="s">
        <v>26</v>
      </c>
      <c r="B24" s="3">
        <f>$B$22*B11+(1-$B$22)*C11</f>
        <v>-0.57240863571335676</v>
      </c>
      <c r="C24" t="str">
        <f ca="1">"&lt;--"&amp;_xlfn.FORMULATEXT(B24)</f>
        <v>&lt;--=$B$22*B11+(1-$B$22)*C11</v>
      </c>
    </row>
    <row r="25" spans="1:8" ht="15">
      <c r="A25" s="37" t="s">
        <v>27</v>
      </c>
      <c r="B25" s="3">
        <f t="shared" ref="B25:B27" si="2">$B$22*B12+(1-$B$22)*C12</f>
        <v>0.3439328911431917</v>
      </c>
      <c r="C25" t="str">
        <f ca="1">"&lt;--"&amp;_xlfn.FORMULATEXT(B25)</f>
        <v>&lt;--=$B$22*B12+(1-$B$22)*C12</v>
      </c>
    </row>
    <row r="26" spans="1:8" ht="15">
      <c r="A26" s="37" t="s">
        <v>28</v>
      </c>
      <c r="B26" s="3">
        <f t="shared" si="2"/>
        <v>0.38111262843022509</v>
      </c>
      <c r="C26" t="str">
        <f ca="1">"&lt;--"&amp;_xlfn.FORMULATEXT(B26)</f>
        <v>&lt;--=$B$22*B13+(1-$B$22)*C13</v>
      </c>
    </row>
    <row r="27" spans="1:8" ht="15">
      <c r="A27" s="37" t="s">
        <v>29</v>
      </c>
      <c r="B27" s="3">
        <f t="shared" si="2"/>
        <v>0.84736311613994009</v>
      </c>
      <c r="C27" t="str">
        <f ca="1">"&lt;--"&amp;_xlfn.FORMULATEXT(B27)</f>
        <v>&lt;--=$B$22*B14+(1-$B$22)*C14</v>
      </c>
    </row>
  </sheetData>
  <mergeCells count="4">
    <mergeCell ref="G2:G3"/>
    <mergeCell ref="E11:H12"/>
    <mergeCell ref="E18:H20"/>
    <mergeCell ref="A1:H1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40"/>
  <sheetViews>
    <sheetView topLeftCell="A13" workbookViewId="0">
      <selection sqref="A1:G1"/>
    </sheetView>
  </sheetViews>
  <sheetFormatPr defaultRowHeight="14.25"/>
  <cols>
    <col min="1" max="1" width="14.75" customWidth="1"/>
    <col min="2" max="5" width="9.75" customWidth="1"/>
    <col min="7" max="7" width="11.75" customWidth="1"/>
    <col min="8" max="8" width="13.5" customWidth="1"/>
    <col min="9" max="9" width="16.875" customWidth="1"/>
  </cols>
  <sheetData>
    <row r="1" spans="1:9" ht="36" customHeight="1">
      <c r="A1" s="109" t="s">
        <v>88</v>
      </c>
      <c r="B1" s="109"/>
      <c r="C1" s="109"/>
      <c r="D1" s="109"/>
      <c r="E1" s="109"/>
      <c r="F1" s="109"/>
      <c r="G1" s="109"/>
      <c r="H1" s="64"/>
      <c r="I1" s="12"/>
    </row>
    <row r="2" spans="1:9" ht="15">
      <c r="A2" s="8" t="s">
        <v>67</v>
      </c>
      <c r="B2" s="8"/>
      <c r="C2" s="8"/>
      <c r="D2" s="8"/>
      <c r="E2" s="8"/>
      <c r="G2" s="97" t="s">
        <v>79</v>
      </c>
    </row>
    <row r="3" spans="1:9" ht="15">
      <c r="B3" s="37" t="s">
        <v>26</v>
      </c>
      <c r="C3" s="37" t="s">
        <v>27</v>
      </c>
      <c r="D3" s="37" t="s">
        <v>28</v>
      </c>
      <c r="E3" s="37" t="s">
        <v>29</v>
      </c>
      <c r="G3" s="97"/>
      <c r="H3" s="37" t="s">
        <v>12</v>
      </c>
    </row>
    <row r="4" spans="1:9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G4" s="3">
        <v>0.06</v>
      </c>
      <c r="H4" s="3">
        <f>SQRT(B4)</f>
        <v>0.31622776601683794</v>
      </c>
    </row>
    <row r="5" spans="1:9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G5" s="3">
        <v>0.08</v>
      </c>
      <c r="H5" s="3">
        <f>SQRT(C5)</f>
        <v>0.54772255750516607</v>
      </c>
    </row>
    <row r="6" spans="1:9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G6" s="3">
        <v>0.1</v>
      </c>
      <c r="H6" s="3">
        <f>SQRT(D6)</f>
        <v>0.63245553203367588</v>
      </c>
    </row>
    <row r="7" spans="1:9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G7" s="3">
        <v>0.15</v>
      </c>
      <c r="H7" s="3">
        <f>SQRT(E7)</f>
        <v>0.70710678118654757</v>
      </c>
    </row>
    <row r="9" spans="1:9">
      <c r="A9" t="s">
        <v>15</v>
      </c>
      <c r="B9" s="68">
        <v>0.11</v>
      </c>
      <c r="C9" s="3">
        <v>0.04</v>
      </c>
      <c r="D9" s="3"/>
    </row>
    <row r="10" spans="1:9" ht="15">
      <c r="B10" s="67" t="s">
        <v>85</v>
      </c>
      <c r="C10" s="67" t="s">
        <v>84</v>
      </c>
      <c r="D10" s="44"/>
    </row>
    <row r="11" spans="1:9" ht="13.9" customHeight="1">
      <c r="A11" s="37" t="s">
        <v>26</v>
      </c>
      <c r="B11" s="58">
        <f t="array" ref="B11:B14">MMULT(MINVERSE(B4:E7),G4:G7-B9)/SUM(MMULT(MINVERSE(B4:E7),G4:G7-B9))</f>
        <v>1.172793198299575</v>
      </c>
      <c r="C11" s="58">
        <f t="array" ref="C11:C14">MMULT(MINVERSE(B4:E7),G4:G7-C9)/SUM(MMULT(MINVERSE(B4:E7),G4:G7-C9))</f>
        <v>7.8206024587775952E-2</v>
      </c>
      <c r="D11" s="110" t="str">
        <f ca="1">"&lt;--"&amp;_xlfn.FORMULATEXT(C11)</f>
        <v>&lt;--{=MMULT(MINVERSE(B4:E7),G4:G7-C9)/SUM(MMULT(MINVERSE(B4:E7),G4:G7-C9))}</v>
      </c>
      <c r="E11" s="110"/>
      <c r="F11" s="110"/>
      <c r="G11" s="110"/>
      <c r="H11" s="30"/>
    </row>
    <row r="12" spans="1:9" ht="15">
      <c r="A12" s="37" t="s">
        <v>27</v>
      </c>
      <c r="B12" s="58">
        <v>0.14131657914478624</v>
      </c>
      <c r="C12" s="58">
        <v>0.2683971333682923</v>
      </c>
      <c r="D12" s="110"/>
      <c r="E12" s="110"/>
      <c r="F12" s="110"/>
      <c r="G12" s="110"/>
      <c r="H12" s="30"/>
    </row>
    <row r="13" spans="1:9" ht="15">
      <c r="A13" s="37" t="s">
        <v>28</v>
      </c>
      <c r="B13" s="58">
        <v>-4.3706239059764972E-2</v>
      </c>
      <c r="C13" s="58">
        <v>0.22273932296218615</v>
      </c>
      <c r="D13" s="110"/>
      <c r="E13" s="110"/>
      <c r="F13" s="110"/>
      <c r="G13" s="110"/>
    </row>
    <row r="14" spans="1:9" ht="15">
      <c r="A14" s="37" t="s">
        <v>29</v>
      </c>
      <c r="B14" s="58">
        <v>-0.27040353838459619</v>
      </c>
      <c r="C14" s="58">
        <v>0.4306575190817456</v>
      </c>
      <c r="D14" s="58"/>
      <c r="E14" s="30"/>
      <c r="F14" s="30"/>
      <c r="G14" s="30"/>
    </row>
    <row r="15" spans="1:9" ht="15">
      <c r="A15" s="37" t="s">
        <v>4</v>
      </c>
      <c r="B15" s="59">
        <f>SUM(B11:B14)</f>
        <v>1</v>
      </c>
      <c r="C15" s="59">
        <f t="shared" ref="C15" si="0">SUM(C11:C14)</f>
        <v>1</v>
      </c>
      <c r="D15" s="65" t="str">
        <f ca="1">"&lt;--"&amp;_xlfn.FORMULATEXT(C15)</f>
        <v>&lt;--=SUM(C11:C14)</v>
      </c>
      <c r="E15" s="57"/>
      <c r="F15" s="38"/>
      <c r="G15" s="38"/>
    </row>
    <row r="17" spans="1:8">
      <c r="A17" s="14" t="s">
        <v>17</v>
      </c>
      <c r="B17" s="13">
        <f>SUMPRODUCT(B11:B14,$G$4:$G$7)</f>
        <v>3.6741763565891476E-2</v>
      </c>
      <c r="C17" s="13">
        <f t="shared" ref="C17" si="1">SUMPRODUCT(C11:C14,$G$4:$G$7)</f>
        <v>0.1130366923032104</v>
      </c>
      <c r="D17" t="str">
        <f ca="1">"&lt;--"&amp;_xlfn.FORMULATEXT(C17)</f>
        <v>&lt;--=SUMPRODUCT(C11:C14,$G$4:$G$7)</v>
      </c>
    </row>
    <row r="18" spans="1:8" ht="30.4" customHeight="1">
      <c r="A18" s="14" t="s">
        <v>18</v>
      </c>
      <c r="B18" s="13">
        <f t="array" ref="B18">SQRT(MMULT(MMULT(TRANSPOSE(B11:B14),$B$4:$E$7),B11:B14))</f>
        <v>0.39009441414571544</v>
      </c>
      <c r="C18" s="13">
        <f t="array" ref="C18">SQRT(MMULT(MMULT(TRANSPOSE(C11:C14),$B$4:$E$7),C11:C14))</f>
        <v>0.37602883274880772</v>
      </c>
      <c r="D18" s="111" t="str">
        <f ca="1">"&lt;--"&amp;_xlfn.FORMULATEXT(C18)</f>
        <v>&lt;--{=SQRT(MMULT(MMULT(TRANSPOSE(C11:C14),$B$4:$E$7),C11:C14))}</v>
      </c>
      <c r="E18" s="111"/>
      <c r="F18" s="111"/>
      <c r="G18" s="111"/>
    </row>
    <row r="19" spans="1:8" ht="18.75">
      <c r="A19" t="s">
        <v>83</v>
      </c>
      <c r="B19" s="66">
        <f t="array" ref="B19">MMULT(MMULT(TRANSPOSE(B11:B14),B4:E7),C11:C14)</f>
        <v>-6.3078853670822527E-3</v>
      </c>
      <c r="C19" s="46" t="str">
        <f ca="1">"&lt;--"&amp;_xlfn.FORMULATEXT(B19)</f>
        <v>&lt;--{=MMULT(MMULT(TRANSPOSE(B11:B14),B4:E7),C11:C14)}</v>
      </c>
      <c r="D19" s="62"/>
      <c r="E19" s="62"/>
      <c r="F19" s="62"/>
      <c r="G19" s="62"/>
    </row>
    <row r="20" spans="1:8">
      <c r="D20" s="62"/>
      <c r="E20" s="62"/>
      <c r="F20" s="62"/>
      <c r="G20" s="62"/>
    </row>
    <row r="22" spans="1:8">
      <c r="A22" t="s">
        <v>8</v>
      </c>
      <c r="B22" t="s">
        <v>12</v>
      </c>
      <c r="C22" t="s">
        <v>81</v>
      </c>
      <c r="H22" t="s">
        <v>82</v>
      </c>
    </row>
    <row r="23" spans="1:8">
      <c r="A23" s="3">
        <v>1.5</v>
      </c>
      <c r="B23" s="3">
        <f>SQRT(A23^2*$B$18^2+(1-A23)^2*$C$18^2+2*A23*(1-A23)*$B$19)</f>
        <v>0.62225554693994589</v>
      </c>
      <c r="C23" s="3">
        <f>A23*$B$17+(1-A23)*$C$17</f>
        <v>-1.4057008027679868E-3</v>
      </c>
      <c r="H23" s="3">
        <v>-0.2</v>
      </c>
    </row>
    <row r="24" spans="1:8">
      <c r="A24" s="3">
        <f>A23+$H$23</f>
        <v>1.3</v>
      </c>
      <c r="B24" s="3">
        <f t="shared" ref="B24:B35" si="2">SQRT(A24^2*$B$18^2+(1-A24)^2*$C$18^2+2*A24*(1-A24)*$B$19)</f>
        <v>0.5242322136736518</v>
      </c>
      <c r="C24" s="3">
        <f t="shared" ref="C24:C35" si="3">A24*$B$17+(1-A24)*$C$17</f>
        <v>1.3853284944695794E-2</v>
      </c>
    </row>
    <row r="25" spans="1:8">
      <c r="A25" s="3">
        <f t="shared" ref="A25:A35" si="4">A24+$H$23</f>
        <v>1.1000000000000001</v>
      </c>
      <c r="B25" s="3">
        <f t="shared" si="2"/>
        <v>0.43235613846462972</v>
      </c>
      <c r="C25" s="3">
        <f t="shared" si="3"/>
        <v>2.9112270692159575E-2</v>
      </c>
    </row>
    <row r="26" spans="1:8">
      <c r="A26" s="3">
        <f t="shared" si="4"/>
        <v>0.90000000000000013</v>
      </c>
      <c r="B26" s="3">
        <f t="shared" si="2"/>
        <v>0.35148145831912325</v>
      </c>
      <c r="C26" s="3">
        <f t="shared" si="3"/>
        <v>4.4371256439623363E-2</v>
      </c>
    </row>
    <row r="27" spans="1:8">
      <c r="A27" s="3">
        <f t="shared" si="4"/>
        <v>0.70000000000000018</v>
      </c>
      <c r="B27" s="3">
        <f t="shared" si="2"/>
        <v>0.29093224138182389</v>
      </c>
      <c r="C27" s="3">
        <f t="shared" si="3"/>
        <v>5.9630242187087137E-2</v>
      </c>
    </row>
    <row r="28" spans="1:8">
      <c r="A28" s="3">
        <f t="shared" si="4"/>
        <v>0.50000000000000022</v>
      </c>
      <c r="B28" s="3">
        <f t="shared" si="2"/>
        <v>0.26502620826625584</v>
      </c>
      <c r="C28" s="3">
        <f t="shared" si="3"/>
        <v>7.4889227934550912E-2</v>
      </c>
    </row>
    <row r="29" spans="1:8">
      <c r="A29" s="3">
        <f t="shared" si="4"/>
        <v>0.30000000000000021</v>
      </c>
      <c r="B29" s="3">
        <f t="shared" si="2"/>
        <v>0.28342755956284227</v>
      </c>
      <c r="C29" s="3">
        <f t="shared" si="3"/>
        <v>9.0148213682014686E-2</v>
      </c>
    </row>
    <row r="30" spans="1:8">
      <c r="A30" s="3">
        <f t="shared" si="4"/>
        <v>0.1000000000000002</v>
      </c>
      <c r="B30" s="3">
        <f t="shared" si="2"/>
        <v>0.33899622480306618</v>
      </c>
      <c r="C30" s="3">
        <f t="shared" si="3"/>
        <v>0.10540719942947849</v>
      </c>
    </row>
    <row r="31" spans="1:8">
      <c r="A31" s="3">
        <f t="shared" si="4"/>
        <v>-9.9999999999999811E-2</v>
      </c>
      <c r="B31" s="3">
        <f t="shared" si="2"/>
        <v>0.41713387275662023</v>
      </c>
      <c r="C31" s="3">
        <f t="shared" si="3"/>
        <v>0.12066618517694229</v>
      </c>
    </row>
    <row r="32" spans="1:8">
      <c r="A32" s="3">
        <f t="shared" si="4"/>
        <v>-0.29999999999999982</v>
      </c>
      <c r="B32" s="3">
        <f t="shared" si="2"/>
        <v>0.5075212937703838</v>
      </c>
      <c r="C32" s="3">
        <f t="shared" si="3"/>
        <v>0.13592517092440604</v>
      </c>
    </row>
    <row r="33" spans="1:3">
      <c r="A33" s="3">
        <f t="shared" si="4"/>
        <v>-0.49999999999999983</v>
      </c>
      <c r="B33" s="3">
        <f t="shared" si="2"/>
        <v>0.60469002631018709</v>
      </c>
      <c r="C33" s="3">
        <f t="shared" si="3"/>
        <v>0.15118415667186982</v>
      </c>
    </row>
    <row r="34" spans="1:3">
      <c r="A34" s="3">
        <f t="shared" si="4"/>
        <v>-0.69999999999999984</v>
      </c>
      <c r="B34" s="3">
        <f t="shared" si="2"/>
        <v>0.70584499762121167</v>
      </c>
      <c r="C34" s="3">
        <f t="shared" si="3"/>
        <v>0.16644314241933361</v>
      </c>
    </row>
    <row r="35" spans="1:3">
      <c r="A35" s="3">
        <f t="shared" si="4"/>
        <v>-0.89999999999999991</v>
      </c>
      <c r="B35" s="3">
        <f t="shared" si="2"/>
        <v>0.80949321298821553</v>
      </c>
      <c r="C35" s="3">
        <f t="shared" si="3"/>
        <v>0.1817021281667974</v>
      </c>
    </row>
    <row r="37" spans="1:3">
      <c r="A37" t="s">
        <v>86</v>
      </c>
    </row>
    <row r="38" spans="1:3">
      <c r="A38" t="s">
        <v>87</v>
      </c>
      <c r="B38" t="s">
        <v>12</v>
      </c>
      <c r="C38" t="s">
        <v>81</v>
      </c>
    </row>
    <row r="39" spans="1:3">
      <c r="A39" s="3">
        <v>0</v>
      </c>
      <c r="B39" s="9">
        <f>A39*$B$18</f>
        <v>0</v>
      </c>
      <c r="C39" s="9">
        <f>A39*$B$17+(1-A39)*$B$9</f>
        <v>0.11</v>
      </c>
    </row>
    <row r="40" spans="1:3">
      <c r="A40" s="3">
        <v>1.4</v>
      </c>
      <c r="B40" s="9">
        <f>A40*$B$18</f>
        <v>0.54613217980400153</v>
      </c>
      <c r="C40" s="9">
        <f>A40*$B$17+(1-A40)*$B$9</f>
        <v>7.4384689922480721E-3</v>
      </c>
    </row>
  </sheetData>
  <mergeCells count="4">
    <mergeCell ref="G2:G3"/>
    <mergeCell ref="D11:G13"/>
    <mergeCell ref="A1:G1"/>
    <mergeCell ref="D18:G18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3"/>
  <sheetViews>
    <sheetView workbookViewId="0">
      <selection activeCell="E6" sqref="E6"/>
    </sheetView>
  </sheetViews>
  <sheetFormatPr defaultRowHeight="14.25"/>
  <cols>
    <col min="1" max="1" width="19.625" bestFit="1" customWidth="1"/>
  </cols>
  <sheetData>
    <row r="1" spans="1:7" ht="18">
      <c r="A1" s="90" t="s">
        <v>57</v>
      </c>
      <c r="B1" s="90"/>
      <c r="C1" s="90"/>
      <c r="D1" s="90"/>
      <c r="E1" s="90"/>
      <c r="F1" s="90"/>
      <c r="G1" s="90"/>
    </row>
    <row r="2" spans="1:7">
      <c r="B2" t="s">
        <v>41</v>
      </c>
      <c r="C2" t="s">
        <v>12</v>
      </c>
    </row>
    <row r="3" spans="1:7">
      <c r="A3" t="s">
        <v>54</v>
      </c>
      <c r="B3" s="3">
        <v>0.08</v>
      </c>
      <c r="C3" s="3">
        <v>0.15</v>
      </c>
    </row>
    <row r="4" spans="1:7">
      <c r="A4" t="s">
        <v>55</v>
      </c>
      <c r="B4" s="3">
        <v>0.04</v>
      </c>
      <c r="C4" s="3">
        <v>7.0000000000000007E-2</v>
      </c>
      <c r="E4" t="s">
        <v>43</v>
      </c>
      <c r="F4" s="33">
        <f>C4/C3</f>
        <v>0.46666666666666673</v>
      </c>
    </row>
    <row r="5" spans="1:7">
      <c r="B5" s="3"/>
      <c r="C5" s="3"/>
      <c r="F5" s="33"/>
    </row>
    <row r="6" spans="1:7">
      <c r="A6" t="s">
        <v>58</v>
      </c>
      <c r="B6" s="3"/>
      <c r="C6" s="3"/>
      <c r="F6" s="33"/>
    </row>
    <row r="7" spans="1:7" ht="15">
      <c r="A7" s="4"/>
      <c r="B7" s="36" t="str">
        <f>A3</f>
        <v>Efficient a</v>
      </c>
      <c r="C7" s="36" t="str">
        <f>A4</f>
        <v>Efficient b (MVP)</v>
      </c>
      <c r="F7" s="33"/>
    </row>
    <row r="8" spans="1:7" ht="15">
      <c r="A8" s="4" t="str">
        <f>A3</f>
        <v>Efficient a</v>
      </c>
      <c r="B8" s="35">
        <f>C3^2</f>
        <v>2.2499999999999999E-2</v>
      </c>
      <c r="C8" s="35">
        <f>C3*C4*F4</f>
        <v>4.9000000000000007E-3</v>
      </c>
      <c r="F8" s="33"/>
    </row>
    <row r="9" spans="1:7" ht="15">
      <c r="A9" s="4" t="str">
        <f>A4</f>
        <v>Efficient b (MVP)</v>
      </c>
      <c r="B9" s="35">
        <f>C8</f>
        <v>4.9000000000000007E-3</v>
      </c>
      <c r="C9" s="35">
        <f>C4^2</f>
        <v>4.9000000000000007E-3</v>
      </c>
      <c r="F9" s="33"/>
    </row>
    <row r="10" spans="1:7">
      <c r="B10" s="3"/>
      <c r="C10" s="3"/>
      <c r="F10" s="33"/>
    </row>
    <row r="11" spans="1:7">
      <c r="A11" t="s">
        <v>89</v>
      </c>
      <c r="B11" s="3">
        <v>0.01</v>
      </c>
      <c r="C11" s="3">
        <v>0</v>
      </c>
      <c r="F11" t="s">
        <v>38</v>
      </c>
    </row>
    <row r="12" spans="1:7">
      <c r="B12" s="3"/>
      <c r="C12" s="3"/>
    </row>
    <row r="13" spans="1:7">
      <c r="B13" s="3" t="s">
        <v>59</v>
      </c>
      <c r="C13" s="3" t="s">
        <v>60</v>
      </c>
    </row>
    <row r="14" spans="1:7" ht="15">
      <c r="A14" s="4" t="str">
        <f>A8</f>
        <v>Efficient a</v>
      </c>
      <c r="B14" s="34">
        <f t="array" ref="B14:B15">MMULT(MINVERSE(B8:C9),B3:B4-B11)</f>
        <v>2.2727272727272734</v>
      </c>
      <c r="C14" s="3">
        <f>B14/SUM($B$14:$B$15)</f>
        <v>0.37121212121212138</v>
      </c>
    </row>
    <row r="15" spans="1:7" ht="15">
      <c r="A15" s="4" t="str">
        <f>A9</f>
        <v>Efficient b (MVP)</v>
      </c>
      <c r="B15" s="34">
        <v>3.8497217068645622</v>
      </c>
      <c r="C15" s="3">
        <f>B15/SUM($B$14:$B$15)</f>
        <v>0.62878787878787856</v>
      </c>
    </row>
    <row r="16" spans="1:7">
      <c r="B16" s="3"/>
      <c r="C16" s="3"/>
    </row>
    <row r="17" spans="1:7">
      <c r="A17" t="s">
        <v>90</v>
      </c>
      <c r="B17" s="33">
        <f>D17*$B$3+(1-D17)*$B$4</f>
        <v>5.4848484848484855E-2</v>
      </c>
      <c r="C17" s="33">
        <f>SQRT(D17^2*$C$3^2+(1-D17)^2*$C$4^2+2*D17*(1-D17)*$C$3*$C$4*$F$4)</f>
        <v>8.5587689098681294E-2</v>
      </c>
      <c r="D17" s="3">
        <f>C14</f>
        <v>0.37121212121212138</v>
      </c>
    </row>
    <row r="18" spans="1:7">
      <c r="B18" s="33"/>
      <c r="C18" s="33"/>
      <c r="D18" s="3"/>
    </row>
    <row r="19" spans="1:7" ht="15">
      <c r="A19" s="4" t="s">
        <v>127</v>
      </c>
      <c r="D19" s="3"/>
    </row>
    <row r="20" spans="1:7">
      <c r="A20" t="s">
        <v>56</v>
      </c>
      <c r="B20" s="33" t="s">
        <v>12</v>
      </c>
      <c r="C20" s="33" t="s">
        <v>41</v>
      </c>
    </row>
    <row r="21" spans="1:7">
      <c r="A21" s="3">
        <v>0</v>
      </c>
      <c r="B21" s="33">
        <f>A21*$C$17</f>
        <v>0</v>
      </c>
      <c r="C21" s="33">
        <f>A21*$B$17+(1-A21)*$B$11</f>
        <v>0.01</v>
      </c>
    </row>
    <row r="22" spans="1:7">
      <c r="A22" s="3">
        <v>1.7</v>
      </c>
      <c r="B22" s="33">
        <f>A22*$C$17</f>
        <v>0.1454990714677582</v>
      </c>
      <c r="C22" s="33">
        <f>A22*$B$17+(1-A22)*$B$11</f>
        <v>8.6242424242424259E-2</v>
      </c>
    </row>
    <row r="24" spans="1:7" ht="15">
      <c r="A24" s="4" t="s">
        <v>50</v>
      </c>
      <c r="B24" s="4"/>
      <c r="C24" s="4"/>
      <c r="D24" s="4"/>
      <c r="E24" s="4" t="s">
        <v>51</v>
      </c>
    </row>
    <row r="25" spans="1:7">
      <c r="A25" t="s">
        <v>47</v>
      </c>
      <c r="B25" s="3">
        <v>0.06</v>
      </c>
      <c r="E25" t="s">
        <v>47</v>
      </c>
      <c r="F25" s="3">
        <v>-0.05</v>
      </c>
    </row>
    <row r="26" spans="1:7">
      <c r="A26" t="s">
        <v>44</v>
      </c>
      <c r="B26" t="s">
        <v>46</v>
      </c>
      <c r="C26" t="s">
        <v>45</v>
      </c>
      <c r="E26" t="s">
        <v>44</v>
      </c>
      <c r="F26" t="s">
        <v>46</v>
      </c>
      <c r="G26" t="s">
        <v>45</v>
      </c>
    </row>
    <row r="27" spans="1:7">
      <c r="A27" s="3">
        <v>0</v>
      </c>
      <c r="B27" s="3">
        <f t="shared" ref="B27:B43" si="0">SQRT(A27^2*$C$3^2+(1-A27)^2*$C$4^2+2*A27*(1-A27)*$C$3*$C$4*$F$4)</f>
        <v>7.0000000000000007E-2</v>
      </c>
      <c r="C27" s="9">
        <f t="shared" ref="C27:C43" si="1">A27*$B$3+(1-A27)*$B$4</f>
        <v>0.04</v>
      </c>
      <c r="E27" s="3">
        <v>0</v>
      </c>
      <c r="F27" s="3">
        <f>SQRT(E27^2*$C$3^2+(1-E27)^2*$C$4^2+2*E27*(1-E27)*$C$3*$C$4*$F$4)</f>
        <v>7.0000000000000007E-2</v>
      </c>
      <c r="G27" s="9">
        <f>E27*$B$3+(1-E27)*$B$4</f>
        <v>0.04</v>
      </c>
    </row>
    <row r="28" spans="1:7">
      <c r="A28" s="3">
        <f>A27+$B$25</f>
        <v>0.06</v>
      </c>
      <c r="B28" s="3">
        <f t="shared" si="0"/>
        <v>7.0451117805184607E-2</v>
      </c>
      <c r="C28" s="9">
        <f t="shared" si="1"/>
        <v>4.24E-2</v>
      </c>
      <c r="E28" s="3">
        <f>E27+$F$25</f>
        <v>-0.05</v>
      </c>
      <c r="F28" s="3">
        <f t="shared" ref="F28:F43" si="2">SQRT(E28^2*$C$3^2+(1-E28)^2*$C$4^2+2*E28*(1-E28)*$C$3*$C$4*$F$4)</f>
        <v>7.0313583324987786E-2</v>
      </c>
      <c r="G28" s="9">
        <f t="shared" ref="G28:G43" si="3">E28*$B$3+(1-E28)*$B$4</f>
        <v>3.8000000000000006E-2</v>
      </c>
    </row>
    <row r="29" spans="1:7">
      <c r="A29" s="3">
        <f t="shared" ref="A29:A43" si="4">A28+$B$25</f>
        <v>0.12</v>
      </c>
      <c r="B29" s="3">
        <f t="shared" si="0"/>
        <v>7.1787464086705277E-2</v>
      </c>
      <c r="C29" s="9">
        <f t="shared" si="1"/>
        <v>4.48E-2</v>
      </c>
      <c r="E29" s="3">
        <f t="shared" ref="E29:E43" si="5">E28+$F$25</f>
        <v>-0.1</v>
      </c>
      <c r="F29" s="3">
        <f t="shared" si="2"/>
        <v>7.1246052522227515E-2</v>
      </c>
      <c r="G29" s="9">
        <f t="shared" si="3"/>
        <v>3.6000000000000004E-2</v>
      </c>
    </row>
    <row r="30" spans="1:7">
      <c r="A30" s="3">
        <f t="shared" si="4"/>
        <v>0.18</v>
      </c>
      <c r="B30" s="3">
        <f t="shared" si="0"/>
        <v>7.3961070841355461E-2</v>
      </c>
      <c r="C30" s="9">
        <f t="shared" si="1"/>
        <v>4.7200000000000006E-2</v>
      </c>
      <c r="E30" s="3">
        <f t="shared" si="5"/>
        <v>-0.15000000000000002</v>
      </c>
      <c r="F30" s="3">
        <f t="shared" si="2"/>
        <v>7.2773621594641E-2</v>
      </c>
      <c r="G30" s="9">
        <f t="shared" si="3"/>
        <v>3.3999999999999996E-2</v>
      </c>
    </row>
    <row r="31" spans="1:7">
      <c r="A31" s="3">
        <f t="shared" si="4"/>
        <v>0.24</v>
      </c>
      <c r="B31" s="3">
        <f t="shared" si="0"/>
        <v>7.6900975286403231E-2</v>
      </c>
      <c r="C31" s="9">
        <f t="shared" si="1"/>
        <v>4.9599999999999998E-2</v>
      </c>
      <c r="E31" s="3">
        <f t="shared" si="5"/>
        <v>-0.2</v>
      </c>
      <c r="F31" s="3">
        <f t="shared" si="2"/>
        <v>7.4859869088851616E-2</v>
      </c>
      <c r="G31" s="9">
        <f t="shared" si="3"/>
        <v>3.2000000000000001E-2</v>
      </c>
    </row>
    <row r="32" spans="1:7">
      <c r="A32" s="3">
        <f t="shared" si="4"/>
        <v>0.3</v>
      </c>
      <c r="B32" s="3">
        <f t="shared" si="0"/>
        <v>8.0523288556789585E-2</v>
      </c>
      <c r="C32" s="9">
        <f t="shared" si="1"/>
        <v>5.1999999999999998E-2</v>
      </c>
      <c r="E32" s="3">
        <f t="shared" si="5"/>
        <v>-0.25</v>
      </c>
      <c r="F32" s="3">
        <f t="shared" si="2"/>
        <v>7.7459666924148338E-2</v>
      </c>
      <c r="G32" s="9">
        <f t="shared" si="3"/>
        <v>3.0000000000000002E-2</v>
      </c>
    </row>
    <row r="33" spans="1:7">
      <c r="A33" s="3">
        <f t="shared" si="4"/>
        <v>0.36</v>
      </c>
      <c r="B33" s="3">
        <f t="shared" si="0"/>
        <v>8.474054519531958E-2</v>
      </c>
      <c r="C33" s="9">
        <f t="shared" si="1"/>
        <v>5.4400000000000004E-2</v>
      </c>
      <c r="E33" s="3">
        <f t="shared" si="5"/>
        <v>-0.3</v>
      </c>
      <c r="F33" s="3">
        <f t="shared" si="2"/>
        <v>8.0523288556789599E-2</v>
      </c>
      <c r="G33" s="9">
        <f t="shared" si="3"/>
        <v>2.8000000000000004E-2</v>
      </c>
    </row>
    <row r="34" spans="1:7">
      <c r="A34" s="3">
        <f t="shared" si="4"/>
        <v>0.42</v>
      </c>
      <c r="B34" s="3">
        <f t="shared" si="0"/>
        <v>8.9468653728554559E-2</v>
      </c>
      <c r="C34" s="9">
        <f t="shared" si="1"/>
        <v>5.6800000000000003E-2</v>
      </c>
      <c r="E34" s="3">
        <f t="shared" si="5"/>
        <v>-0.35</v>
      </c>
      <c r="F34" s="3">
        <f t="shared" si="2"/>
        <v>8.4000000000000005E-2</v>
      </c>
      <c r="G34" s="9">
        <f t="shared" si="3"/>
        <v>2.6000000000000009E-2</v>
      </c>
    </row>
    <row r="35" spans="1:7">
      <c r="A35" s="3">
        <f t="shared" si="4"/>
        <v>0.48</v>
      </c>
      <c r="B35" s="3">
        <f t="shared" si="0"/>
        <v>9.4631073120830661E-2</v>
      </c>
      <c r="C35" s="9">
        <f t="shared" si="1"/>
        <v>5.9200000000000003E-2</v>
      </c>
      <c r="E35" s="3">
        <f t="shared" si="5"/>
        <v>-0.39999999999999997</v>
      </c>
      <c r="F35" s="3">
        <f t="shared" si="2"/>
        <v>8.7840765023990991E-2</v>
      </c>
      <c r="G35" s="9">
        <f t="shared" si="3"/>
        <v>2.3999999999999994E-2</v>
      </c>
    </row>
    <row r="36" spans="1:7">
      <c r="A36" s="3">
        <f t="shared" si="4"/>
        <v>0.54</v>
      </c>
      <c r="B36" s="3">
        <f t="shared" si="0"/>
        <v>0.10016067092427047</v>
      </c>
      <c r="C36" s="9">
        <f t="shared" si="1"/>
        <v>6.1600000000000002E-2</v>
      </c>
      <c r="E36" s="3">
        <f t="shared" si="5"/>
        <v>-0.44999999999999996</v>
      </c>
      <c r="F36" s="3">
        <f t="shared" si="2"/>
        <v>9.1999999999999998E-2</v>
      </c>
      <c r="G36" s="9">
        <f t="shared" si="3"/>
        <v>2.1999999999999999E-2</v>
      </c>
    </row>
    <row r="37" spans="1:7">
      <c r="A37" s="3">
        <f t="shared" si="4"/>
        <v>0.60000000000000009</v>
      </c>
      <c r="B37" s="3">
        <f t="shared" si="0"/>
        <v>0.10600000000000001</v>
      </c>
      <c r="C37" s="9">
        <f t="shared" si="1"/>
        <v>6.4000000000000001E-2</v>
      </c>
      <c r="E37" s="3">
        <f t="shared" si="5"/>
        <v>-0.49999999999999994</v>
      </c>
      <c r="F37" s="3">
        <f t="shared" si="2"/>
        <v>9.643650760992957E-2</v>
      </c>
      <c r="G37" s="9">
        <f t="shared" si="3"/>
        <v>2.0000000000000004E-2</v>
      </c>
    </row>
    <row r="38" spans="1:7">
      <c r="A38" s="3">
        <f t="shared" si="4"/>
        <v>0.66000000000000014</v>
      </c>
      <c r="B38" s="3">
        <f t="shared" si="0"/>
        <v>0.11210066904349859</v>
      </c>
      <c r="C38" s="9">
        <f t="shared" si="1"/>
        <v>6.6400000000000015E-2</v>
      </c>
      <c r="E38" s="3">
        <f t="shared" si="5"/>
        <v>-0.54999999999999993</v>
      </c>
      <c r="F38" s="3">
        <f t="shared" si="2"/>
        <v>0.1011137972781163</v>
      </c>
      <c r="G38" s="9">
        <f t="shared" si="3"/>
        <v>1.7999999999999995E-2</v>
      </c>
    </row>
    <row r="39" spans="1:7">
      <c r="A39" s="3">
        <f t="shared" si="4"/>
        <v>0.7200000000000002</v>
      </c>
      <c r="B39" s="3">
        <f t="shared" si="0"/>
        <v>0.1184222951981594</v>
      </c>
      <c r="C39" s="9">
        <f t="shared" si="1"/>
        <v>6.8800000000000014E-2</v>
      </c>
      <c r="E39" s="3">
        <f t="shared" si="5"/>
        <v>-0.6</v>
      </c>
      <c r="F39" s="3">
        <f t="shared" si="2"/>
        <v>0.10600000000000001</v>
      </c>
      <c r="G39" s="9">
        <f t="shared" si="3"/>
        <v>1.6E-2</v>
      </c>
    </row>
    <row r="40" spans="1:7">
      <c r="A40" s="3">
        <f t="shared" si="4"/>
        <v>0.78000000000000025</v>
      </c>
      <c r="B40" s="3">
        <f t="shared" si="0"/>
        <v>0.12493134114384592</v>
      </c>
      <c r="C40" s="9">
        <f t="shared" si="1"/>
        <v>7.1200000000000013E-2</v>
      </c>
      <c r="E40" s="3">
        <f t="shared" si="5"/>
        <v>-0.65</v>
      </c>
      <c r="F40" s="3">
        <f t="shared" si="2"/>
        <v>0.11106754701531855</v>
      </c>
      <c r="G40" s="9">
        <f t="shared" si="3"/>
        <v>1.3999999999999999E-2</v>
      </c>
    </row>
    <row r="41" spans="1:7">
      <c r="A41" s="3">
        <f t="shared" si="4"/>
        <v>0.8400000000000003</v>
      </c>
      <c r="B41" s="3">
        <f t="shared" si="0"/>
        <v>0.13160000000000005</v>
      </c>
      <c r="C41" s="9">
        <f t="shared" si="1"/>
        <v>7.3600000000000013E-2</v>
      </c>
      <c r="E41" s="3">
        <f t="shared" si="5"/>
        <v>-0.70000000000000007</v>
      </c>
      <c r="F41" s="3">
        <f t="shared" si="2"/>
        <v>0.11629273408085306</v>
      </c>
      <c r="G41" s="9">
        <f t="shared" si="3"/>
        <v>1.1999999999999997E-2</v>
      </c>
    </row>
    <row r="42" spans="1:7">
      <c r="A42" s="3">
        <f t="shared" si="4"/>
        <v>0.90000000000000036</v>
      </c>
      <c r="B42" s="3">
        <f t="shared" si="0"/>
        <v>0.1384052022143677</v>
      </c>
      <c r="C42" s="9">
        <f t="shared" si="1"/>
        <v>7.6000000000000026E-2</v>
      </c>
      <c r="E42" s="3">
        <f t="shared" si="5"/>
        <v>-0.75000000000000011</v>
      </c>
      <c r="F42" s="3">
        <f t="shared" si="2"/>
        <v>0.1216552506059644</v>
      </c>
      <c r="G42" s="9">
        <f t="shared" si="3"/>
        <v>9.999999999999995E-3</v>
      </c>
    </row>
    <row r="43" spans="1:7">
      <c r="A43" s="3">
        <f t="shared" si="4"/>
        <v>0.96000000000000041</v>
      </c>
      <c r="B43" s="3">
        <f t="shared" si="0"/>
        <v>0.14532776747751963</v>
      </c>
      <c r="C43" s="9">
        <f t="shared" si="1"/>
        <v>7.8400000000000025E-2</v>
      </c>
      <c r="E43" s="3">
        <f t="shared" si="5"/>
        <v>-0.80000000000000016</v>
      </c>
      <c r="F43" s="3">
        <f t="shared" si="2"/>
        <v>0.12713772060250256</v>
      </c>
      <c r="G43" s="9">
        <f t="shared" si="3"/>
        <v>7.9999999999999932E-3</v>
      </c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N20"/>
  <sheetViews>
    <sheetView workbookViewId="0">
      <selection activeCell="E10" sqref="E10"/>
    </sheetView>
  </sheetViews>
  <sheetFormatPr defaultRowHeight="14.25"/>
  <cols>
    <col min="1" max="1" width="13.25" customWidth="1"/>
    <col min="2" max="5" width="9.25" customWidth="1"/>
    <col min="6" max="6" width="8" bestFit="1" customWidth="1"/>
    <col min="7" max="7" width="11.375" customWidth="1"/>
    <col min="8" max="8" width="17.75" bestFit="1" customWidth="1"/>
    <col min="9" max="9" width="17.25" customWidth="1"/>
    <col min="12" max="12" width="11.75" customWidth="1"/>
  </cols>
  <sheetData>
    <row r="1" spans="1:14" ht="18">
      <c r="A1" s="90" t="s">
        <v>94</v>
      </c>
      <c r="B1" s="90"/>
      <c r="C1" s="90"/>
      <c r="D1" s="90"/>
      <c r="E1" s="90"/>
      <c r="F1" s="90"/>
      <c r="G1" s="90"/>
      <c r="H1" s="12"/>
      <c r="I1" s="12"/>
    </row>
    <row r="2" spans="1:14" ht="14.65" customHeight="1">
      <c r="A2" s="8" t="s">
        <v>67</v>
      </c>
      <c r="C2" s="8"/>
      <c r="D2" s="8"/>
      <c r="E2" s="8"/>
      <c r="F2" s="41"/>
      <c r="G2" s="97" t="s">
        <v>0</v>
      </c>
      <c r="H2" s="2"/>
      <c r="I2" s="2"/>
      <c r="J2" s="2"/>
      <c r="K2" s="2"/>
      <c r="M2" s="3"/>
    </row>
    <row r="3" spans="1:14" ht="15">
      <c r="B3" s="37" t="s">
        <v>26</v>
      </c>
      <c r="C3" s="37" t="s">
        <v>27</v>
      </c>
      <c r="D3" s="37" t="s">
        <v>28</v>
      </c>
      <c r="E3" s="37" t="s">
        <v>29</v>
      </c>
      <c r="F3" s="41"/>
      <c r="G3" s="97"/>
      <c r="H3" s="2"/>
      <c r="I3" s="2" t="s">
        <v>12</v>
      </c>
      <c r="J3" s="2"/>
      <c r="K3" s="2"/>
      <c r="M3" s="3"/>
    </row>
    <row r="4" spans="1:14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 s="41"/>
      <c r="G4" s="43">
        <v>0.06</v>
      </c>
      <c r="H4" s="2"/>
      <c r="I4" s="2">
        <f>SQRT(B4)</f>
        <v>0.31622776601683794</v>
      </c>
      <c r="J4" s="2"/>
      <c r="K4" s="2"/>
      <c r="L4" s="2"/>
      <c r="M4" s="2"/>
      <c r="N4" s="2"/>
    </row>
    <row r="5" spans="1:14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 s="41"/>
      <c r="G5" s="43">
        <v>0.08</v>
      </c>
      <c r="H5" s="2"/>
      <c r="I5" s="2">
        <f>SQRT(C5)</f>
        <v>0.54772255750516607</v>
      </c>
      <c r="J5" s="2"/>
      <c r="K5" s="2"/>
      <c r="L5" s="2"/>
      <c r="M5" s="2"/>
    </row>
    <row r="6" spans="1:14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 s="41"/>
      <c r="G6" s="43">
        <v>0.1</v>
      </c>
      <c r="H6" s="2"/>
      <c r="I6" s="2">
        <f>SQRT(D6)</f>
        <v>0.63245553203367588</v>
      </c>
      <c r="J6" s="2"/>
      <c r="K6" s="2"/>
      <c r="L6" s="2"/>
    </row>
    <row r="7" spans="1:14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 s="41"/>
      <c r="G7" s="43">
        <v>0.15</v>
      </c>
      <c r="H7" s="2"/>
      <c r="I7" s="2">
        <f>SQRT(E7)</f>
        <v>0.70710678118654757</v>
      </c>
      <c r="J7" s="2"/>
      <c r="K7" s="2"/>
    </row>
    <row r="9" spans="1:14" ht="15.75" thickBot="1">
      <c r="A9" s="37" t="s">
        <v>95</v>
      </c>
      <c r="B9">
        <v>1</v>
      </c>
      <c r="C9">
        <v>1</v>
      </c>
      <c r="D9">
        <v>1</v>
      </c>
      <c r="E9">
        <v>1</v>
      </c>
    </row>
    <row r="10" spans="1:14" ht="14.65" customHeight="1">
      <c r="A10" s="37" t="s">
        <v>96</v>
      </c>
      <c r="B10" s="33">
        <f t="array" ref="B10:E10">MMULT(B9:E9, MINVERSE(B4:E7))/MMULT(MMULT(B9:E9,MINVERSE(B4:E7)),TRANSPOSE(B9:E9))</f>
        <v>0.60623812539582</v>
      </c>
      <c r="C10" s="33">
        <v>0.20709309689677013</v>
      </c>
      <c r="D10" s="33">
        <v>9.4205193160228018E-2</v>
      </c>
      <c r="E10" s="33">
        <v>9.2463584547181774E-2</v>
      </c>
      <c r="F10" s="121" t="str">
        <f ca="1">"&lt;--"&amp;_xlfn.FORMULATEXT(E10)</f>
        <v>&lt;--{=MMULT(B9:E9, MINVERSE(B4:E7))/MMULT(MMULT(B9:E9,MINVERSE(B4:E7)),TRANSPOSE(B9:E9))}</v>
      </c>
      <c r="G10" s="122"/>
      <c r="H10" s="123"/>
    </row>
    <row r="11" spans="1:14">
      <c r="F11" s="124"/>
      <c r="G11" s="125"/>
      <c r="H11" s="126"/>
    </row>
    <row r="12" spans="1:14" ht="15.75" thickBot="1">
      <c r="A12" s="37" t="s">
        <v>97</v>
      </c>
      <c r="B12" s="4" t="s">
        <v>98</v>
      </c>
      <c r="F12" s="127"/>
      <c r="G12" s="128"/>
      <c r="H12" s="129"/>
    </row>
    <row r="13" spans="1:14" ht="15" thickBot="1">
      <c r="A13">
        <v>1</v>
      </c>
      <c r="B13" s="33">
        <f t="array" ref="B13:B16">MMULT(MINVERSE(B4:E7),A13:A16)/MMULT(MMULT(TRANSPOSE(A13:A16),MINVERSE(B4:E7)),A13:A16)</f>
        <v>0.60623812539582</v>
      </c>
    </row>
    <row r="14" spans="1:14">
      <c r="A14">
        <v>1</v>
      </c>
      <c r="B14" s="33">
        <v>0.20709309689677013</v>
      </c>
      <c r="C14" s="112" t="str">
        <f ca="1">"&lt;--"&amp;_xlfn.FORMULATEXT(B14)</f>
        <v>&lt;--{=MMULT(MINVERSE(B4:E7),A13:A16)/MMULT(MMULT(TRANSPOSE(A13:A16),MINVERSE(B4:E7)),A13:A16)}</v>
      </c>
      <c r="D14" s="113"/>
      <c r="E14" s="113"/>
      <c r="F14" s="113"/>
      <c r="G14" s="114"/>
    </row>
    <row r="15" spans="1:14">
      <c r="A15">
        <v>1</v>
      </c>
      <c r="B15" s="33">
        <v>9.4205193160228018E-2</v>
      </c>
      <c r="C15" s="115"/>
      <c r="D15" s="116"/>
      <c r="E15" s="116"/>
      <c r="F15" s="116"/>
      <c r="G15" s="117"/>
    </row>
    <row r="16" spans="1:14" ht="15" thickBot="1">
      <c r="A16">
        <v>1</v>
      </c>
      <c r="B16" s="33">
        <v>9.2463584547181774E-2</v>
      </c>
      <c r="C16" s="118"/>
      <c r="D16" s="119"/>
      <c r="E16" s="119"/>
      <c r="F16" s="119"/>
      <c r="G16" s="120"/>
    </row>
    <row r="18" spans="1:3">
      <c r="A18" t="s">
        <v>81</v>
      </c>
      <c r="B18" s="9">
        <f>SUMPRODUCT(B13:B16,G4:G7)</f>
        <v>7.6231792273590879E-2</v>
      </c>
      <c r="C18" t="str">
        <f ca="1">"&lt;--"&amp;_xlfn.FORMULATEXT(B18)</f>
        <v>&lt;--=SUMPRODUCT(B13:B16,G4:G7)</v>
      </c>
    </row>
    <row r="19" spans="1:3">
      <c r="A19" t="s">
        <v>99</v>
      </c>
      <c r="B19">
        <f t="array" ref="B19">MMULT(MMULT(TRANSPOSE(B13:B16),B4:E7),B13:B16)</f>
        <v>7.0144078530715637E-2</v>
      </c>
      <c r="C19" t="str">
        <f ca="1">"&lt;--"&amp;_xlfn.FORMULATEXT(B19)</f>
        <v>&lt;--{=MMULT(MMULT(TRANSPOSE(B13:B16),B4:E7),B13:B16)}</v>
      </c>
    </row>
    <row r="20" spans="1:3">
      <c r="A20" t="s">
        <v>12</v>
      </c>
      <c r="B20" s="9">
        <f>SQRT(B19)</f>
        <v>0.26484727397259661</v>
      </c>
      <c r="C20" t="str">
        <f ca="1">"&lt;--"&amp;_xlfn.FORMULATEXT(B20)</f>
        <v>&lt;--=SQRT(B19)</v>
      </c>
    </row>
  </sheetData>
  <mergeCells count="4">
    <mergeCell ref="C14:G16"/>
    <mergeCell ref="A1:G1"/>
    <mergeCell ref="G2:G3"/>
    <mergeCell ref="F10:H12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47"/>
  <sheetViews>
    <sheetView workbookViewId="0">
      <selection activeCell="B38" sqref="B38"/>
    </sheetView>
  </sheetViews>
  <sheetFormatPr defaultRowHeight="12.75"/>
  <cols>
    <col min="1" max="1" width="14.75" style="16" customWidth="1"/>
    <col min="2" max="5" width="9.625" style="16" customWidth="1"/>
    <col min="6" max="6" width="16.5" style="16" customWidth="1"/>
    <col min="7" max="7" width="23.125" style="16" bestFit="1" customWidth="1"/>
    <col min="8" max="8" width="24.125" style="16" bestFit="1" customWidth="1"/>
    <col min="9" max="256" width="8.75" style="16"/>
    <col min="257" max="257" width="14.75" style="16" customWidth="1"/>
    <col min="258" max="261" width="9.625" style="16" customWidth="1"/>
    <col min="262" max="262" width="18.75" style="16" customWidth="1"/>
    <col min="263" max="263" width="19.25" style="16" customWidth="1"/>
    <col min="264" max="264" width="24.875" style="16" bestFit="1" customWidth="1"/>
    <col min="265" max="512" width="8.75" style="16"/>
    <col min="513" max="513" width="14.75" style="16" customWidth="1"/>
    <col min="514" max="517" width="9.625" style="16" customWidth="1"/>
    <col min="518" max="518" width="18.75" style="16" customWidth="1"/>
    <col min="519" max="519" width="19.25" style="16" customWidth="1"/>
    <col min="520" max="520" width="24.875" style="16" bestFit="1" customWidth="1"/>
    <col min="521" max="768" width="8.75" style="16"/>
    <col min="769" max="769" width="14.75" style="16" customWidth="1"/>
    <col min="770" max="773" width="9.625" style="16" customWidth="1"/>
    <col min="774" max="774" width="18.75" style="16" customWidth="1"/>
    <col min="775" max="775" width="19.25" style="16" customWidth="1"/>
    <col min="776" max="776" width="24.875" style="16" bestFit="1" customWidth="1"/>
    <col min="777" max="1024" width="8.75" style="16"/>
    <col min="1025" max="1025" width="14.75" style="16" customWidth="1"/>
    <col min="1026" max="1029" width="9.625" style="16" customWidth="1"/>
    <col min="1030" max="1030" width="18.75" style="16" customWidth="1"/>
    <col min="1031" max="1031" width="19.25" style="16" customWidth="1"/>
    <col min="1032" max="1032" width="24.875" style="16" bestFit="1" customWidth="1"/>
    <col min="1033" max="1280" width="8.75" style="16"/>
    <col min="1281" max="1281" width="14.75" style="16" customWidth="1"/>
    <col min="1282" max="1285" width="9.625" style="16" customWidth="1"/>
    <col min="1286" max="1286" width="18.75" style="16" customWidth="1"/>
    <col min="1287" max="1287" width="19.25" style="16" customWidth="1"/>
    <col min="1288" max="1288" width="24.875" style="16" bestFit="1" customWidth="1"/>
    <col min="1289" max="1536" width="8.75" style="16"/>
    <col min="1537" max="1537" width="14.75" style="16" customWidth="1"/>
    <col min="1538" max="1541" width="9.625" style="16" customWidth="1"/>
    <col min="1542" max="1542" width="18.75" style="16" customWidth="1"/>
    <col min="1543" max="1543" width="19.25" style="16" customWidth="1"/>
    <col min="1544" max="1544" width="24.875" style="16" bestFit="1" customWidth="1"/>
    <col min="1545" max="1792" width="8.75" style="16"/>
    <col min="1793" max="1793" width="14.75" style="16" customWidth="1"/>
    <col min="1794" max="1797" width="9.625" style="16" customWidth="1"/>
    <col min="1798" max="1798" width="18.75" style="16" customWidth="1"/>
    <col min="1799" max="1799" width="19.25" style="16" customWidth="1"/>
    <col min="1800" max="1800" width="24.875" style="16" bestFit="1" customWidth="1"/>
    <col min="1801" max="2048" width="8.75" style="16"/>
    <col min="2049" max="2049" width="14.75" style="16" customWidth="1"/>
    <col min="2050" max="2053" width="9.625" style="16" customWidth="1"/>
    <col min="2054" max="2054" width="18.75" style="16" customWidth="1"/>
    <col min="2055" max="2055" width="19.25" style="16" customWidth="1"/>
    <col min="2056" max="2056" width="24.875" style="16" bestFit="1" customWidth="1"/>
    <col min="2057" max="2304" width="8.75" style="16"/>
    <col min="2305" max="2305" width="14.75" style="16" customWidth="1"/>
    <col min="2306" max="2309" width="9.625" style="16" customWidth="1"/>
    <col min="2310" max="2310" width="18.75" style="16" customWidth="1"/>
    <col min="2311" max="2311" width="19.25" style="16" customWidth="1"/>
    <col min="2312" max="2312" width="24.875" style="16" bestFit="1" customWidth="1"/>
    <col min="2313" max="2560" width="8.75" style="16"/>
    <col min="2561" max="2561" width="14.75" style="16" customWidth="1"/>
    <col min="2562" max="2565" width="9.625" style="16" customWidth="1"/>
    <col min="2566" max="2566" width="18.75" style="16" customWidth="1"/>
    <col min="2567" max="2567" width="19.25" style="16" customWidth="1"/>
    <col min="2568" max="2568" width="24.875" style="16" bestFit="1" customWidth="1"/>
    <col min="2569" max="2816" width="8.75" style="16"/>
    <col min="2817" max="2817" width="14.75" style="16" customWidth="1"/>
    <col min="2818" max="2821" width="9.625" style="16" customWidth="1"/>
    <col min="2822" max="2822" width="18.75" style="16" customWidth="1"/>
    <col min="2823" max="2823" width="19.25" style="16" customWidth="1"/>
    <col min="2824" max="2824" width="24.875" style="16" bestFit="1" customWidth="1"/>
    <col min="2825" max="3072" width="8.75" style="16"/>
    <col min="3073" max="3073" width="14.75" style="16" customWidth="1"/>
    <col min="3074" max="3077" width="9.625" style="16" customWidth="1"/>
    <col min="3078" max="3078" width="18.75" style="16" customWidth="1"/>
    <col min="3079" max="3079" width="19.25" style="16" customWidth="1"/>
    <col min="3080" max="3080" width="24.875" style="16" bestFit="1" customWidth="1"/>
    <col min="3081" max="3328" width="8.75" style="16"/>
    <col min="3329" max="3329" width="14.75" style="16" customWidth="1"/>
    <col min="3330" max="3333" width="9.625" style="16" customWidth="1"/>
    <col min="3334" max="3334" width="18.75" style="16" customWidth="1"/>
    <col min="3335" max="3335" width="19.25" style="16" customWidth="1"/>
    <col min="3336" max="3336" width="24.875" style="16" bestFit="1" customWidth="1"/>
    <col min="3337" max="3584" width="8.75" style="16"/>
    <col min="3585" max="3585" width="14.75" style="16" customWidth="1"/>
    <col min="3586" max="3589" width="9.625" style="16" customWidth="1"/>
    <col min="3590" max="3590" width="18.75" style="16" customWidth="1"/>
    <col min="3591" max="3591" width="19.25" style="16" customWidth="1"/>
    <col min="3592" max="3592" width="24.875" style="16" bestFit="1" customWidth="1"/>
    <col min="3593" max="3840" width="8.75" style="16"/>
    <col min="3841" max="3841" width="14.75" style="16" customWidth="1"/>
    <col min="3842" max="3845" width="9.625" style="16" customWidth="1"/>
    <col min="3846" max="3846" width="18.75" style="16" customWidth="1"/>
    <col min="3847" max="3847" width="19.25" style="16" customWidth="1"/>
    <col min="3848" max="3848" width="24.875" style="16" bestFit="1" customWidth="1"/>
    <col min="3849" max="4096" width="8.75" style="16"/>
    <col min="4097" max="4097" width="14.75" style="16" customWidth="1"/>
    <col min="4098" max="4101" width="9.625" style="16" customWidth="1"/>
    <col min="4102" max="4102" width="18.75" style="16" customWidth="1"/>
    <col min="4103" max="4103" width="19.25" style="16" customWidth="1"/>
    <col min="4104" max="4104" width="24.875" style="16" bestFit="1" customWidth="1"/>
    <col min="4105" max="4352" width="8.75" style="16"/>
    <col min="4353" max="4353" width="14.75" style="16" customWidth="1"/>
    <col min="4354" max="4357" width="9.625" style="16" customWidth="1"/>
    <col min="4358" max="4358" width="18.75" style="16" customWidth="1"/>
    <col min="4359" max="4359" width="19.25" style="16" customWidth="1"/>
    <col min="4360" max="4360" width="24.875" style="16" bestFit="1" customWidth="1"/>
    <col min="4361" max="4608" width="8.75" style="16"/>
    <col min="4609" max="4609" width="14.75" style="16" customWidth="1"/>
    <col min="4610" max="4613" width="9.625" style="16" customWidth="1"/>
    <col min="4614" max="4614" width="18.75" style="16" customWidth="1"/>
    <col min="4615" max="4615" width="19.25" style="16" customWidth="1"/>
    <col min="4616" max="4616" width="24.875" style="16" bestFit="1" customWidth="1"/>
    <col min="4617" max="4864" width="8.75" style="16"/>
    <col min="4865" max="4865" width="14.75" style="16" customWidth="1"/>
    <col min="4866" max="4869" width="9.625" style="16" customWidth="1"/>
    <col min="4870" max="4870" width="18.75" style="16" customWidth="1"/>
    <col min="4871" max="4871" width="19.25" style="16" customWidth="1"/>
    <col min="4872" max="4872" width="24.875" style="16" bestFit="1" customWidth="1"/>
    <col min="4873" max="5120" width="8.75" style="16"/>
    <col min="5121" max="5121" width="14.75" style="16" customWidth="1"/>
    <col min="5122" max="5125" width="9.625" style="16" customWidth="1"/>
    <col min="5126" max="5126" width="18.75" style="16" customWidth="1"/>
    <col min="5127" max="5127" width="19.25" style="16" customWidth="1"/>
    <col min="5128" max="5128" width="24.875" style="16" bestFit="1" customWidth="1"/>
    <col min="5129" max="5376" width="8.75" style="16"/>
    <col min="5377" max="5377" width="14.75" style="16" customWidth="1"/>
    <col min="5378" max="5381" width="9.625" style="16" customWidth="1"/>
    <col min="5382" max="5382" width="18.75" style="16" customWidth="1"/>
    <col min="5383" max="5383" width="19.25" style="16" customWidth="1"/>
    <col min="5384" max="5384" width="24.875" style="16" bestFit="1" customWidth="1"/>
    <col min="5385" max="5632" width="8.75" style="16"/>
    <col min="5633" max="5633" width="14.75" style="16" customWidth="1"/>
    <col min="5634" max="5637" width="9.625" style="16" customWidth="1"/>
    <col min="5638" max="5638" width="18.75" style="16" customWidth="1"/>
    <col min="5639" max="5639" width="19.25" style="16" customWidth="1"/>
    <col min="5640" max="5640" width="24.875" style="16" bestFit="1" customWidth="1"/>
    <col min="5641" max="5888" width="8.75" style="16"/>
    <col min="5889" max="5889" width="14.75" style="16" customWidth="1"/>
    <col min="5890" max="5893" width="9.625" style="16" customWidth="1"/>
    <col min="5894" max="5894" width="18.75" style="16" customWidth="1"/>
    <col min="5895" max="5895" width="19.25" style="16" customWidth="1"/>
    <col min="5896" max="5896" width="24.875" style="16" bestFit="1" customWidth="1"/>
    <col min="5897" max="6144" width="8.75" style="16"/>
    <col min="6145" max="6145" width="14.75" style="16" customWidth="1"/>
    <col min="6146" max="6149" width="9.625" style="16" customWidth="1"/>
    <col min="6150" max="6150" width="18.75" style="16" customWidth="1"/>
    <col min="6151" max="6151" width="19.25" style="16" customWidth="1"/>
    <col min="6152" max="6152" width="24.875" style="16" bestFit="1" customWidth="1"/>
    <col min="6153" max="6400" width="8.75" style="16"/>
    <col min="6401" max="6401" width="14.75" style="16" customWidth="1"/>
    <col min="6402" max="6405" width="9.625" style="16" customWidth="1"/>
    <col min="6406" max="6406" width="18.75" style="16" customWidth="1"/>
    <col min="6407" max="6407" width="19.25" style="16" customWidth="1"/>
    <col min="6408" max="6408" width="24.875" style="16" bestFit="1" customWidth="1"/>
    <col min="6409" max="6656" width="8.75" style="16"/>
    <col min="6657" max="6657" width="14.75" style="16" customWidth="1"/>
    <col min="6658" max="6661" width="9.625" style="16" customWidth="1"/>
    <col min="6662" max="6662" width="18.75" style="16" customWidth="1"/>
    <col min="6663" max="6663" width="19.25" style="16" customWidth="1"/>
    <col min="6664" max="6664" width="24.875" style="16" bestFit="1" customWidth="1"/>
    <col min="6665" max="6912" width="8.75" style="16"/>
    <col min="6913" max="6913" width="14.75" style="16" customWidth="1"/>
    <col min="6914" max="6917" width="9.625" style="16" customWidth="1"/>
    <col min="6918" max="6918" width="18.75" style="16" customWidth="1"/>
    <col min="6919" max="6919" width="19.25" style="16" customWidth="1"/>
    <col min="6920" max="6920" width="24.875" style="16" bestFit="1" customWidth="1"/>
    <col min="6921" max="7168" width="8.75" style="16"/>
    <col min="7169" max="7169" width="14.75" style="16" customWidth="1"/>
    <col min="7170" max="7173" width="9.625" style="16" customWidth="1"/>
    <col min="7174" max="7174" width="18.75" style="16" customWidth="1"/>
    <col min="7175" max="7175" width="19.25" style="16" customWidth="1"/>
    <col min="7176" max="7176" width="24.875" style="16" bestFit="1" customWidth="1"/>
    <col min="7177" max="7424" width="8.75" style="16"/>
    <col min="7425" max="7425" width="14.75" style="16" customWidth="1"/>
    <col min="7426" max="7429" width="9.625" style="16" customWidth="1"/>
    <col min="7430" max="7430" width="18.75" style="16" customWidth="1"/>
    <col min="7431" max="7431" width="19.25" style="16" customWidth="1"/>
    <col min="7432" max="7432" width="24.875" style="16" bestFit="1" customWidth="1"/>
    <col min="7433" max="7680" width="8.75" style="16"/>
    <col min="7681" max="7681" width="14.75" style="16" customWidth="1"/>
    <col min="7682" max="7685" width="9.625" style="16" customWidth="1"/>
    <col min="7686" max="7686" width="18.75" style="16" customWidth="1"/>
    <col min="7687" max="7687" width="19.25" style="16" customWidth="1"/>
    <col min="7688" max="7688" width="24.875" style="16" bestFit="1" customWidth="1"/>
    <col min="7689" max="7936" width="8.75" style="16"/>
    <col min="7937" max="7937" width="14.75" style="16" customWidth="1"/>
    <col min="7938" max="7941" width="9.625" style="16" customWidth="1"/>
    <col min="7942" max="7942" width="18.75" style="16" customWidth="1"/>
    <col min="7943" max="7943" width="19.25" style="16" customWidth="1"/>
    <col min="7944" max="7944" width="24.875" style="16" bestFit="1" customWidth="1"/>
    <col min="7945" max="8192" width="8.75" style="16"/>
    <col min="8193" max="8193" width="14.75" style="16" customWidth="1"/>
    <col min="8194" max="8197" width="9.625" style="16" customWidth="1"/>
    <col min="8198" max="8198" width="18.75" style="16" customWidth="1"/>
    <col min="8199" max="8199" width="19.25" style="16" customWidth="1"/>
    <col min="8200" max="8200" width="24.875" style="16" bestFit="1" customWidth="1"/>
    <col min="8201" max="8448" width="8.75" style="16"/>
    <col min="8449" max="8449" width="14.75" style="16" customWidth="1"/>
    <col min="8450" max="8453" width="9.625" style="16" customWidth="1"/>
    <col min="8454" max="8454" width="18.75" style="16" customWidth="1"/>
    <col min="8455" max="8455" width="19.25" style="16" customWidth="1"/>
    <col min="8456" max="8456" width="24.875" style="16" bestFit="1" customWidth="1"/>
    <col min="8457" max="8704" width="8.75" style="16"/>
    <col min="8705" max="8705" width="14.75" style="16" customWidth="1"/>
    <col min="8706" max="8709" width="9.625" style="16" customWidth="1"/>
    <col min="8710" max="8710" width="18.75" style="16" customWidth="1"/>
    <col min="8711" max="8711" width="19.25" style="16" customWidth="1"/>
    <col min="8712" max="8712" width="24.875" style="16" bestFit="1" customWidth="1"/>
    <col min="8713" max="8960" width="8.75" style="16"/>
    <col min="8961" max="8961" width="14.75" style="16" customWidth="1"/>
    <col min="8962" max="8965" width="9.625" style="16" customWidth="1"/>
    <col min="8966" max="8966" width="18.75" style="16" customWidth="1"/>
    <col min="8967" max="8967" width="19.25" style="16" customWidth="1"/>
    <col min="8968" max="8968" width="24.875" style="16" bestFit="1" customWidth="1"/>
    <col min="8969" max="9216" width="8.75" style="16"/>
    <col min="9217" max="9217" width="14.75" style="16" customWidth="1"/>
    <col min="9218" max="9221" width="9.625" style="16" customWidth="1"/>
    <col min="9222" max="9222" width="18.75" style="16" customWidth="1"/>
    <col min="9223" max="9223" width="19.25" style="16" customWidth="1"/>
    <col min="9224" max="9224" width="24.875" style="16" bestFit="1" customWidth="1"/>
    <col min="9225" max="9472" width="8.75" style="16"/>
    <col min="9473" max="9473" width="14.75" style="16" customWidth="1"/>
    <col min="9474" max="9477" width="9.625" style="16" customWidth="1"/>
    <col min="9478" max="9478" width="18.75" style="16" customWidth="1"/>
    <col min="9479" max="9479" width="19.25" style="16" customWidth="1"/>
    <col min="9480" max="9480" width="24.875" style="16" bestFit="1" customWidth="1"/>
    <col min="9481" max="9728" width="8.75" style="16"/>
    <col min="9729" max="9729" width="14.75" style="16" customWidth="1"/>
    <col min="9730" max="9733" width="9.625" style="16" customWidth="1"/>
    <col min="9734" max="9734" width="18.75" style="16" customWidth="1"/>
    <col min="9735" max="9735" width="19.25" style="16" customWidth="1"/>
    <col min="9736" max="9736" width="24.875" style="16" bestFit="1" customWidth="1"/>
    <col min="9737" max="9984" width="8.75" style="16"/>
    <col min="9985" max="9985" width="14.75" style="16" customWidth="1"/>
    <col min="9986" max="9989" width="9.625" style="16" customWidth="1"/>
    <col min="9990" max="9990" width="18.75" style="16" customWidth="1"/>
    <col min="9991" max="9991" width="19.25" style="16" customWidth="1"/>
    <col min="9992" max="9992" width="24.875" style="16" bestFit="1" customWidth="1"/>
    <col min="9993" max="10240" width="8.75" style="16"/>
    <col min="10241" max="10241" width="14.75" style="16" customWidth="1"/>
    <col min="10242" max="10245" width="9.625" style="16" customWidth="1"/>
    <col min="10246" max="10246" width="18.75" style="16" customWidth="1"/>
    <col min="10247" max="10247" width="19.25" style="16" customWidth="1"/>
    <col min="10248" max="10248" width="24.875" style="16" bestFit="1" customWidth="1"/>
    <col min="10249" max="10496" width="8.75" style="16"/>
    <col min="10497" max="10497" width="14.75" style="16" customWidth="1"/>
    <col min="10498" max="10501" width="9.625" style="16" customWidth="1"/>
    <col min="10502" max="10502" width="18.75" style="16" customWidth="1"/>
    <col min="10503" max="10503" width="19.25" style="16" customWidth="1"/>
    <col min="10504" max="10504" width="24.875" style="16" bestFit="1" customWidth="1"/>
    <col min="10505" max="10752" width="8.75" style="16"/>
    <col min="10753" max="10753" width="14.75" style="16" customWidth="1"/>
    <col min="10754" max="10757" width="9.625" style="16" customWidth="1"/>
    <col min="10758" max="10758" width="18.75" style="16" customWidth="1"/>
    <col min="10759" max="10759" width="19.25" style="16" customWidth="1"/>
    <col min="10760" max="10760" width="24.875" style="16" bestFit="1" customWidth="1"/>
    <col min="10761" max="11008" width="8.75" style="16"/>
    <col min="11009" max="11009" width="14.75" style="16" customWidth="1"/>
    <col min="11010" max="11013" width="9.625" style="16" customWidth="1"/>
    <col min="11014" max="11014" width="18.75" style="16" customWidth="1"/>
    <col min="11015" max="11015" width="19.25" style="16" customWidth="1"/>
    <col min="11016" max="11016" width="24.875" style="16" bestFit="1" customWidth="1"/>
    <col min="11017" max="11264" width="8.75" style="16"/>
    <col min="11265" max="11265" width="14.75" style="16" customWidth="1"/>
    <col min="11266" max="11269" width="9.625" style="16" customWidth="1"/>
    <col min="11270" max="11270" width="18.75" style="16" customWidth="1"/>
    <col min="11271" max="11271" width="19.25" style="16" customWidth="1"/>
    <col min="11272" max="11272" width="24.875" style="16" bestFit="1" customWidth="1"/>
    <col min="11273" max="11520" width="8.75" style="16"/>
    <col min="11521" max="11521" width="14.75" style="16" customWidth="1"/>
    <col min="11522" max="11525" width="9.625" style="16" customWidth="1"/>
    <col min="11526" max="11526" width="18.75" style="16" customWidth="1"/>
    <col min="11527" max="11527" width="19.25" style="16" customWidth="1"/>
    <col min="11528" max="11528" width="24.875" style="16" bestFit="1" customWidth="1"/>
    <col min="11529" max="11776" width="8.75" style="16"/>
    <col min="11777" max="11777" width="14.75" style="16" customWidth="1"/>
    <col min="11778" max="11781" width="9.625" style="16" customWidth="1"/>
    <col min="11782" max="11782" width="18.75" style="16" customWidth="1"/>
    <col min="11783" max="11783" width="19.25" style="16" customWidth="1"/>
    <col min="11784" max="11784" width="24.875" style="16" bestFit="1" customWidth="1"/>
    <col min="11785" max="12032" width="8.75" style="16"/>
    <col min="12033" max="12033" width="14.75" style="16" customWidth="1"/>
    <col min="12034" max="12037" width="9.625" style="16" customWidth="1"/>
    <col min="12038" max="12038" width="18.75" style="16" customWidth="1"/>
    <col min="12039" max="12039" width="19.25" style="16" customWidth="1"/>
    <col min="12040" max="12040" width="24.875" style="16" bestFit="1" customWidth="1"/>
    <col min="12041" max="12288" width="8.75" style="16"/>
    <col min="12289" max="12289" width="14.75" style="16" customWidth="1"/>
    <col min="12290" max="12293" width="9.625" style="16" customWidth="1"/>
    <col min="12294" max="12294" width="18.75" style="16" customWidth="1"/>
    <col min="12295" max="12295" width="19.25" style="16" customWidth="1"/>
    <col min="12296" max="12296" width="24.875" style="16" bestFit="1" customWidth="1"/>
    <col min="12297" max="12544" width="8.75" style="16"/>
    <col min="12545" max="12545" width="14.75" style="16" customWidth="1"/>
    <col min="12546" max="12549" width="9.625" style="16" customWidth="1"/>
    <col min="12550" max="12550" width="18.75" style="16" customWidth="1"/>
    <col min="12551" max="12551" width="19.25" style="16" customWidth="1"/>
    <col min="12552" max="12552" width="24.875" style="16" bestFit="1" customWidth="1"/>
    <col min="12553" max="12800" width="8.75" style="16"/>
    <col min="12801" max="12801" width="14.75" style="16" customWidth="1"/>
    <col min="12802" max="12805" width="9.625" style="16" customWidth="1"/>
    <col min="12806" max="12806" width="18.75" style="16" customWidth="1"/>
    <col min="12807" max="12807" width="19.25" style="16" customWidth="1"/>
    <col min="12808" max="12808" width="24.875" style="16" bestFit="1" customWidth="1"/>
    <col min="12809" max="13056" width="8.75" style="16"/>
    <col min="13057" max="13057" width="14.75" style="16" customWidth="1"/>
    <col min="13058" max="13061" width="9.625" style="16" customWidth="1"/>
    <col min="13062" max="13062" width="18.75" style="16" customWidth="1"/>
    <col min="13063" max="13063" width="19.25" style="16" customWidth="1"/>
    <col min="13064" max="13064" width="24.875" style="16" bestFit="1" customWidth="1"/>
    <col min="13065" max="13312" width="8.75" style="16"/>
    <col min="13313" max="13313" width="14.75" style="16" customWidth="1"/>
    <col min="13314" max="13317" width="9.625" style="16" customWidth="1"/>
    <col min="13318" max="13318" width="18.75" style="16" customWidth="1"/>
    <col min="13319" max="13319" width="19.25" style="16" customWidth="1"/>
    <col min="13320" max="13320" width="24.875" style="16" bestFit="1" customWidth="1"/>
    <col min="13321" max="13568" width="8.75" style="16"/>
    <col min="13569" max="13569" width="14.75" style="16" customWidth="1"/>
    <col min="13570" max="13573" width="9.625" style="16" customWidth="1"/>
    <col min="13574" max="13574" width="18.75" style="16" customWidth="1"/>
    <col min="13575" max="13575" width="19.25" style="16" customWidth="1"/>
    <col min="13576" max="13576" width="24.875" style="16" bestFit="1" customWidth="1"/>
    <col min="13577" max="13824" width="8.75" style="16"/>
    <col min="13825" max="13825" width="14.75" style="16" customWidth="1"/>
    <col min="13826" max="13829" width="9.625" style="16" customWidth="1"/>
    <col min="13830" max="13830" width="18.75" style="16" customWidth="1"/>
    <col min="13831" max="13831" width="19.25" style="16" customWidth="1"/>
    <col min="13832" max="13832" width="24.875" style="16" bestFit="1" customWidth="1"/>
    <col min="13833" max="14080" width="8.75" style="16"/>
    <col min="14081" max="14081" width="14.75" style="16" customWidth="1"/>
    <col min="14082" max="14085" width="9.625" style="16" customWidth="1"/>
    <col min="14086" max="14086" width="18.75" style="16" customWidth="1"/>
    <col min="14087" max="14087" width="19.25" style="16" customWidth="1"/>
    <col min="14088" max="14088" width="24.875" style="16" bestFit="1" customWidth="1"/>
    <col min="14089" max="14336" width="8.75" style="16"/>
    <col min="14337" max="14337" width="14.75" style="16" customWidth="1"/>
    <col min="14338" max="14341" width="9.625" style="16" customWidth="1"/>
    <col min="14342" max="14342" width="18.75" style="16" customWidth="1"/>
    <col min="14343" max="14343" width="19.25" style="16" customWidth="1"/>
    <col min="14344" max="14344" width="24.875" style="16" bestFit="1" customWidth="1"/>
    <col min="14345" max="14592" width="8.75" style="16"/>
    <col min="14593" max="14593" width="14.75" style="16" customWidth="1"/>
    <col min="14594" max="14597" width="9.625" style="16" customWidth="1"/>
    <col min="14598" max="14598" width="18.75" style="16" customWidth="1"/>
    <col min="14599" max="14599" width="19.25" style="16" customWidth="1"/>
    <col min="14600" max="14600" width="24.875" style="16" bestFit="1" customWidth="1"/>
    <col min="14601" max="14848" width="8.75" style="16"/>
    <col min="14849" max="14849" width="14.75" style="16" customWidth="1"/>
    <col min="14850" max="14853" width="9.625" style="16" customWidth="1"/>
    <col min="14854" max="14854" width="18.75" style="16" customWidth="1"/>
    <col min="14855" max="14855" width="19.25" style="16" customWidth="1"/>
    <col min="14856" max="14856" width="24.875" style="16" bestFit="1" customWidth="1"/>
    <col min="14857" max="15104" width="8.75" style="16"/>
    <col min="15105" max="15105" width="14.75" style="16" customWidth="1"/>
    <col min="15106" max="15109" width="9.625" style="16" customWidth="1"/>
    <col min="15110" max="15110" width="18.75" style="16" customWidth="1"/>
    <col min="15111" max="15111" width="19.25" style="16" customWidth="1"/>
    <col min="15112" max="15112" width="24.875" style="16" bestFit="1" customWidth="1"/>
    <col min="15113" max="15360" width="8.75" style="16"/>
    <col min="15361" max="15361" width="14.75" style="16" customWidth="1"/>
    <col min="15362" max="15365" width="9.625" style="16" customWidth="1"/>
    <col min="15366" max="15366" width="18.75" style="16" customWidth="1"/>
    <col min="15367" max="15367" width="19.25" style="16" customWidth="1"/>
    <col min="15368" max="15368" width="24.875" style="16" bestFit="1" customWidth="1"/>
    <col min="15369" max="15616" width="8.75" style="16"/>
    <col min="15617" max="15617" width="14.75" style="16" customWidth="1"/>
    <col min="15618" max="15621" width="9.625" style="16" customWidth="1"/>
    <col min="15622" max="15622" width="18.75" style="16" customWidth="1"/>
    <col min="15623" max="15623" width="19.25" style="16" customWidth="1"/>
    <col min="15624" max="15624" width="24.875" style="16" bestFit="1" customWidth="1"/>
    <col min="15625" max="15872" width="8.75" style="16"/>
    <col min="15873" max="15873" width="14.75" style="16" customWidth="1"/>
    <col min="15874" max="15877" width="9.625" style="16" customWidth="1"/>
    <col min="15878" max="15878" width="18.75" style="16" customWidth="1"/>
    <col min="15879" max="15879" width="19.25" style="16" customWidth="1"/>
    <col min="15880" max="15880" width="24.875" style="16" bestFit="1" customWidth="1"/>
    <col min="15881" max="16128" width="8.75" style="16"/>
    <col min="16129" max="16129" width="14.75" style="16" customWidth="1"/>
    <col min="16130" max="16133" width="9.625" style="16" customWidth="1"/>
    <col min="16134" max="16134" width="18.75" style="16" customWidth="1"/>
    <col min="16135" max="16135" width="19.25" style="16" customWidth="1"/>
    <col min="16136" max="16136" width="24.875" style="16" bestFit="1" customWidth="1"/>
    <col min="16137" max="16384" width="8.75" style="16"/>
  </cols>
  <sheetData>
    <row r="1" spans="1:9" ht="18">
      <c r="A1" s="136" t="s">
        <v>24</v>
      </c>
      <c r="B1" s="136"/>
      <c r="C1" s="136"/>
      <c r="D1" s="136"/>
      <c r="E1" s="136"/>
      <c r="F1" s="136"/>
      <c r="G1" s="136"/>
      <c r="H1" s="15"/>
    </row>
    <row r="2" spans="1:9">
      <c r="A2" s="21" t="s">
        <v>25</v>
      </c>
      <c r="B2" s="21" t="s">
        <v>26</v>
      </c>
      <c r="C2" s="21" t="s">
        <v>27</v>
      </c>
      <c r="D2" s="21" t="s">
        <v>28</v>
      </c>
      <c r="E2" s="21" t="s">
        <v>29</v>
      </c>
      <c r="F2" s="21" t="s">
        <v>30</v>
      </c>
    </row>
    <row r="3" spans="1:9">
      <c r="A3" s="17">
        <v>1</v>
      </c>
      <c r="B3" s="22">
        <v>-6.6255605887467039E-2</v>
      </c>
      <c r="C3" s="22">
        <v>-2.4904679180075117E-2</v>
      </c>
      <c r="D3" s="22">
        <v>-4.269514666027549E-2</v>
      </c>
      <c r="E3" s="22">
        <v>0.1172</v>
      </c>
      <c r="F3" s="23">
        <f t="array" ref="F3:F9">MMULT(B3:E9,B22:B25)</f>
        <v>-1.8222825757319795E-2</v>
      </c>
      <c r="G3" s="24" t="str">
        <f ca="1">"&lt;--"&amp;_xlfn.FORMULATEXT(F3)</f>
        <v>&lt;--{=MMULT(B3:E9,B22:B25)}</v>
      </c>
      <c r="I3" s="24"/>
    </row>
    <row r="4" spans="1:9">
      <c r="A4" s="17">
        <v>2</v>
      </c>
      <c r="B4" s="22">
        <v>8.5300000000000001E-2</v>
      </c>
      <c r="C4" s="22">
        <v>2.4400000000000002E-2</v>
      </c>
      <c r="D4" s="22">
        <v>-3.1543618535442949E-2</v>
      </c>
      <c r="E4" s="22">
        <v>-8.3299999999999999E-2</v>
      </c>
      <c r="F4" s="23">
        <v>9.908755084471782E-3</v>
      </c>
      <c r="G4" s="24"/>
      <c r="I4" s="24"/>
    </row>
    <row r="5" spans="1:9">
      <c r="A5" s="17">
        <v>3</v>
      </c>
      <c r="B5" s="22">
        <v>1.7937188329115412E-2</v>
      </c>
      <c r="C5" s="22">
        <v>4.4606698040520781E-2</v>
      </c>
      <c r="D5" s="22">
        <v>1.9195027491194547E-2</v>
      </c>
      <c r="E5" s="22">
        <v>0.19180375767263116</v>
      </c>
      <c r="F5" s="23">
        <v>5.4706257461176799E-2</v>
      </c>
      <c r="G5" s="24"/>
      <c r="I5" s="24"/>
    </row>
    <row r="6" spans="1:9">
      <c r="A6" s="17">
        <v>4</v>
      </c>
      <c r="B6" s="22">
        <v>7.2484350433373146E-2</v>
      </c>
      <c r="C6" s="22">
        <v>0.17896441688028816</v>
      </c>
      <c r="D6" s="22">
        <v>-6.5257342301863905E-2</v>
      </c>
      <c r="E6" s="22">
        <v>-7.4061437799726737E-2</v>
      </c>
      <c r="F6" s="23">
        <v>3.6503513841059473E-2</v>
      </c>
      <c r="G6" s="24"/>
      <c r="I6" s="24"/>
    </row>
    <row r="7" spans="1:9">
      <c r="A7" s="17">
        <v>5</v>
      </c>
      <c r="B7" s="22">
        <v>7.545292033896033E-3</v>
      </c>
      <c r="C7" s="22">
        <v>-8.2229955942229177E-2</v>
      </c>
      <c r="D7" s="22">
        <v>-1.757117827535767E-2</v>
      </c>
      <c r="E7" s="22">
        <v>-1.443594623294148E-2</v>
      </c>
      <c r="F7" s="23">
        <v>-2.5107488636137643E-2</v>
      </c>
      <c r="G7" s="24"/>
      <c r="I7" s="24"/>
    </row>
    <row r="8" spans="1:9">
      <c r="A8" s="17">
        <v>6</v>
      </c>
      <c r="B8" s="22">
        <v>-1.5696373666933345E-2</v>
      </c>
      <c r="C8" s="22">
        <v>8.3192591965755795E-3</v>
      </c>
      <c r="D8" s="22">
        <v>0.1288</v>
      </c>
      <c r="E8" s="22">
        <v>-5.9221112814114754E-2</v>
      </c>
      <c r="F8" s="23">
        <v>2.1615229585562407E-2</v>
      </c>
      <c r="G8" s="24"/>
      <c r="I8" s="24"/>
    </row>
    <row r="9" spans="1:9">
      <c r="A9" s="17">
        <v>7</v>
      </c>
      <c r="B9" s="22">
        <v>-2.0984886675167722E-2</v>
      </c>
      <c r="C9" s="22">
        <v>5.1431364020888035E-2</v>
      </c>
      <c r="D9" s="22">
        <v>0.1340676294208841</v>
      </c>
      <c r="E9" s="22">
        <v>-4.5686250612152913E-3</v>
      </c>
      <c r="F9" s="23">
        <v>4.1386712004944544E-2</v>
      </c>
      <c r="G9" s="24"/>
      <c r="I9" s="24"/>
    </row>
    <row r="10" spans="1:9">
      <c r="A10" s="21" t="s">
        <v>81</v>
      </c>
      <c r="B10" s="72">
        <f>AVERAGE(B3:B9)</f>
        <v>1.1475709223830927E-2</v>
      </c>
      <c r="C10" s="72">
        <f>AVERAGE(C3:C9)</f>
        <v>2.8655300430852609E-2</v>
      </c>
      <c r="D10" s="72">
        <f>AVERAGE(D3:D9)</f>
        <v>1.7856481591305519E-2</v>
      </c>
      <c r="E10" s="72">
        <f>AVERAGE(E3:E9)</f>
        <v>1.0488090823518989E-2</v>
      </c>
      <c r="F10" s="73">
        <f>AVERAGE(F3:F9)</f>
        <v>1.7255736226251078E-2</v>
      </c>
      <c r="G10" s="16" t="str">
        <f ca="1">"&lt;--"&amp;_xlfn.FORMULATEXT(F10)</f>
        <v>&lt;--=AVERAGE(F3:F9)</v>
      </c>
    </row>
    <row r="11" spans="1:9">
      <c r="B11" s="22"/>
      <c r="C11" s="22"/>
      <c r="D11" s="22"/>
      <c r="E11" s="22"/>
      <c r="F11" s="22"/>
    </row>
    <row r="12" spans="1:9">
      <c r="A12" s="18" t="s">
        <v>23</v>
      </c>
    </row>
    <row r="13" spans="1:9" ht="13.5" thickBot="1">
      <c r="A13" s="18"/>
      <c r="B13" s="21" t="s">
        <v>26</v>
      </c>
      <c r="C13" s="21" t="s">
        <v>27</v>
      </c>
      <c r="D13" s="21" t="s">
        <v>28</v>
      </c>
      <c r="E13" s="21" t="s">
        <v>29</v>
      </c>
    </row>
    <row r="14" spans="1:9" ht="13.15" customHeight="1">
      <c r="A14" s="21" t="s">
        <v>26</v>
      </c>
      <c r="B14" s="19">
        <f t="array" ref="B14:E17">MMULT(TRANSPOSE(B3:E9-B10:E10),B3:E9-B10:E10)/6</f>
        <v>2.8439081376710885E-3</v>
      </c>
      <c r="C14" s="19">
        <v>2.2285735023278674E-3</v>
      </c>
      <c r="D14" s="19">
        <v>-1.7749643731334514E-3</v>
      </c>
      <c r="E14" s="19">
        <v>-2.7874207828245171E-3</v>
      </c>
      <c r="F14" s="130" t="str">
        <f ca="1">"&lt;--cells "&amp;CHAR(COLUMN(B14)+64)&amp;ROW(B14)&amp;":"&amp;CHAR(COLUMN(E17)+64)&amp;ROW(E17)&amp;" contain the formula "&amp;ggetformula(B14)</f>
        <v>&lt;--cells B14:E17 contain the formula  {=MMULT(TRANSPOSE(B3:E9-B10:E10),B3:E9-B10:E10)/6}</v>
      </c>
      <c r="G14" s="131"/>
    </row>
    <row r="15" spans="1:9" ht="14.25" customHeight="1">
      <c r="A15" s="21" t="s">
        <v>27</v>
      </c>
      <c r="B15" s="19">
        <v>2.2285735023278674E-3</v>
      </c>
      <c r="C15" s="19">
        <v>6.4936500496425237E-3</v>
      </c>
      <c r="D15" s="19">
        <v>-7.8316197325265012E-4</v>
      </c>
      <c r="E15" s="19">
        <v>-1.8823888442093002E-3</v>
      </c>
      <c r="F15" s="132"/>
      <c r="G15" s="133"/>
    </row>
    <row r="16" spans="1:9" ht="15" customHeight="1" thickBot="1">
      <c r="A16" s="21" t="s">
        <v>28</v>
      </c>
      <c r="B16" s="19">
        <v>-1.7749643731334514E-3</v>
      </c>
      <c r="C16" s="19">
        <v>-7.8316197325265012E-4</v>
      </c>
      <c r="D16" s="19">
        <v>6.680863874019634E-3</v>
      </c>
      <c r="E16" s="19">
        <v>-5.265078412664267E-4</v>
      </c>
      <c r="F16" s="134"/>
      <c r="G16" s="135"/>
    </row>
    <row r="17" spans="1:8" ht="14.25" customHeight="1">
      <c r="A17" s="21" t="s">
        <v>29</v>
      </c>
      <c r="B17" s="19">
        <v>-2.7874207828245171E-3</v>
      </c>
      <c r="C17" s="19">
        <v>-1.8823888442093002E-3</v>
      </c>
      <c r="D17" s="19">
        <v>-5.265078412664267E-4</v>
      </c>
      <c r="E17" s="19">
        <v>1.0985819460663329E-2</v>
      </c>
      <c r="G17" s="69"/>
    </row>
    <row r="18" spans="1:8">
      <c r="A18" s="18"/>
    </row>
    <row r="19" spans="1:8">
      <c r="A19" s="18" t="s">
        <v>31</v>
      </c>
    </row>
    <row r="20" spans="1:8">
      <c r="A20" s="16" t="s">
        <v>15</v>
      </c>
      <c r="B20" s="24">
        <v>5.0000000000000001E-3</v>
      </c>
    </row>
    <row r="21" spans="1:8" ht="13.5" thickBot="1"/>
    <row r="22" spans="1:8" ht="13.15" customHeight="1">
      <c r="A22" s="16" t="s">
        <v>26</v>
      </c>
      <c r="B22" s="19">
        <f t="array" ref="B22:B25">MMULT(MINVERSE(B14:E17),TRANSPOSE(B10:E10)-B20)/SUM(MMULT(MINVERSE(B14:E17),TRANSPOSE(B10:E10)-B20))</f>
        <v>0.31285942027940783</v>
      </c>
      <c r="C22" s="137" t="str">
        <f ca="1">"&lt;--- Cells "&amp;CHAR(COLUMN(B14)+64)&amp;ROW(B14)&amp;":"&amp;CHAR(COLUMN(E17)+64)&amp;ROW(E17)&amp;" contain the formula "&amp;_xlfn.FORMULATEXT(B22)</f>
        <v>&lt;--- Cells B14:E17 contain the formula {=MMULT(MINVERSE(B14:E17),TRANSPOSE(B10:E10)-B20)/SUM(MMULT(MINVERSE(B14:E17),TRANSPOSE(B10:E10)-B20))}</v>
      </c>
      <c r="D22" s="138"/>
      <c r="E22" s="138"/>
      <c r="F22" s="138"/>
      <c r="G22" s="139"/>
      <c r="H22" s="71"/>
    </row>
    <row r="23" spans="1:8" ht="14.25" customHeight="1">
      <c r="A23" s="16" t="s">
        <v>27</v>
      </c>
      <c r="B23" s="19">
        <v>0.2464114789646995</v>
      </c>
      <c r="C23" s="140"/>
      <c r="D23" s="141"/>
      <c r="E23" s="141"/>
      <c r="F23" s="141"/>
      <c r="G23" s="142"/>
      <c r="H23" s="71"/>
    </row>
    <row r="24" spans="1:8" ht="15" customHeight="1" thickBot="1">
      <c r="A24" s="16" t="s">
        <v>28</v>
      </c>
      <c r="B24" s="19">
        <v>0.26899369984741711</v>
      </c>
      <c r="C24" s="143"/>
      <c r="D24" s="144"/>
      <c r="E24" s="144"/>
      <c r="F24" s="144"/>
      <c r="G24" s="145"/>
    </row>
    <row r="25" spans="1:8">
      <c r="A25" s="16" t="s">
        <v>29</v>
      </c>
      <c r="B25" s="19">
        <v>0.1717354009084755</v>
      </c>
      <c r="D25" s="69"/>
      <c r="E25" s="69"/>
      <c r="F25" s="69"/>
      <c r="G25" s="70"/>
    </row>
    <row r="28" spans="1:8" ht="15.75">
      <c r="A28" s="25" t="s">
        <v>91</v>
      </c>
    </row>
    <row r="29" spans="1:8">
      <c r="A29" s="26" t="s">
        <v>32</v>
      </c>
      <c r="B29" s="22"/>
      <c r="C29" s="22"/>
      <c r="D29" s="22"/>
    </row>
    <row r="30" spans="1:8">
      <c r="B30" s="21" t="s">
        <v>26</v>
      </c>
      <c r="C30" s="21" t="s">
        <v>27</v>
      </c>
      <c r="D30" s="21" t="s">
        <v>28</v>
      </c>
      <c r="E30" s="21" t="s">
        <v>29</v>
      </c>
    </row>
    <row r="31" spans="1:8">
      <c r="A31" s="16" t="s">
        <v>33</v>
      </c>
      <c r="B31" s="19">
        <f>INTERCEPT(B3:B9,$F$3:$F$9)</f>
        <v>2.3580904874729944E-3</v>
      </c>
      <c r="C31" s="19">
        <f>INTERCEPT(C3:C9,$F$3:$F$9)</f>
        <v>-4.6507055937546511E-3</v>
      </c>
      <c r="D31" s="19">
        <f>INTERCEPT(D3:D9,$F$3:$F$9)</f>
        <v>-2.450874243555036E-4</v>
      </c>
      <c r="E31" s="19">
        <f>INTERCEPT(E3:E9,$F$3:$F$9)</f>
        <v>2.7610113655335434E-3</v>
      </c>
      <c r="F31" s="19" t="str">
        <f ca="1">getformula(E31)</f>
        <v>&lt;-- =INTERCEPT(E3:E9,$F$3:$F$9)</v>
      </c>
    </row>
    <row r="32" spans="1:8">
      <c r="A32" s="16" t="s">
        <v>34</v>
      </c>
      <c r="B32" s="19">
        <f>SLOPE(B3:B9,$F$3:$F$9)</f>
        <v>0.52838190250540207</v>
      </c>
      <c r="C32" s="19">
        <f>SLOPE(C3:C9,$F$3:$F$9)</f>
        <v>1.930141118750933</v>
      </c>
      <c r="D32" s="19">
        <f>SLOPE(D3:D9,$F$3:$F$9)</f>
        <v>1.0490174848710994</v>
      </c>
      <c r="E32" s="19">
        <f>SLOPE(E3:E9,$F$3:$F$9)</f>
        <v>0.44779772689329089</v>
      </c>
      <c r="F32" s="19" t="str">
        <f ca="1">getformula(E32)</f>
        <v>&lt;-- =SLOPE(E3:E9,$F$3:$F$9)</v>
      </c>
    </row>
    <row r="33" spans="1:6">
      <c r="A33" s="16" t="s">
        <v>35</v>
      </c>
      <c r="B33" s="19">
        <f>RSQ(B3:B9,$F$3:$F$9)</f>
        <v>8.9689683964278108E-2</v>
      </c>
      <c r="C33" s="19">
        <f>RSQ(C3:C9,$F$3:$F$9)</f>
        <v>0.52414498455428638</v>
      </c>
      <c r="D33" s="19">
        <f>RSQ(D3:D9,$F$3:$F$9)</f>
        <v>0.15048562636313415</v>
      </c>
      <c r="E33" s="19">
        <f>RSQ(E3:E9,$F$3:$F$9)</f>
        <v>1.6676061990681702E-2</v>
      </c>
      <c r="F33" s="19" t="str">
        <f ca="1">getformula(E33)</f>
        <v>&lt;-- =RSQ(E3:E9,$F$3:$F$9)</v>
      </c>
    </row>
    <row r="35" spans="1:6">
      <c r="A35" s="16" t="s">
        <v>36</v>
      </c>
    </row>
    <row r="36" spans="1:6" ht="14.25">
      <c r="A36" s="16" t="s">
        <v>37</v>
      </c>
      <c r="B36" s="27">
        <f>INTERCEPT(B10:E10,B32:E32)</f>
        <v>4.999999999999994E-3</v>
      </c>
      <c r="C36" s="19" t="str">
        <f ca="1">getformula(B36)</f>
        <v>&lt;-- =INTERCEPT(B10:E10,B32:E32)</v>
      </c>
    </row>
    <row r="37" spans="1:6">
      <c r="A37" s="16" t="s">
        <v>38</v>
      </c>
      <c r="B37" s="19">
        <f>SLOPE(B10:E10,B32:E32)</f>
        <v>1.2255736226251089E-2</v>
      </c>
      <c r="C37" s="19" t="str">
        <f ca="1">getformula(B37)</f>
        <v>&lt;-- =SLOPE(B10:E10,B32:E32)</v>
      </c>
    </row>
    <row r="38" spans="1:6">
      <c r="A38" s="16" t="s">
        <v>35</v>
      </c>
      <c r="B38" s="19">
        <f>RSQ(B10:E10,B32:E32)</f>
        <v>1</v>
      </c>
      <c r="C38" s="19" t="str">
        <f ca="1">getformula(B38)</f>
        <v>&lt;-- =RSQ(B10:E10,B32:E32)</v>
      </c>
    </row>
    <row r="39" spans="1:6">
      <c r="B39" s="19"/>
      <c r="C39" s="19"/>
    </row>
    <row r="40" spans="1:6">
      <c r="A40" s="74" t="s">
        <v>92</v>
      </c>
      <c r="B40" s="74"/>
      <c r="C40" s="74"/>
      <c r="D40" s="74"/>
      <c r="E40" s="74"/>
    </row>
    <row r="41" spans="1:6">
      <c r="A41" s="74" t="s">
        <v>93</v>
      </c>
      <c r="B41" s="74"/>
      <c r="C41" s="74"/>
      <c r="D41" s="74"/>
      <c r="E41" s="74"/>
    </row>
    <row r="42" spans="1:6">
      <c r="A42" s="16" t="s">
        <v>39</v>
      </c>
      <c r="B42" s="17" t="str">
        <f>IF(ROUND(B36-B20,10)=0,"yes","no")</f>
        <v>yes</v>
      </c>
      <c r="C42" s="19" t="str">
        <f ca="1">"&lt;--"&amp;_xlfn.FORMULATEXT(B42)</f>
        <v>&lt;--=IF(ROUND(B36-B20,10)=0,"yes","no")</v>
      </c>
    </row>
    <row r="43" spans="1:6" ht="15.75">
      <c r="A43" s="16" t="s">
        <v>40</v>
      </c>
      <c r="B43" s="20" t="str">
        <f>IF(B37=F10-B20,"yes","no")</f>
        <v>yes</v>
      </c>
      <c r="C43" s="19" t="str">
        <f ca="1">"&lt;--"&amp;_xlfn.FORMULATEXT(B43)</f>
        <v>&lt;--=IF(B37=F10-B20,"yes","no")</v>
      </c>
    </row>
    <row r="46" spans="1:6">
      <c r="C46" s="24"/>
      <c r="F46" s="28"/>
    </row>
    <row r="47" spans="1:6">
      <c r="F47" s="29"/>
    </row>
  </sheetData>
  <mergeCells count="3">
    <mergeCell ref="F14:G16"/>
    <mergeCell ref="A1:G1"/>
    <mergeCell ref="C22:G24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47"/>
  <sheetViews>
    <sheetView topLeftCell="A7" workbookViewId="0">
      <selection sqref="A1:G1"/>
    </sheetView>
  </sheetViews>
  <sheetFormatPr defaultRowHeight="12.75"/>
  <cols>
    <col min="1" max="1" width="14.75" style="16" customWidth="1"/>
    <col min="2" max="5" width="9.625" style="16" customWidth="1"/>
    <col min="6" max="6" width="16.5" style="16" customWidth="1"/>
    <col min="7" max="7" width="23.125" style="16" bestFit="1" customWidth="1"/>
    <col min="8" max="8" width="24.125" style="16" bestFit="1" customWidth="1"/>
    <col min="9" max="256" width="8.75" style="16"/>
    <col min="257" max="257" width="14.75" style="16" customWidth="1"/>
    <col min="258" max="261" width="9.625" style="16" customWidth="1"/>
    <col min="262" max="262" width="18.75" style="16" customWidth="1"/>
    <col min="263" max="263" width="19.25" style="16" customWidth="1"/>
    <col min="264" max="264" width="24.875" style="16" bestFit="1" customWidth="1"/>
    <col min="265" max="512" width="8.75" style="16"/>
    <col min="513" max="513" width="14.75" style="16" customWidth="1"/>
    <col min="514" max="517" width="9.625" style="16" customWidth="1"/>
    <col min="518" max="518" width="18.75" style="16" customWidth="1"/>
    <col min="519" max="519" width="19.25" style="16" customWidth="1"/>
    <col min="520" max="520" width="24.875" style="16" bestFit="1" customWidth="1"/>
    <col min="521" max="768" width="8.75" style="16"/>
    <col min="769" max="769" width="14.75" style="16" customWidth="1"/>
    <col min="770" max="773" width="9.625" style="16" customWidth="1"/>
    <col min="774" max="774" width="18.75" style="16" customWidth="1"/>
    <col min="775" max="775" width="19.25" style="16" customWidth="1"/>
    <col min="776" max="776" width="24.875" style="16" bestFit="1" customWidth="1"/>
    <col min="777" max="1024" width="8.75" style="16"/>
    <col min="1025" max="1025" width="14.75" style="16" customWidth="1"/>
    <col min="1026" max="1029" width="9.625" style="16" customWidth="1"/>
    <col min="1030" max="1030" width="18.75" style="16" customWidth="1"/>
    <col min="1031" max="1031" width="19.25" style="16" customWidth="1"/>
    <col min="1032" max="1032" width="24.875" style="16" bestFit="1" customWidth="1"/>
    <col min="1033" max="1280" width="8.75" style="16"/>
    <col min="1281" max="1281" width="14.75" style="16" customWidth="1"/>
    <col min="1282" max="1285" width="9.625" style="16" customWidth="1"/>
    <col min="1286" max="1286" width="18.75" style="16" customWidth="1"/>
    <col min="1287" max="1287" width="19.25" style="16" customWidth="1"/>
    <col min="1288" max="1288" width="24.875" style="16" bestFit="1" customWidth="1"/>
    <col min="1289" max="1536" width="8.75" style="16"/>
    <col min="1537" max="1537" width="14.75" style="16" customWidth="1"/>
    <col min="1538" max="1541" width="9.625" style="16" customWidth="1"/>
    <col min="1542" max="1542" width="18.75" style="16" customWidth="1"/>
    <col min="1543" max="1543" width="19.25" style="16" customWidth="1"/>
    <col min="1544" max="1544" width="24.875" style="16" bestFit="1" customWidth="1"/>
    <col min="1545" max="1792" width="8.75" style="16"/>
    <col min="1793" max="1793" width="14.75" style="16" customWidth="1"/>
    <col min="1794" max="1797" width="9.625" style="16" customWidth="1"/>
    <col min="1798" max="1798" width="18.75" style="16" customWidth="1"/>
    <col min="1799" max="1799" width="19.25" style="16" customWidth="1"/>
    <col min="1800" max="1800" width="24.875" style="16" bestFit="1" customWidth="1"/>
    <col min="1801" max="2048" width="8.75" style="16"/>
    <col min="2049" max="2049" width="14.75" style="16" customWidth="1"/>
    <col min="2050" max="2053" width="9.625" style="16" customWidth="1"/>
    <col min="2054" max="2054" width="18.75" style="16" customWidth="1"/>
    <col min="2055" max="2055" width="19.25" style="16" customWidth="1"/>
    <col min="2056" max="2056" width="24.875" style="16" bestFit="1" customWidth="1"/>
    <col min="2057" max="2304" width="8.75" style="16"/>
    <col min="2305" max="2305" width="14.75" style="16" customWidth="1"/>
    <col min="2306" max="2309" width="9.625" style="16" customWidth="1"/>
    <col min="2310" max="2310" width="18.75" style="16" customWidth="1"/>
    <col min="2311" max="2311" width="19.25" style="16" customWidth="1"/>
    <col min="2312" max="2312" width="24.875" style="16" bestFit="1" customWidth="1"/>
    <col min="2313" max="2560" width="8.75" style="16"/>
    <col min="2561" max="2561" width="14.75" style="16" customWidth="1"/>
    <col min="2562" max="2565" width="9.625" style="16" customWidth="1"/>
    <col min="2566" max="2566" width="18.75" style="16" customWidth="1"/>
    <col min="2567" max="2567" width="19.25" style="16" customWidth="1"/>
    <col min="2568" max="2568" width="24.875" style="16" bestFit="1" customWidth="1"/>
    <col min="2569" max="2816" width="8.75" style="16"/>
    <col min="2817" max="2817" width="14.75" style="16" customWidth="1"/>
    <col min="2818" max="2821" width="9.625" style="16" customWidth="1"/>
    <col min="2822" max="2822" width="18.75" style="16" customWidth="1"/>
    <col min="2823" max="2823" width="19.25" style="16" customWidth="1"/>
    <col min="2824" max="2824" width="24.875" style="16" bestFit="1" customWidth="1"/>
    <col min="2825" max="3072" width="8.75" style="16"/>
    <col min="3073" max="3073" width="14.75" style="16" customWidth="1"/>
    <col min="3074" max="3077" width="9.625" style="16" customWidth="1"/>
    <col min="3078" max="3078" width="18.75" style="16" customWidth="1"/>
    <col min="3079" max="3079" width="19.25" style="16" customWidth="1"/>
    <col min="3080" max="3080" width="24.875" style="16" bestFit="1" customWidth="1"/>
    <col min="3081" max="3328" width="8.75" style="16"/>
    <col min="3329" max="3329" width="14.75" style="16" customWidth="1"/>
    <col min="3330" max="3333" width="9.625" style="16" customWidth="1"/>
    <col min="3334" max="3334" width="18.75" style="16" customWidth="1"/>
    <col min="3335" max="3335" width="19.25" style="16" customWidth="1"/>
    <col min="3336" max="3336" width="24.875" style="16" bestFit="1" customWidth="1"/>
    <col min="3337" max="3584" width="8.75" style="16"/>
    <col min="3585" max="3585" width="14.75" style="16" customWidth="1"/>
    <col min="3586" max="3589" width="9.625" style="16" customWidth="1"/>
    <col min="3590" max="3590" width="18.75" style="16" customWidth="1"/>
    <col min="3591" max="3591" width="19.25" style="16" customWidth="1"/>
    <col min="3592" max="3592" width="24.875" style="16" bestFit="1" customWidth="1"/>
    <col min="3593" max="3840" width="8.75" style="16"/>
    <col min="3841" max="3841" width="14.75" style="16" customWidth="1"/>
    <col min="3842" max="3845" width="9.625" style="16" customWidth="1"/>
    <col min="3846" max="3846" width="18.75" style="16" customWidth="1"/>
    <col min="3847" max="3847" width="19.25" style="16" customWidth="1"/>
    <col min="3848" max="3848" width="24.875" style="16" bestFit="1" customWidth="1"/>
    <col min="3849" max="4096" width="8.75" style="16"/>
    <col min="4097" max="4097" width="14.75" style="16" customWidth="1"/>
    <col min="4098" max="4101" width="9.625" style="16" customWidth="1"/>
    <col min="4102" max="4102" width="18.75" style="16" customWidth="1"/>
    <col min="4103" max="4103" width="19.25" style="16" customWidth="1"/>
    <col min="4104" max="4104" width="24.875" style="16" bestFit="1" customWidth="1"/>
    <col min="4105" max="4352" width="8.75" style="16"/>
    <col min="4353" max="4353" width="14.75" style="16" customWidth="1"/>
    <col min="4354" max="4357" width="9.625" style="16" customWidth="1"/>
    <col min="4358" max="4358" width="18.75" style="16" customWidth="1"/>
    <col min="4359" max="4359" width="19.25" style="16" customWidth="1"/>
    <col min="4360" max="4360" width="24.875" style="16" bestFit="1" customWidth="1"/>
    <col min="4361" max="4608" width="8.75" style="16"/>
    <col min="4609" max="4609" width="14.75" style="16" customWidth="1"/>
    <col min="4610" max="4613" width="9.625" style="16" customWidth="1"/>
    <col min="4614" max="4614" width="18.75" style="16" customWidth="1"/>
    <col min="4615" max="4615" width="19.25" style="16" customWidth="1"/>
    <col min="4616" max="4616" width="24.875" style="16" bestFit="1" customWidth="1"/>
    <col min="4617" max="4864" width="8.75" style="16"/>
    <col min="4865" max="4865" width="14.75" style="16" customWidth="1"/>
    <col min="4866" max="4869" width="9.625" style="16" customWidth="1"/>
    <col min="4870" max="4870" width="18.75" style="16" customWidth="1"/>
    <col min="4871" max="4871" width="19.25" style="16" customWidth="1"/>
    <col min="4872" max="4872" width="24.875" style="16" bestFit="1" customWidth="1"/>
    <col min="4873" max="5120" width="8.75" style="16"/>
    <col min="5121" max="5121" width="14.75" style="16" customWidth="1"/>
    <col min="5122" max="5125" width="9.625" style="16" customWidth="1"/>
    <col min="5126" max="5126" width="18.75" style="16" customWidth="1"/>
    <col min="5127" max="5127" width="19.25" style="16" customWidth="1"/>
    <col min="5128" max="5128" width="24.875" style="16" bestFit="1" customWidth="1"/>
    <col min="5129" max="5376" width="8.75" style="16"/>
    <col min="5377" max="5377" width="14.75" style="16" customWidth="1"/>
    <col min="5378" max="5381" width="9.625" style="16" customWidth="1"/>
    <col min="5382" max="5382" width="18.75" style="16" customWidth="1"/>
    <col min="5383" max="5383" width="19.25" style="16" customWidth="1"/>
    <col min="5384" max="5384" width="24.875" style="16" bestFit="1" customWidth="1"/>
    <col min="5385" max="5632" width="8.75" style="16"/>
    <col min="5633" max="5633" width="14.75" style="16" customWidth="1"/>
    <col min="5634" max="5637" width="9.625" style="16" customWidth="1"/>
    <col min="5638" max="5638" width="18.75" style="16" customWidth="1"/>
    <col min="5639" max="5639" width="19.25" style="16" customWidth="1"/>
    <col min="5640" max="5640" width="24.875" style="16" bestFit="1" customWidth="1"/>
    <col min="5641" max="5888" width="8.75" style="16"/>
    <col min="5889" max="5889" width="14.75" style="16" customWidth="1"/>
    <col min="5890" max="5893" width="9.625" style="16" customWidth="1"/>
    <col min="5894" max="5894" width="18.75" style="16" customWidth="1"/>
    <col min="5895" max="5895" width="19.25" style="16" customWidth="1"/>
    <col min="5896" max="5896" width="24.875" style="16" bestFit="1" customWidth="1"/>
    <col min="5897" max="6144" width="8.75" style="16"/>
    <col min="6145" max="6145" width="14.75" style="16" customWidth="1"/>
    <col min="6146" max="6149" width="9.625" style="16" customWidth="1"/>
    <col min="6150" max="6150" width="18.75" style="16" customWidth="1"/>
    <col min="6151" max="6151" width="19.25" style="16" customWidth="1"/>
    <col min="6152" max="6152" width="24.875" style="16" bestFit="1" customWidth="1"/>
    <col min="6153" max="6400" width="8.75" style="16"/>
    <col min="6401" max="6401" width="14.75" style="16" customWidth="1"/>
    <col min="6402" max="6405" width="9.625" style="16" customWidth="1"/>
    <col min="6406" max="6406" width="18.75" style="16" customWidth="1"/>
    <col min="6407" max="6407" width="19.25" style="16" customWidth="1"/>
    <col min="6408" max="6408" width="24.875" style="16" bestFit="1" customWidth="1"/>
    <col min="6409" max="6656" width="8.75" style="16"/>
    <col min="6657" max="6657" width="14.75" style="16" customWidth="1"/>
    <col min="6658" max="6661" width="9.625" style="16" customWidth="1"/>
    <col min="6662" max="6662" width="18.75" style="16" customWidth="1"/>
    <col min="6663" max="6663" width="19.25" style="16" customWidth="1"/>
    <col min="6664" max="6664" width="24.875" style="16" bestFit="1" customWidth="1"/>
    <col min="6665" max="6912" width="8.75" style="16"/>
    <col min="6913" max="6913" width="14.75" style="16" customWidth="1"/>
    <col min="6914" max="6917" width="9.625" style="16" customWidth="1"/>
    <col min="6918" max="6918" width="18.75" style="16" customWidth="1"/>
    <col min="6919" max="6919" width="19.25" style="16" customWidth="1"/>
    <col min="6920" max="6920" width="24.875" style="16" bestFit="1" customWidth="1"/>
    <col min="6921" max="7168" width="8.75" style="16"/>
    <col min="7169" max="7169" width="14.75" style="16" customWidth="1"/>
    <col min="7170" max="7173" width="9.625" style="16" customWidth="1"/>
    <col min="7174" max="7174" width="18.75" style="16" customWidth="1"/>
    <col min="7175" max="7175" width="19.25" style="16" customWidth="1"/>
    <col min="7176" max="7176" width="24.875" style="16" bestFit="1" customWidth="1"/>
    <col min="7177" max="7424" width="8.75" style="16"/>
    <col min="7425" max="7425" width="14.75" style="16" customWidth="1"/>
    <col min="7426" max="7429" width="9.625" style="16" customWidth="1"/>
    <col min="7430" max="7430" width="18.75" style="16" customWidth="1"/>
    <col min="7431" max="7431" width="19.25" style="16" customWidth="1"/>
    <col min="7432" max="7432" width="24.875" style="16" bestFit="1" customWidth="1"/>
    <col min="7433" max="7680" width="8.75" style="16"/>
    <col min="7681" max="7681" width="14.75" style="16" customWidth="1"/>
    <col min="7682" max="7685" width="9.625" style="16" customWidth="1"/>
    <col min="7686" max="7686" width="18.75" style="16" customWidth="1"/>
    <col min="7687" max="7687" width="19.25" style="16" customWidth="1"/>
    <col min="7688" max="7688" width="24.875" style="16" bestFit="1" customWidth="1"/>
    <col min="7689" max="7936" width="8.75" style="16"/>
    <col min="7937" max="7937" width="14.75" style="16" customWidth="1"/>
    <col min="7938" max="7941" width="9.625" style="16" customWidth="1"/>
    <col min="7942" max="7942" width="18.75" style="16" customWidth="1"/>
    <col min="7943" max="7943" width="19.25" style="16" customWidth="1"/>
    <col min="7944" max="7944" width="24.875" style="16" bestFit="1" customWidth="1"/>
    <col min="7945" max="8192" width="8.75" style="16"/>
    <col min="8193" max="8193" width="14.75" style="16" customWidth="1"/>
    <col min="8194" max="8197" width="9.625" style="16" customWidth="1"/>
    <col min="8198" max="8198" width="18.75" style="16" customWidth="1"/>
    <col min="8199" max="8199" width="19.25" style="16" customWidth="1"/>
    <col min="8200" max="8200" width="24.875" style="16" bestFit="1" customWidth="1"/>
    <col min="8201" max="8448" width="8.75" style="16"/>
    <col min="8449" max="8449" width="14.75" style="16" customWidth="1"/>
    <col min="8450" max="8453" width="9.625" style="16" customWidth="1"/>
    <col min="8454" max="8454" width="18.75" style="16" customWidth="1"/>
    <col min="8455" max="8455" width="19.25" style="16" customWidth="1"/>
    <col min="8456" max="8456" width="24.875" style="16" bestFit="1" customWidth="1"/>
    <col min="8457" max="8704" width="8.75" style="16"/>
    <col min="8705" max="8705" width="14.75" style="16" customWidth="1"/>
    <col min="8706" max="8709" width="9.625" style="16" customWidth="1"/>
    <col min="8710" max="8710" width="18.75" style="16" customWidth="1"/>
    <col min="8711" max="8711" width="19.25" style="16" customWidth="1"/>
    <col min="8712" max="8712" width="24.875" style="16" bestFit="1" customWidth="1"/>
    <col min="8713" max="8960" width="8.75" style="16"/>
    <col min="8961" max="8961" width="14.75" style="16" customWidth="1"/>
    <col min="8962" max="8965" width="9.625" style="16" customWidth="1"/>
    <col min="8966" max="8966" width="18.75" style="16" customWidth="1"/>
    <col min="8967" max="8967" width="19.25" style="16" customWidth="1"/>
    <col min="8968" max="8968" width="24.875" style="16" bestFit="1" customWidth="1"/>
    <col min="8969" max="9216" width="8.75" style="16"/>
    <col min="9217" max="9217" width="14.75" style="16" customWidth="1"/>
    <col min="9218" max="9221" width="9.625" style="16" customWidth="1"/>
    <col min="9222" max="9222" width="18.75" style="16" customWidth="1"/>
    <col min="9223" max="9223" width="19.25" style="16" customWidth="1"/>
    <col min="9224" max="9224" width="24.875" style="16" bestFit="1" customWidth="1"/>
    <col min="9225" max="9472" width="8.75" style="16"/>
    <col min="9473" max="9473" width="14.75" style="16" customWidth="1"/>
    <col min="9474" max="9477" width="9.625" style="16" customWidth="1"/>
    <col min="9478" max="9478" width="18.75" style="16" customWidth="1"/>
    <col min="9479" max="9479" width="19.25" style="16" customWidth="1"/>
    <col min="9480" max="9480" width="24.875" style="16" bestFit="1" customWidth="1"/>
    <col min="9481" max="9728" width="8.75" style="16"/>
    <col min="9729" max="9729" width="14.75" style="16" customWidth="1"/>
    <col min="9730" max="9733" width="9.625" style="16" customWidth="1"/>
    <col min="9734" max="9734" width="18.75" style="16" customWidth="1"/>
    <col min="9735" max="9735" width="19.25" style="16" customWidth="1"/>
    <col min="9736" max="9736" width="24.875" style="16" bestFit="1" customWidth="1"/>
    <col min="9737" max="9984" width="8.75" style="16"/>
    <col min="9985" max="9985" width="14.75" style="16" customWidth="1"/>
    <col min="9986" max="9989" width="9.625" style="16" customWidth="1"/>
    <col min="9990" max="9990" width="18.75" style="16" customWidth="1"/>
    <col min="9991" max="9991" width="19.25" style="16" customWidth="1"/>
    <col min="9992" max="9992" width="24.875" style="16" bestFit="1" customWidth="1"/>
    <col min="9993" max="10240" width="8.75" style="16"/>
    <col min="10241" max="10241" width="14.75" style="16" customWidth="1"/>
    <col min="10242" max="10245" width="9.625" style="16" customWidth="1"/>
    <col min="10246" max="10246" width="18.75" style="16" customWidth="1"/>
    <col min="10247" max="10247" width="19.25" style="16" customWidth="1"/>
    <col min="10248" max="10248" width="24.875" style="16" bestFit="1" customWidth="1"/>
    <col min="10249" max="10496" width="8.75" style="16"/>
    <col min="10497" max="10497" width="14.75" style="16" customWidth="1"/>
    <col min="10498" max="10501" width="9.625" style="16" customWidth="1"/>
    <col min="10502" max="10502" width="18.75" style="16" customWidth="1"/>
    <col min="10503" max="10503" width="19.25" style="16" customWidth="1"/>
    <col min="10504" max="10504" width="24.875" style="16" bestFit="1" customWidth="1"/>
    <col min="10505" max="10752" width="8.75" style="16"/>
    <col min="10753" max="10753" width="14.75" style="16" customWidth="1"/>
    <col min="10754" max="10757" width="9.625" style="16" customWidth="1"/>
    <col min="10758" max="10758" width="18.75" style="16" customWidth="1"/>
    <col min="10759" max="10759" width="19.25" style="16" customWidth="1"/>
    <col min="10760" max="10760" width="24.875" style="16" bestFit="1" customWidth="1"/>
    <col min="10761" max="11008" width="8.75" style="16"/>
    <col min="11009" max="11009" width="14.75" style="16" customWidth="1"/>
    <col min="11010" max="11013" width="9.625" style="16" customWidth="1"/>
    <col min="11014" max="11014" width="18.75" style="16" customWidth="1"/>
    <col min="11015" max="11015" width="19.25" style="16" customWidth="1"/>
    <col min="11016" max="11016" width="24.875" style="16" bestFit="1" customWidth="1"/>
    <col min="11017" max="11264" width="8.75" style="16"/>
    <col min="11265" max="11265" width="14.75" style="16" customWidth="1"/>
    <col min="11266" max="11269" width="9.625" style="16" customWidth="1"/>
    <col min="11270" max="11270" width="18.75" style="16" customWidth="1"/>
    <col min="11271" max="11271" width="19.25" style="16" customWidth="1"/>
    <col min="11272" max="11272" width="24.875" style="16" bestFit="1" customWidth="1"/>
    <col min="11273" max="11520" width="8.75" style="16"/>
    <col min="11521" max="11521" width="14.75" style="16" customWidth="1"/>
    <col min="11522" max="11525" width="9.625" style="16" customWidth="1"/>
    <col min="11526" max="11526" width="18.75" style="16" customWidth="1"/>
    <col min="11527" max="11527" width="19.25" style="16" customWidth="1"/>
    <col min="11528" max="11528" width="24.875" style="16" bestFit="1" customWidth="1"/>
    <col min="11529" max="11776" width="8.75" style="16"/>
    <col min="11777" max="11777" width="14.75" style="16" customWidth="1"/>
    <col min="11778" max="11781" width="9.625" style="16" customWidth="1"/>
    <col min="11782" max="11782" width="18.75" style="16" customWidth="1"/>
    <col min="11783" max="11783" width="19.25" style="16" customWidth="1"/>
    <col min="11784" max="11784" width="24.875" style="16" bestFit="1" customWidth="1"/>
    <col min="11785" max="12032" width="8.75" style="16"/>
    <col min="12033" max="12033" width="14.75" style="16" customWidth="1"/>
    <col min="12034" max="12037" width="9.625" style="16" customWidth="1"/>
    <col min="12038" max="12038" width="18.75" style="16" customWidth="1"/>
    <col min="12039" max="12039" width="19.25" style="16" customWidth="1"/>
    <col min="12040" max="12040" width="24.875" style="16" bestFit="1" customWidth="1"/>
    <col min="12041" max="12288" width="8.75" style="16"/>
    <col min="12289" max="12289" width="14.75" style="16" customWidth="1"/>
    <col min="12290" max="12293" width="9.625" style="16" customWidth="1"/>
    <col min="12294" max="12294" width="18.75" style="16" customWidth="1"/>
    <col min="12295" max="12295" width="19.25" style="16" customWidth="1"/>
    <col min="12296" max="12296" width="24.875" style="16" bestFit="1" customWidth="1"/>
    <col min="12297" max="12544" width="8.75" style="16"/>
    <col min="12545" max="12545" width="14.75" style="16" customWidth="1"/>
    <col min="12546" max="12549" width="9.625" style="16" customWidth="1"/>
    <col min="12550" max="12550" width="18.75" style="16" customWidth="1"/>
    <col min="12551" max="12551" width="19.25" style="16" customWidth="1"/>
    <col min="12552" max="12552" width="24.875" style="16" bestFit="1" customWidth="1"/>
    <col min="12553" max="12800" width="8.75" style="16"/>
    <col min="12801" max="12801" width="14.75" style="16" customWidth="1"/>
    <col min="12802" max="12805" width="9.625" style="16" customWidth="1"/>
    <col min="12806" max="12806" width="18.75" style="16" customWidth="1"/>
    <col min="12807" max="12807" width="19.25" style="16" customWidth="1"/>
    <col min="12808" max="12808" width="24.875" style="16" bestFit="1" customWidth="1"/>
    <col min="12809" max="13056" width="8.75" style="16"/>
    <col min="13057" max="13057" width="14.75" style="16" customWidth="1"/>
    <col min="13058" max="13061" width="9.625" style="16" customWidth="1"/>
    <col min="13062" max="13062" width="18.75" style="16" customWidth="1"/>
    <col min="13063" max="13063" width="19.25" style="16" customWidth="1"/>
    <col min="13064" max="13064" width="24.875" style="16" bestFit="1" customWidth="1"/>
    <col min="13065" max="13312" width="8.75" style="16"/>
    <col min="13313" max="13313" width="14.75" style="16" customWidth="1"/>
    <col min="13314" max="13317" width="9.625" style="16" customWidth="1"/>
    <col min="13318" max="13318" width="18.75" style="16" customWidth="1"/>
    <col min="13319" max="13319" width="19.25" style="16" customWidth="1"/>
    <col min="13320" max="13320" width="24.875" style="16" bestFit="1" customWidth="1"/>
    <col min="13321" max="13568" width="8.75" style="16"/>
    <col min="13569" max="13569" width="14.75" style="16" customWidth="1"/>
    <col min="13570" max="13573" width="9.625" style="16" customWidth="1"/>
    <col min="13574" max="13574" width="18.75" style="16" customWidth="1"/>
    <col min="13575" max="13575" width="19.25" style="16" customWidth="1"/>
    <col min="13576" max="13576" width="24.875" style="16" bestFit="1" customWidth="1"/>
    <col min="13577" max="13824" width="8.75" style="16"/>
    <col min="13825" max="13825" width="14.75" style="16" customWidth="1"/>
    <col min="13826" max="13829" width="9.625" style="16" customWidth="1"/>
    <col min="13830" max="13830" width="18.75" style="16" customWidth="1"/>
    <col min="13831" max="13831" width="19.25" style="16" customWidth="1"/>
    <col min="13832" max="13832" width="24.875" style="16" bestFit="1" customWidth="1"/>
    <col min="13833" max="14080" width="8.75" style="16"/>
    <col min="14081" max="14081" width="14.75" style="16" customWidth="1"/>
    <col min="14082" max="14085" width="9.625" style="16" customWidth="1"/>
    <col min="14086" max="14086" width="18.75" style="16" customWidth="1"/>
    <col min="14087" max="14087" width="19.25" style="16" customWidth="1"/>
    <col min="14088" max="14088" width="24.875" style="16" bestFit="1" customWidth="1"/>
    <col min="14089" max="14336" width="8.75" style="16"/>
    <col min="14337" max="14337" width="14.75" style="16" customWidth="1"/>
    <col min="14338" max="14341" width="9.625" style="16" customWidth="1"/>
    <col min="14342" max="14342" width="18.75" style="16" customWidth="1"/>
    <col min="14343" max="14343" width="19.25" style="16" customWidth="1"/>
    <col min="14344" max="14344" width="24.875" style="16" bestFit="1" customWidth="1"/>
    <col min="14345" max="14592" width="8.75" style="16"/>
    <col min="14593" max="14593" width="14.75" style="16" customWidth="1"/>
    <col min="14594" max="14597" width="9.625" style="16" customWidth="1"/>
    <col min="14598" max="14598" width="18.75" style="16" customWidth="1"/>
    <col min="14599" max="14599" width="19.25" style="16" customWidth="1"/>
    <col min="14600" max="14600" width="24.875" style="16" bestFit="1" customWidth="1"/>
    <col min="14601" max="14848" width="8.75" style="16"/>
    <col min="14849" max="14849" width="14.75" style="16" customWidth="1"/>
    <col min="14850" max="14853" width="9.625" style="16" customWidth="1"/>
    <col min="14854" max="14854" width="18.75" style="16" customWidth="1"/>
    <col min="14855" max="14855" width="19.25" style="16" customWidth="1"/>
    <col min="14856" max="14856" width="24.875" style="16" bestFit="1" customWidth="1"/>
    <col min="14857" max="15104" width="8.75" style="16"/>
    <col min="15105" max="15105" width="14.75" style="16" customWidth="1"/>
    <col min="15106" max="15109" width="9.625" style="16" customWidth="1"/>
    <col min="15110" max="15110" width="18.75" style="16" customWidth="1"/>
    <col min="15111" max="15111" width="19.25" style="16" customWidth="1"/>
    <col min="15112" max="15112" width="24.875" style="16" bestFit="1" customWidth="1"/>
    <col min="15113" max="15360" width="8.75" style="16"/>
    <col min="15361" max="15361" width="14.75" style="16" customWidth="1"/>
    <col min="15362" max="15365" width="9.625" style="16" customWidth="1"/>
    <col min="15366" max="15366" width="18.75" style="16" customWidth="1"/>
    <col min="15367" max="15367" width="19.25" style="16" customWidth="1"/>
    <col min="15368" max="15368" width="24.875" style="16" bestFit="1" customWidth="1"/>
    <col min="15369" max="15616" width="8.75" style="16"/>
    <col min="15617" max="15617" width="14.75" style="16" customWidth="1"/>
    <col min="15618" max="15621" width="9.625" style="16" customWidth="1"/>
    <col min="15622" max="15622" width="18.75" style="16" customWidth="1"/>
    <col min="15623" max="15623" width="19.25" style="16" customWidth="1"/>
    <col min="15624" max="15624" width="24.875" style="16" bestFit="1" customWidth="1"/>
    <col min="15625" max="15872" width="8.75" style="16"/>
    <col min="15873" max="15873" width="14.75" style="16" customWidth="1"/>
    <col min="15874" max="15877" width="9.625" style="16" customWidth="1"/>
    <col min="15878" max="15878" width="18.75" style="16" customWidth="1"/>
    <col min="15879" max="15879" width="19.25" style="16" customWidth="1"/>
    <col min="15880" max="15880" width="24.875" style="16" bestFit="1" customWidth="1"/>
    <col min="15881" max="16128" width="8.75" style="16"/>
    <col min="16129" max="16129" width="14.75" style="16" customWidth="1"/>
    <col min="16130" max="16133" width="9.625" style="16" customWidth="1"/>
    <col min="16134" max="16134" width="18.75" style="16" customWidth="1"/>
    <col min="16135" max="16135" width="19.25" style="16" customWidth="1"/>
    <col min="16136" max="16136" width="24.875" style="16" bestFit="1" customWidth="1"/>
    <col min="16137" max="16384" width="8.75" style="16"/>
  </cols>
  <sheetData>
    <row r="1" spans="1:9" ht="18">
      <c r="A1" s="136" t="s">
        <v>24</v>
      </c>
      <c r="B1" s="136"/>
      <c r="C1" s="136"/>
      <c r="D1" s="136"/>
      <c r="E1" s="136"/>
      <c r="F1" s="136"/>
      <c r="G1" s="136"/>
      <c r="H1" s="15"/>
    </row>
    <row r="2" spans="1:9">
      <c r="A2" s="21" t="s">
        <v>25</v>
      </c>
      <c r="B2" s="21" t="s">
        <v>26</v>
      </c>
      <c r="C2" s="21" t="s">
        <v>27</v>
      </c>
      <c r="D2" s="21" t="s">
        <v>28</v>
      </c>
      <c r="E2" s="21" t="s">
        <v>29</v>
      </c>
      <c r="F2" s="21" t="s">
        <v>30</v>
      </c>
    </row>
    <row r="3" spans="1:9">
      <c r="A3" s="17">
        <v>1</v>
      </c>
      <c r="B3" s="22">
        <v>-6.6255605887467039E-2</v>
      </c>
      <c r="C3" s="22">
        <v>-2.4904679180075117E-2</v>
      </c>
      <c r="D3" s="22">
        <v>-4.269514666027549E-2</v>
      </c>
      <c r="E3" s="22">
        <v>0.1172</v>
      </c>
      <c r="F3" s="23">
        <f t="array" ref="F3:F9">MMULT(B3:E9,B22:B25)</f>
        <v>-7.1233246437375115E-3</v>
      </c>
      <c r="G3" s="24" t="str">
        <f ca="1">"&lt;--"&amp;_xlfn.FORMULATEXT(F3)</f>
        <v>&lt;--{=MMULT(B3:E9,B22:B25)}</v>
      </c>
      <c r="I3" s="24"/>
    </row>
    <row r="4" spans="1:9">
      <c r="A4" s="17">
        <v>2</v>
      </c>
      <c r="B4" s="22">
        <v>8.5300000000000001E-2</v>
      </c>
      <c r="C4" s="22">
        <v>2.4400000000000002E-2</v>
      </c>
      <c r="D4" s="22">
        <v>-3.1543618535442949E-2</v>
      </c>
      <c r="E4" s="22">
        <v>-8.3299999999999999E-2</v>
      </c>
      <c r="F4" s="23">
        <v>-1.6163147163201448E-2</v>
      </c>
      <c r="G4" s="24"/>
      <c r="I4" s="24"/>
    </row>
    <row r="5" spans="1:9">
      <c r="A5" s="17">
        <v>3</v>
      </c>
      <c r="B5" s="22">
        <v>1.7937188329115412E-2</v>
      </c>
      <c r="C5" s="22">
        <v>4.4606698040520781E-2</v>
      </c>
      <c r="D5" s="22">
        <v>1.9195027491194547E-2</v>
      </c>
      <c r="E5" s="22">
        <v>0.19180375767263116</v>
      </c>
      <c r="F5" s="23">
        <v>5.7802466389322273E-2</v>
      </c>
      <c r="G5" s="24"/>
      <c r="I5" s="24"/>
    </row>
    <row r="6" spans="1:9">
      <c r="A6" s="17">
        <v>4</v>
      </c>
      <c r="B6" s="22">
        <v>7.2484350433373146E-2</v>
      </c>
      <c r="C6" s="22">
        <v>0.17896441688028816</v>
      </c>
      <c r="D6" s="22">
        <v>-6.5257342301863905E-2</v>
      </c>
      <c r="E6" s="22">
        <v>-7.4061437799726737E-2</v>
      </c>
      <c r="F6" s="23">
        <v>9.6023234570870558E-2</v>
      </c>
      <c r="G6" s="24"/>
      <c r="I6" s="24"/>
    </row>
    <row r="7" spans="1:9">
      <c r="A7" s="17">
        <v>5</v>
      </c>
      <c r="B7" s="22">
        <v>7.545292033896033E-3</v>
      </c>
      <c r="C7" s="22">
        <v>-8.2229955942229177E-2</v>
      </c>
      <c r="D7" s="22">
        <v>-1.757117827535767E-2</v>
      </c>
      <c r="E7" s="22">
        <v>-1.443594623294148E-2</v>
      </c>
      <c r="F7" s="23">
        <v>-7.1847383693386904E-2</v>
      </c>
      <c r="G7" s="24"/>
      <c r="I7" s="24"/>
    </row>
    <row r="8" spans="1:9">
      <c r="A8" s="17">
        <v>6</v>
      </c>
      <c r="B8" s="22">
        <v>-1.5696373666933345E-2</v>
      </c>
      <c r="C8" s="22">
        <v>8.3192591965755795E-3</v>
      </c>
      <c r="D8" s="22">
        <v>0.1288</v>
      </c>
      <c r="E8" s="22">
        <v>-5.9221112814114754E-2</v>
      </c>
      <c r="F8" s="23">
        <v>4.2811463631764905E-2</v>
      </c>
      <c r="G8" s="24"/>
      <c r="I8" s="24"/>
    </row>
    <row r="9" spans="1:9">
      <c r="A9" s="17">
        <v>7</v>
      </c>
      <c r="B9" s="22">
        <v>-2.0984886675167722E-2</v>
      </c>
      <c r="C9" s="22">
        <v>5.1431364020888035E-2</v>
      </c>
      <c r="D9" s="22">
        <v>0.1340676294208841</v>
      </c>
      <c r="E9" s="22">
        <v>-4.5686250612152913E-3</v>
      </c>
      <c r="F9" s="23">
        <v>8.4632617575050292E-2</v>
      </c>
      <c r="G9" s="24"/>
      <c r="I9" s="24"/>
    </row>
    <row r="10" spans="1:9">
      <c r="A10" s="21" t="s">
        <v>81</v>
      </c>
      <c r="B10" s="72">
        <f>AVERAGE(B3:B9)</f>
        <v>1.1475709223830927E-2</v>
      </c>
      <c r="C10" s="72">
        <f>AVERAGE(C3:C9)</f>
        <v>2.8655300430852609E-2</v>
      </c>
      <c r="D10" s="72">
        <f>AVERAGE(D3:D9)</f>
        <v>1.7856481591305519E-2</v>
      </c>
      <c r="E10" s="72">
        <f>AVERAGE(E3:E9)</f>
        <v>1.0488090823518989E-2</v>
      </c>
      <c r="F10" s="73">
        <f>AVERAGE(F3:F9)</f>
        <v>2.6590846666668881E-2</v>
      </c>
      <c r="G10" s="16" t="str">
        <f ca="1">"&lt;--"&amp;_xlfn.FORMULATEXT(F10)</f>
        <v>&lt;--=AVERAGE(F3:F9)</v>
      </c>
    </row>
    <row r="11" spans="1:9">
      <c r="B11" s="22"/>
      <c r="C11" s="22"/>
      <c r="D11" s="22"/>
      <c r="E11" s="22"/>
      <c r="F11" s="22"/>
    </row>
    <row r="12" spans="1:9">
      <c r="A12" s="18" t="s">
        <v>23</v>
      </c>
    </row>
    <row r="13" spans="1:9" ht="13.5" thickBot="1">
      <c r="A13" s="18"/>
      <c r="B13" s="21" t="s">
        <v>26</v>
      </c>
      <c r="C13" s="21" t="s">
        <v>27</v>
      </c>
      <c r="D13" s="21" t="s">
        <v>28</v>
      </c>
      <c r="E13" s="21" t="s">
        <v>29</v>
      </c>
    </row>
    <row r="14" spans="1:9" ht="13.15" customHeight="1">
      <c r="A14" s="21" t="s">
        <v>26</v>
      </c>
      <c r="B14" s="19">
        <f t="array" ref="B14:E17">MMULT(TRANSPOSE(B3:E9-B10:E10),B3:E9-B10:E10)/6</f>
        <v>2.8439081376710885E-3</v>
      </c>
      <c r="C14" s="19">
        <v>2.2285735023278674E-3</v>
      </c>
      <c r="D14" s="19">
        <v>-1.7749643731334514E-3</v>
      </c>
      <c r="E14" s="19">
        <v>-2.7874207828245171E-3</v>
      </c>
      <c r="F14" s="130" t="str">
        <f ca="1">"&lt;--cells "&amp;CHAR(COLUMN(B14)+64)&amp;ROW(B14)&amp;":"&amp;CHAR(COLUMN(E17)+64)&amp;ROW(E17)&amp;" contain the formula "&amp;ggetformula(B14)</f>
        <v>&lt;--cells B14:E17 contain the formula  {=MMULT(TRANSPOSE(B3:E9-B10:E10),B3:E9-B10:E10)/6}</v>
      </c>
      <c r="G14" s="131"/>
    </row>
    <row r="15" spans="1:9" ht="14.25" customHeight="1">
      <c r="A15" s="21" t="s">
        <v>27</v>
      </c>
      <c r="B15" s="19">
        <v>2.2285735023278674E-3</v>
      </c>
      <c r="C15" s="19">
        <v>6.4936500496425237E-3</v>
      </c>
      <c r="D15" s="19">
        <v>-7.8316197325265012E-4</v>
      </c>
      <c r="E15" s="19">
        <v>-1.8823888442093002E-3</v>
      </c>
      <c r="F15" s="132"/>
      <c r="G15" s="133"/>
    </row>
    <row r="16" spans="1:9" ht="15" customHeight="1" thickBot="1">
      <c r="A16" s="21" t="s">
        <v>28</v>
      </c>
      <c r="B16" s="19">
        <v>-1.7749643731334514E-3</v>
      </c>
      <c r="C16" s="19">
        <v>-7.8316197325265012E-4</v>
      </c>
      <c r="D16" s="19">
        <v>6.680863874019634E-3</v>
      </c>
      <c r="E16" s="19">
        <v>-5.265078412664267E-4</v>
      </c>
      <c r="F16" s="134"/>
      <c r="G16" s="135"/>
    </row>
    <row r="17" spans="1:8" ht="14.25" customHeight="1">
      <c r="A17" s="21" t="s">
        <v>29</v>
      </c>
      <c r="B17" s="19">
        <v>-2.7874207828245171E-3</v>
      </c>
      <c r="C17" s="19">
        <v>-1.8823888442093002E-3</v>
      </c>
      <c r="D17" s="19">
        <v>-5.265078412664267E-4</v>
      </c>
      <c r="E17" s="19">
        <v>1.0985819460663329E-2</v>
      </c>
      <c r="G17" s="69"/>
    </row>
    <row r="18" spans="1:8">
      <c r="A18" s="18"/>
    </row>
    <row r="19" spans="1:8">
      <c r="A19" s="18" t="s">
        <v>31</v>
      </c>
    </row>
    <row r="20" spans="1:8">
      <c r="A20" s="75" t="s">
        <v>15</v>
      </c>
      <c r="B20" s="76">
        <v>0.01</v>
      </c>
    </row>
    <row r="21" spans="1:8" ht="13.5" thickBot="1"/>
    <row r="22" spans="1:8" ht="13.15" customHeight="1">
      <c r="A22" s="16" t="s">
        <v>26</v>
      </c>
      <c r="B22" s="19">
        <f t="array" ref="B22:B25">MMULT(MINVERSE(B14:E17),TRANSPOSE(B10:E10)-B20)/SUM(MMULT(MINVERSE(B14:E17),TRANSPOSE(B10:E10)-B20))</f>
        <v>-0.18939842593833131</v>
      </c>
      <c r="C22" s="137" t="str">
        <f ca="1">"&lt;--- Cells "&amp;CHAR(COLUMN(B14)+64)&amp;ROW(B14)&amp;":"&amp;CHAR(COLUMN(E17)+64)&amp;ROW(E17)&amp;" contain the formula "&amp;_xlfn.FORMULATEXT(B22)</f>
        <v>&lt;--- Cells B14:E17 contain the formula {=MMULT(MINVERSE(B14:E17),TRANSPOSE(B10:E10)-B20)/SUM(MMULT(MINVERSE(B14:E17),TRANSPOSE(B10:E10)-B20))}</v>
      </c>
      <c r="D22" s="138"/>
      <c r="E22" s="138"/>
      <c r="F22" s="138"/>
      <c r="G22" s="139"/>
      <c r="H22" s="71"/>
    </row>
    <row r="23" spans="1:8" ht="14.25" customHeight="1">
      <c r="A23" s="16" t="s">
        <v>27</v>
      </c>
      <c r="B23" s="19">
        <v>0.77112785950653073</v>
      </c>
      <c r="C23" s="140"/>
      <c r="D23" s="141"/>
      <c r="E23" s="141"/>
      <c r="F23" s="141"/>
      <c r="G23" s="142"/>
      <c r="H23" s="71"/>
    </row>
    <row r="24" spans="1:8" ht="15" customHeight="1" thickBot="1">
      <c r="A24" s="16" t="s">
        <v>28</v>
      </c>
      <c r="B24" s="19">
        <v>0.30950689611323917</v>
      </c>
      <c r="C24" s="143"/>
      <c r="D24" s="144"/>
      <c r="E24" s="144"/>
      <c r="F24" s="144"/>
      <c r="G24" s="145"/>
    </row>
    <row r="25" spans="1:8">
      <c r="A25" s="16" t="s">
        <v>29</v>
      </c>
      <c r="B25" s="19">
        <v>0.10876367031856125</v>
      </c>
      <c r="D25" s="69"/>
      <c r="E25" s="69"/>
      <c r="F25" s="69"/>
      <c r="G25" s="70"/>
    </row>
    <row r="28" spans="1:8" ht="15.75">
      <c r="A28" s="25" t="s">
        <v>91</v>
      </c>
    </row>
    <row r="29" spans="1:8">
      <c r="A29" s="26" t="s">
        <v>32</v>
      </c>
      <c r="B29" s="22"/>
      <c r="C29" s="22"/>
      <c r="D29" s="22"/>
    </row>
    <row r="30" spans="1:8">
      <c r="B30" s="21" t="s">
        <v>26</v>
      </c>
      <c r="C30" s="21" t="s">
        <v>27</v>
      </c>
      <c r="D30" s="21" t="s">
        <v>28</v>
      </c>
      <c r="E30" s="21" t="s">
        <v>29</v>
      </c>
    </row>
    <row r="31" spans="1:8">
      <c r="A31" s="16" t="s">
        <v>33</v>
      </c>
      <c r="B31" s="19">
        <f>INTERCEPT(B3:B9,$F$3:$F$9)</f>
        <v>9.1105280800432981E-3</v>
      </c>
      <c r="C31" s="19">
        <f>INTERCEPT(C3:C9,$F$3:$F$9)</f>
        <v>-1.2443329780940024E-3</v>
      </c>
      <c r="D31" s="19">
        <f>INTERCEPT(D3:D9,$F$3:$F$9)</f>
        <v>5.264568620786992E-3</v>
      </c>
      <c r="E31" s="19">
        <f>INTERCEPT(E3:E9,$F$3:$F$9)</f>
        <v>9.705807163838372E-3</v>
      </c>
      <c r="F31" s="19" t="str">
        <f ca="1">getformula(E31)</f>
        <v>&lt;-- =INTERCEPT(E3:E9,$F$3:$F$9)</v>
      </c>
    </row>
    <row r="32" spans="1:8">
      <c r="A32" s="16" t="s">
        <v>34</v>
      </c>
      <c r="B32" s="19">
        <f>SLOPE(B3:B9,$F$3:$F$9)</f>
        <v>8.8947191995670347E-2</v>
      </c>
      <c r="C32" s="19">
        <f>SLOPE(C3:C9,$F$3:$F$9)</f>
        <v>1.1244332978094012</v>
      </c>
      <c r="D32" s="19">
        <f>SLOPE(D3:D9,$F$3:$F$9)</f>
        <v>0.47354313792130015</v>
      </c>
      <c r="E32" s="19">
        <f>SLOPE(E3:E9,$F$3:$F$9)</f>
        <v>2.9419283616162358E-2</v>
      </c>
      <c r="F32" s="19" t="str">
        <f ca="1">getformula(E32)</f>
        <v>&lt;-- =SLOPE(E3:E9,$F$3:$F$9)</v>
      </c>
    </row>
    <row r="33" spans="1:6">
      <c r="A33" s="16" t="s">
        <v>35</v>
      </c>
      <c r="B33" s="19">
        <f>RSQ(B3:B9,$F$3:$F$9)</f>
        <v>1.0238313909828097E-2</v>
      </c>
      <c r="C33" s="19">
        <f>RSQ(C3:C9,$F$3:$F$9)</f>
        <v>0.71656903304253872</v>
      </c>
      <c r="D33" s="19">
        <f>RSQ(D3:D9,$F$3:$F$9)</f>
        <v>0.12352816581602868</v>
      </c>
      <c r="E33" s="19">
        <f>RSQ(E3:E9,$F$3:$F$9)</f>
        <v>2.8994207926634746E-4</v>
      </c>
      <c r="F33" s="19" t="str">
        <f ca="1">getformula(E33)</f>
        <v>&lt;-- =RSQ(E3:E9,$F$3:$F$9)</v>
      </c>
    </row>
    <row r="35" spans="1:6">
      <c r="A35" s="16" t="s">
        <v>36</v>
      </c>
    </row>
    <row r="36" spans="1:6" ht="14.25">
      <c r="A36" s="16" t="s">
        <v>37</v>
      </c>
      <c r="B36" s="27">
        <f>INTERCEPT(B10:E10,B32:E32)</f>
        <v>9.9999999999999985E-3</v>
      </c>
      <c r="C36" s="19" t="str">
        <f ca="1">getformula(B36)</f>
        <v>&lt;-- =INTERCEPT(B10:E10,B32:E32)</v>
      </c>
    </row>
    <row r="37" spans="1:6">
      <c r="A37" s="16" t="s">
        <v>38</v>
      </c>
      <c r="B37" s="19">
        <f>SLOPE(B10:E10,B32:E32)</f>
        <v>1.6590846666668886E-2</v>
      </c>
      <c r="C37" s="19" t="str">
        <f ca="1">getformula(B37)</f>
        <v>&lt;-- =SLOPE(B10:E10,B32:E32)</v>
      </c>
    </row>
    <row r="38" spans="1:6">
      <c r="A38" s="16" t="s">
        <v>35</v>
      </c>
      <c r="B38" s="19">
        <f>RSQ(B10:E10,B32:E32)</f>
        <v>1</v>
      </c>
      <c r="C38" s="19" t="str">
        <f ca="1">getformula(B38)</f>
        <v>&lt;-- =RSQ(B10:E10,B32:E32)</v>
      </c>
    </row>
    <row r="39" spans="1:6">
      <c r="B39" s="19"/>
      <c r="C39" s="19"/>
    </row>
    <row r="40" spans="1:6">
      <c r="A40" s="74" t="s">
        <v>92</v>
      </c>
      <c r="B40" s="74"/>
      <c r="C40" s="74"/>
      <c r="D40" s="74"/>
      <c r="E40" s="74"/>
    </row>
    <row r="41" spans="1:6">
      <c r="A41" s="74" t="s">
        <v>93</v>
      </c>
      <c r="B41" s="74"/>
      <c r="C41" s="74"/>
      <c r="D41" s="74"/>
      <c r="E41" s="74"/>
    </row>
    <row r="42" spans="1:6">
      <c r="A42" s="16" t="s">
        <v>39</v>
      </c>
      <c r="B42" s="17" t="str">
        <f>IF(ROUND(B36-B20,10)=0,"yes","no")</f>
        <v>yes</v>
      </c>
      <c r="C42" s="19" t="str">
        <f ca="1">"&lt;--"&amp;_xlfn.FORMULATEXT(B42)</f>
        <v>&lt;--=IF(ROUND(B36-B20,10)=0,"yes","no")</v>
      </c>
    </row>
    <row r="43" spans="1:6" ht="15.75">
      <c r="A43" s="16" t="s">
        <v>40</v>
      </c>
      <c r="B43" s="20" t="str">
        <f>IF(B37=F10-B20,"yes","no")</f>
        <v>yes</v>
      </c>
      <c r="C43" s="19" t="str">
        <f ca="1">"&lt;--"&amp;_xlfn.FORMULATEXT(B43)</f>
        <v>&lt;--=IF(B37=F10-B20,"yes","no")</v>
      </c>
    </row>
    <row r="46" spans="1:6">
      <c r="C46" s="24"/>
      <c r="F46" s="28"/>
    </row>
    <row r="47" spans="1:6">
      <c r="F47" s="29"/>
    </row>
  </sheetData>
  <mergeCells count="3">
    <mergeCell ref="A1:G1"/>
    <mergeCell ref="F14:G16"/>
    <mergeCell ref="C22:G24"/>
  </mergeCells>
  <printOptions headings="1" gridLines="1"/>
  <pageMargins left="0.70866141732283505" right="0.70866141732283505" top="0.74803149606299202" bottom="0.74803149606299202" header="0.31496062992126" footer="0.31496062992126"/>
  <pageSetup orientation="portrait" cellComments="atEnd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51"/>
  <sheetViews>
    <sheetView workbookViewId="0">
      <selection sqref="A1:G1"/>
    </sheetView>
  </sheetViews>
  <sheetFormatPr defaultColWidth="8.75" defaultRowHeight="12.75"/>
  <cols>
    <col min="1" max="1" width="20.875" style="16" customWidth="1"/>
    <col min="2" max="7" width="11" style="16" customWidth="1"/>
    <col min="8" max="8" width="38" style="16" customWidth="1"/>
    <col min="9" max="16384" width="8.75" style="16"/>
  </cols>
  <sheetData>
    <row r="1" spans="1:8" ht="18" customHeight="1">
      <c r="A1" s="146" t="s">
        <v>101</v>
      </c>
      <c r="B1" s="146"/>
      <c r="C1" s="146"/>
      <c r="D1" s="146"/>
      <c r="E1" s="146"/>
      <c r="F1" s="146"/>
      <c r="G1" s="146"/>
      <c r="H1" s="82"/>
    </row>
    <row r="2" spans="1:8" ht="15">
      <c r="A2" s="8" t="s">
        <v>67</v>
      </c>
      <c r="B2" s="8"/>
      <c r="C2" s="8"/>
      <c r="D2" s="8"/>
      <c r="E2" s="8"/>
      <c r="F2"/>
      <c r="G2" s="97" t="s">
        <v>0</v>
      </c>
    </row>
    <row r="3" spans="1:8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</row>
    <row r="4" spans="1:8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</row>
    <row r="5" spans="1:8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0.03</v>
      </c>
    </row>
    <row r="6" spans="1:8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</row>
    <row r="7" spans="1:8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</row>
    <row r="8" spans="1:8" ht="14.25">
      <c r="A8"/>
      <c r="B8"/>
      <c r="C8"/>
      <c r="D8"/>
      <c r="E8"/>
      <c r="F8"/>
      <c r="G8"/>
    </row>
    <row r="9" spans="1:8" ht="14.25">
      <c r="A9" t="s">
        <v>15</v>
      </c>
      <c r="B9" s="3">
        <v>0.02</v>
      </c>
      <c r="C9"/>
      <c r="D9"/>
      <c r="E9"/>
      <c r="F9"/>
      <c r="G9"/>
    </row>
    <row r="10" spans="1:8" ht="30.75" thickBot="1">
      <c r="A10"/>
      <c r="B10" s="77" t="s">
        <v>16</v>
      </c>
      <c r="C10"/>
      <c r="D10"/>
      <c r="E10"/>
      <c r="F10"/>
      <c r="G10"/>
    </row>
    <row r="11" spans="1:8" ht="15">
      <c r="A11" s="37" t="s">
        <v>26</v>
      </c>
      <c r="B11" s="9">
        <f t="array" ref="B11:B14">MMULT(MINVERSE(B4:E7),G4:G7-B9)/SUM(MMULT(MINVERSE(B4:E7),G4:G7-B9))</f>
        <v>-0.61253054101221616</v>
      </c>
      <c r="C11"/>
      <c r="D11" s="98" t="str">
        <f ca="1">_xlfn.FORMULATEXT(B11)</f>
        <v>{=MMULT(MINVERSE(B4:E7),G4:G7-B9)/SUM(MMULT(MINVERSE(B4:E7),G4:G7-B9))}</v>
      </c>
      <c r="E11" s="99"/>
      <c r="F11" s="99"/>
      <c r="G11" s="100"/>
    </row>
    <row r="12" spans="1:8" ht="15">
      <c r="A12" s="37" t="s">
        <v>27</v>
      </c>
      <c r="B12" s="9">
        <v>0.1439267015706806</v>
      </c>
      <c r="C12"/>
      <c r="D12" s="101"/>
      <c r="E12" s="102"/>
      <c r="F12" s="102"/>
      <c r="G12" s="103"/>
    </row>
    <row r="13" spans="1:8" ht="15.75" thickBot="1">
      <c r="A13" s="37" t="s">
        <v>28</v>
      </c>
      <c r="B13" s="9">
        <v>0.68082024432809751</v>
      </c>
      <c r="C13"/>
      <c r="D13" s="104"/>
      <c r="E13" s="105"/>
      <c r="F13" s="105"/>
      <c r="G13" s="106"/>
    </row>
    <row r="14" spans="1:8" ht="15">
      <c r="A14" s="37" t="s">
        <v>29</v>
      </c>
      <c r="B14" s="9">
        <v>0.78778359511343798</v>
      </c>
      <c r="C14" s="30"/>
      <c r="D14" s="30"/>
      <c r="E14" s="30"/>
      <c r="F14" s="30"/>
      <c r="G14"/>
    </row>
    <row r="15" spans="1:8" ht="15">
      <c r="A15" s="37" t="s">
        <v>4</v>
      </c>
      <c r="B15" s="56">
        <f>SUM(B11:B14)</f>
        <v>1</v>
      </c>
      <c r="C15" s="57" t="str">
        <f ca="1">"&lt;--"&amp;_xlfn.FORMULATEXT(B15)</f>
        <v>&lt;--=SUM(B11:B14)</v>
      </c>
      <c r="D15" s="38"/>
      <c r="E15" s="38"/>
      <c r="F15" s="38"/>
      <c r="G15"/>
    </row>
    <row r="17" spans="1:3">
      <c r="A17" s="16" t="s">
        <v>17</v>
      </c>
      <c r="B17" s="22">
        <f t="array" ref="B17">MMULT(TRANSPOSE(B11:B14),G4:G7)</f>
        <v>0.1253111692844677</v>
      </c>
      <c r="C17" s="16" t="str">
        <f ca="1">getformula(B17)</f>
        <v>&lt;--  {=MMULT(TRANSPOSE(B11:B14),G4:G7)}</v>
      </c>
    </row>
    <row r="18" spans="1:3">
      <c r="A18" s="16" t="s">
        <v>18</v>
      </c>
      <c r="B18" s="22">
        <f t="array" ref="B18">SQRT(MMULT(TRANSPOSE(B11:B14),MMULT(B4:E7,B11:B14)))</f>
        <v>0.69895964071740835</v>
      </c>
      <c r="C18" s="16" t="str">
        <f ca="1">getformula(B18)</f>
        <v>&lt;--  {=SQRT(MMULT(TRANSPOSE(B11:B14),MMULT(B4:E7,B11:B14)))}</v>
      </c>
    </row>
    <row r="19" spans="1:3" ht="25.5">
      <c r="A19" s="80" t="s">
        <v>100</v>
      </c>
      <c r="B19" s="81">
        <f>(B17-B9)/B18</f>
        <v>0.1506684551576925</v>
      </c>
      <c r="C19" s="16" t="str">
        <f ca="1">getformula(B19)</f>
        <v>&lt;-- =(B17-B9)/B18</v>
      </c>
    </row>
    <row r="20" spans="1:3">
      <c r="B20" s="22"/>
    </row>
    <row r="21" spans="1:3">
      <c r="B21" s="22"/>
    </row>
    <row r="22" spans="1:3">
      <c r="B22" s="22"/>
    </row>
    <row r="23" spans="1:3">
      <c r="B23" s="22"/>
    </row>
    <row r="24" spans="1:3">
      <c r="B24" s="22"/>
    </row>
    <row r="25" spans="1:3">
      <c r="B25" s="22"/>
    </row>
    <row r="26" spans="1:3">
      <c r="B26" s="22"/>
    </row>
    <row r="27" spans="1:3">
      <c r="B27" s="22"/>
    </row>
    <row r="28" spans="1:3">
      <c r="B28" s="22"/>
    </row>
    <row r="29" spans="1:3">
      <c r="B29" s="22"/>
    </row>
    <row r="30" spans="1:3">
      <c r="B30" s="22"/>
    </row>
    <row r="31" spans="1:3">
      <c r="B31" s="22"/>
    </row>
    <row r="32" spans="1:3">
      <c r="B32" s="22"/>
    </row>
    <row r="33" spans="2:2">
      <c r="B33" s="22"/>
    </row>
    <row r="34" spans="2:2">
      <c r="B34" s="22"/>
    </row>
    <row r="35" spans="2:2">
      <c r="B35" s="22"/>
    </row>
    <row r="36" spans="2:2">
      <c r="B36" s="22"/>
    </row>
    <row r="37" spans="2:2">
      <c r="B37" s="22"/>
    </row>
    <row r="38" spans="2:2">
      <c r="B38" s="22"/>
    </row>
    <row r="39" spans="2:2">
      <c r="B39" s="22"/>
    </row>
    <row r="40" spans="2:2">
      <c r="B40" s="22"/>
    </row>
    <row r="41" spans="2:2">
      <c r="B41" s="22"/>
    </row>
    <row r="42" spans="2:2">
      <c r="B42" s="22"/>
    </row>
    <row r="43" spans="2:2">
      <c r="B43" s="22"/>
    </row>
    <row r="44" spans="2:2">
      <c r="B44" s="22"/>
    </row>
    <row r="45" spans="2:2">
      <c r="B45" s="22"/>
    </row>
    <row r="46" spans="2:2">
      <c r="B46" s="22"/>
    </row>
    <row r="47" spans="2:2">
      <c r="B47" s="22"/>
    </row>
    <row r="48" spans="2:2">
      <c r="B48" s="22"/>
    </row>
    <row r="49" spans="2:2">
      <c r="B49" s="22"/>
    </row>
    <row r="50" spans="2:2">
      <c r="B50" s="22"/>
    </row>
    <row r="51" spans="2:2">
      <c r="B51" s="22"/>
    </row>
  </sheetData>
  <mergeCells count="3">
    <mergeCell ref="G2:G3"/>
    <mergeCell ref="D11:G13"/>
    <mergeCell ref="A1:G1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51"/>
  <sheetViews>
    <sheetView zoomScale="115" zoomScaleNormal="115" workbookViewId="0">
      <selection sqref="A1:G1"/>
    </sheetView>
  </sheetViews>
  <sheetFormatPr defaultColWidth="8.75" defaultRowHeight="12.75"/>
  <cols>
    <col min="1" max="1" width="20.875" style="16" customWidth="1"/>
    <col min="2" max="6" width="11" style="16" customWidth="1"/>
    <col min="7" max="8" width="10.75" style="16" customWidth="1"/>
    <col min="9" max="16384" width="8.75" style="16"/>
  </cols>
  <sheetData>
    <row r="1" spans="1:8" ht="36.4" customHeight="1">
      <c r="A1" s="146" t="s">
        <v>102</v>
      </c>
      <c r="B1" s="146"/>
      <c r="C1" s="146"/>
      <c r="D1" s="146"/>
      <c r="E1" s="146"/>
      <c r="F1" s="146"/>
      <c r="G1" s="146"/>
      <c r="H1" s="82"/>
    </row>
    <row r="2" spans="1:8" ht="15">
      <c r="A2" s="8" t="s">
        <v>67</v>
      </c>
      <c r="B2" s="8"/>
      <c r="C2" s="8"/>
      <c r="D2" s="8"/>
      <c r="E2" s="8"/>
      <c r="F2"/>
      <c r="G2" s="97" t="s">
        <v>0</v>
      </c>
    </row>
    <row r="3" spans="1:8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</row>
    <row r="4" spans="1:8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</row>
    <row r="5" spans="1:8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0.02</v>
      </c>
    </row>
    <row r="6" spans="1:8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</row>
    <row r="7" spans="1:8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</row>
    <row r="8" spans="1:8" ht="14.25">
      <c r="A8"/>
      <c r="B8"/>
      <c r="C8"/>
      <c r="D8"/>
      <c r="E8"/>
      <c r="F8"/>
      <c r="G8"/>
    </row>
    <row r="9" spans="1:8" ht="14.25">
      <c r="A9" t="s">
        <v>15</v>
      </c>
      <c r="B9" s="3">
        <v>0.02</v>
      </c>
      <c r="C9"/>
      <c r="D9"/>
      <c r="E9"/>
      <c r="F9"/>
      <c r="G9"/>
    </row>
    <row r="10" spans="1:8" ht="30">
      <c r="A10"/>
      <c r="B10" s="77" t="s">
        <v>16</v>
      </c>
      <c r="C10"/>
      <c r="D10"/>
      <c r="E10"/>
      <c r="F10"/>
      <c r="G10"/>
    </row>
    <row r="11" spans="1:8" ht="15">
      <c r="A11" s="37" t="s">
        <v>26</v>
      </c>
      <c r="B11" s="33">
        <v>-0.69019822402195063</v>
      </c>
      <c r="C11"/>
      <c r="D11"/>
      <c r="E11"/>
      <c r="F11"/>
      <c r="G11"/>
    </row>
    <row r="12" spans="1:8" ht="15">
      <c r="A12" s="37" t="s">
        <v>27</v>
      </c>
      <c r="B12" s="33">
        <v>-2.0989232082355449E-2</v>
      </c>
      <c r="C12"/>
      <c r="D12"/>
      <c r="E12"/>
      <c r="F12"/>
      <c r="G12"/>
    </row>
    <row r="13" spans="1:8" ht="15">
      <c r="A13" s="37" t="s">
        <v>28</v>
      </c>
      <c r="B13" s="33">
        <v>0.81646472671864012</v>
      </c>
      <c r="C13"/>
      <c r="D13"/>
      <c r="E13"/>
      <c r="F13"/>
      <c r="G13"/>
    </row>
    <row r="14" spans="1:8" ht="15">
      <c r="A14" s="37" t="s">
        <v>29</v>
      </c>
      <c r="B14" s="33">
        <v>0.89472272938566566</v>
      </c>
      <c r="C14" s="30"/>
      <c r="D14" s="30"/>
      <c r="E14" s="30"/>
      <c r="F14" s="30"/>
      <c r="G14"/>
    </row>
    <row r="15" spans="1:8" ht="15">
      <c r="A15" s="37" t="s">
        <v>4</v>
      </c>
      <c r="B15" s="56">
        <f>SUM(B11:B14)</f>
        <v>0.99999999999999967</v>
      </c>
      <c r="C15" s="57" t="str">
        <f ca="1">"&lt;--"&amp;_xlfn.FORMULATEXT(B15)</f>
        <v>&lt;--=SUM(B11:B14)</v>
      </c>
      <c r="D15" s="38"/>
      <c r="E15" s="38"/>
      <c r="F15" s="38"/>
      <c r="G15"/>
    </row>
    <row r="17" spans="1:3">
      <c r="A17" s="16" t="s">
        <v>17</v>
      </c>
      <c r="B17" s="22">
        <f t="array" ref="B17">MMULT(TRANSPOSE(B11:B14),G4:G7)</f>
        <v>0.14056570195397167</v>
      </c>
      <c r="C17" s="16" t="str">
        <f ca="1">getformula(B17)</f>
        <v>&lt;--  {=MMULT(TRANSPOSE(B11:B14),G4:G7)}</v>
      </c>
    </row>
    <row r="18" spans="1:3">
      <c r="A18" s="16" t="s">
        <v>18</v>
      </c>
      <c r="B18" s="22">
        <f t="array" ref="B18">SQRT(MMULT(TRANSPOSE(B11:B14),MMULT(B4:E7,B11:B14)))</f>
        <v>0.80502848035271779</v>
      </c>
      <c r="C18" s="16" t="str">
        <f ca="1">getformula(B18)</f>
        <v>&lt;--  {=SQRT(MMULT(TRANSPOSE(B11:B14),MMULT(B4:E7,B11:B14)))}</v>
      </c>
    </row>
    <row r="19" spans="1:3" ht="25.5">
      <c r="A19" s="80" t="s">
        <v>100</v>
      </c>
      <c r="B19" s="81">
        <f>(B17-B9)/B18</f>
        <v>0.14976575971715511</v>
      </c>
      <c r="C19" s="16" t="str">
        <f ca="1">getformula(B19)</f>
        <v>&lt;-- =(B17-B9)/B18</v>
      </c>
    </row>
    <row r="20" spans="1:3">
      <c r="B20" s="22"/>
    </row>
    <row r="21" spans="1:3">
      <c r="B21" s="22"/>
    </row>
    <row r="22" spans="1:3">
      <c r="B22" s="22"/>
    </row>
    <row r="23" spans="1:3">
      <c r="B23" s="22"/>
    </row>
    <row r="24" spans="1:3">
      <c r="B24" s="22"/>
    </row>
    <row r="25" spans="1:3">
      <c r="B25" s="22"/>
    </row>
    <row r="26" spans="1:3">
      <c r="B26" s="22"/>
    </row>
    <row r="27" spans="1:3">
      <c r="B27" s="22"/>
    </row>
    <row r="28" spans="1:3">
      <c r="B28" s="22"/>
    </row>
    <row r="29" spans="1:3">
      <c r="B29" s="22"/>
    </row>
    <row r="30" spans="1:3">
      <c r="B30" s="22"/>
    </row>
    <row r="31" spans="1:3">
      <c r="B31" s="22"/>
    </row>
    <row r="32" spans="1:3">
      <c r="B32" s="22"/>
    </row>
    <row r="33" spans="2:2">
      <c r="B33" s="22"/>
    </row>
    <row r="34" spans="2:2">
      <c r="B34" s="22"/>
    </row>
    <row r="35" spans="2:2">
      <c r="B35" s="22"/>
    </row>
    <row r="36" spans="2:2">
      <c r="B36" s="22"/>
    </row>
    <row r="37" spans="2:2">
      <c r="B37" s="22"/>
    </row>
    <row r="38" spans="2:2">
      <c r="B38" s="22"/>
    </row>
    <row r="39" spans="2:2">
      <c r="B39" s="22"/>
    </row>
    <row r="40" spans="2:2">
      <c r="B40" s="22"/>
    </row>
    <row r="41" spans="2:2">
      <c r="B41" s="22"/>
    </row>
    <row r="42" spans="2:2">
      <c r="B42" s="22"/>
    </row>
    <row r="43" spans="2:2">
      <c r="B43" s="22"/>
    </row>
    <row r="44" spans="2:2">
      <c r="B44" s="22"/>
    </row>
    <row r="45" spans="2:2">
      <c r="B45" s="22"/>
    </row>
    <row r="46" spans="2:2">
      <c r="B46" s="22"/>
    </row>
    <row r="47" spans="2:2">
      <c r="B47" s="22"/>
    </row>
    <row r="48" spans="2:2">
      <c r="B48" s="22"/>
    </row>
    <row r="49" spans="2:2">
      <c r="B49" s="22"/>
    </row>
    <row r="50" spans="2:2">
      <c r="B50" s="22"/>
    </row>
    <row r="51" spans="2:2">
      <c r="B51" s="22"/>
    </row>
  </sheetData>
  <mergeCells count="2">
    <mergeCell ref="A1:G1"/>
    <mergeCell ref="G2:G3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H51"/>
  <sheetViews>
    <sheetView zoomScaleNormal="100" workbookViewId="0">
      <selection sqref="A1:G1"/>
    </sheetView>
  </sheetViews>
  <sheetFormatPr defaultColWidth="8.75" defaultRowHeight="12.75"/>
  <cols>
    <col min="1" max="1" width="17.75" style="16" customWidth="1"/>
    <col min="2" max="6" width="11" style="16" customWidth="1"/>
    <col min="7" max="8" width="10.75" style="16" customWidth="1"/>
    <col min="9" max="16384" width="8.75" style="16"/>
  </cols>
  <sheetData>
    <row r="1" spans="1:8" ht="36.4" customHeight="1">
      <c r="A1" s="146" t="s">
        <v>103</v>
      </c>
      <c r="B1" s="146"/>
      <c r="C1" s="146"/>
      <c r="D1" s="146"/>
      <c r="E1" s="146"/>
      <c r="F1" s="146"/>
      <c r="G1" s="146"/>
      <c r="H1" s="82"/>
    </row>
    <row r="2" spans="1:8" ht="15">
      <c r="A2" s="8" t="s">
        <v>67</v>
      </c>
      <c r="B2" s="8"/>
      <c r="C2" s="8"/>
      <c r="D2" s="8"/>
      <c r="E2" s="8"/>
      <c r="F2"/>
      <c r="G2" s="97" t="s">
        <v>0</v>
      </c>
    </row>
    <row r="3" spans="1:8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</row>
    <row r="4" spans="1:8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</row>
    <row r="5" spans="1:8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0.02</v>
      </c>
    </row>
    <row r="6" spans="1:8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</row>
    <row r="7" spans="1:8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</row>
    <row r="8" spans="1:8" ht="14.25">
      <c r="A8"/>
      <c r="B8"/>
      <c r="C8"/>
      <c r="D8"/>
      <c r="E8"/>
      <c r="F8"/>
      <c r="G8"/>
    </row>
    <row r="9" spans="1:8" ht="14.25">
      <c r="A9" t="s">
        <v>15</v>
      </c>
      <c r="B9" s="3">
        <v>0.02</v>
      </c>
      <c r="C9"/>
      <c r="D9"/>
      <c r="E9"/>
      <c r="F9"/>
      <c r="G9"/>
    </row>
    <row r="10" spans="1:8" ht="30">
      <c r="A10"/>
      <c r="B10" s="77" t="s">
        <v>16</v>
      </c>
      <c r="C10"/>
      <c r="D10"/>
      <c r="E10"/>
      <c r="F10"/>
      <c r="G10"/>
    </row>
    <row r="11" spans="1:8" ht="15">
      <c r="A11" s="37" t="s">
        <v>26</v>
      </c>
      <c r="B11" s="33">
        <v>0</v>
      </c>
      <c r="C11"/>
      <c r="D11"/>
      <c r="E11"/>
      <c r="F11"/>
      <c r="G11"/>
    </row>
    <row r="12" spans="1:8" ht="15">
      <c r="A12" s="37" t="s">
        <v>27</v>
      </c>
      <c r="B12" s="33">
        <v>0</v>
      </c>
      <c r="C12"/>
      <c r="D12"/>
      <c r="E12"/>
      <c r="F12"/>
      <c r="G12"/>
    </row>
    <row r="13" spans="1:8" ht="15">
      <c r="A13" s="37" t="s">
        <v>28</v>
      </c>
      <c r="B13" s="33">
        <v>0.47972972340440273</v>
      </c>
      <c r="C13"/>
      <c r="D13"/>
      <c r="E13"/>
      <c r="F13"/>
      <c r="G13"/>
    </row>
    <row r="14" spans="1:8" ht="15">
      <c r="A14" s="37" t="s">
        <v>29</v>
      </c>
      <c r="B14" s="33">
        <v>0.52027027659559733</v>
      </c>
      <c r="C14" s="30"/>
      <c r="D14" s="30"/>
      <c r="E14" s="30"/>
      <c r="F14" s="30"/>
      <c r="G14"/>
    </row>
    <row r="15" spans="1:8" ht="15">
      <c r="A15" s="37" t="s">
        <v>4</v>
      </c>
      <c r="B15" s="56">
        <f>SUM(B11:B14)</f>
        <v>1</v>
      </c>
      <c r="C15" s="57" t="str">
        <f ca="1">"&lt;--"&amp;_xlfn.FORMULATEXT(B15)</f>
        <v>&lt;--=SUM(B11:B14)</v>
      </c>
      <c r="D15" s="38"/>
      <c r="E15" s="38"/>
      <c r="F15" s="38"/>
      <c r="G15"/>
    </row>
    <row r="17" spans="1:3">
      <c r="A17" s="16" t="s">
        <v>17</v>
      </c>
      <c r="B17" s="22">
        <f t="array" ref="B17">MMULT(TRANSPOSE(B11:B14),G4:G7)</f>
        <v>9.0405405531911953E-2</v>
      </c>
      <c r="C17" s="16" t="str">
        <f ca="1">getformula(B17)</f>
        <v>&lt;--  {=MMULT(TRANSPOSE(B11:B14),G4:G7)}</v>
      </c>
    </row>
    <row r="18" spans="1:3">
      <c r="A18" s="16" t="s">
        <v>18</v>
      </c>
      <c r="B18" s="22">
        <f t="array" ref="B18">SQRT(MMULT(TRANSPOSE(B11:B14),MMULT(B4:E7,B11:B14)))</f>
        <v>0.48721698245952499</v>
      </c>
      <c r="C18" s="16" t="str">
        <f ca="1">getformula(B18)</f>
        <v>&lt;--  {=SQRT(MMULT(TRANSPOSE(B11:B14),MMULT(B4:E7,B11:B14)))}</v>
      </c>
    </row>
    <row r="19" spans="1:3" ht="25.5">
      <c r="A19" s="80" t="s">
        <v>100</v>
      </c>
      <c r="B19" s="81">
        <f>(B17-B9)/B18</f>
        <v>0.14450523702293319</v>
      </c>
      <c r="C19" s="16" t="str">
        <f ca="1">getformula(B19)</f>
        <v>&lt;-- =(B17-B9)/B18</v>
      </c>
    </row>
    <row r="20" spans="1:3">
      <c r="B20" s="22"/>
    </row>
    <row r="21" spans="1:3">
      <c r="B21" s="22"/>
    </row>
    <row r="22" spans="1:3">
      <c r="B22" s="22"/>
    </row>
    <row r="23" spans="1:3">
      <c r="B23" s="22"/>
    </row>
    <row r="24" spans="1:3">
      <c r="B24" s="22"/>
    </row>
    <row r="25" spans="1:3">
      <c r="B25" s="22"/>
    </row>
    <row r="26" spans="1:3">
      <c r="B26" s="22"/>
    </row>
    <row r="27" spans="1:3">
      <c r="B27" s="22"/>
    </row>
    <row r="28" spans="1:3">
      <c r="B28" s="22"/>
    </row>
    <row r="29" spans="1:3">
      <c r="B29" s="22"/>
    </row>
    <row r="30" spans="1:3">
      <c r="B30" s="22"/>
    </row>
    <row r="31" spans="1:3">
      <c r="B31" s="22"/>
    </row>
    <row r="32" spans="1:3">
      <c r="B32" s="22"/>
    </row>
    <row r="33" spans="2:2">
      <c r="B33" s="22"/>
    </row>
    <row r="34" spans="2:2">
      <c r="B34" s="22"/>
    </row>
    <row r="35" spans="2:2">
      <c r="B35" s="22"/>
    </row>
    <row r="36" spans="2:2">
      <c r="B36" s="22"/>
    </row>
    <row r="37" spans="2:2">
      <c r="B37" s="22"/>
    </row>
    <row r="38" spans="2:2">
      <c r="B38" s="22"/>
    </row>
    <row r="39" spans="2:2">
      <c r="B39" s="22"/>
    </row>
    <row r="40" spans="2:2">
      <c r="B40" s="22"/>
    </row>
    <row r="41" spans="2:2">
      <c r="B41" s="22"/>
    </row>
    <row r="42" spans="2:2">
      <c r="B42" s="22"/>
    </row>
    <row r="43" spans="2:2">
      <c r="B43" s="22"/>
    </row>
    <row r="44" spans="2:2">
      <c r="B44" s="22"/>
    </row>
    <row r="45" spans="2:2">
      <c r="B45" s="22"/>
    </row>
    <row r="46" spans="2:2">
      <c r="B46" s="22"/>
    </row>
    <row r="47" spans="2:2">
      <c r="B47" s="22"/>
    </row>
    <row r="48" spans="2:2">
      <c r="B48" s="22"/>
    </row>
    <row r="49" spans="2:2">
      <c r="B49" s="22"/>
    </row>
    <row r="50" spans="2:2">
      <c r="B50" s="22"/>
    </row>
    <row r="51" spans="2:2">
      <c r="B51" s="22"/>
    </row>
  </sheetData>
  <mergeCells count="2">
    <mergeCell ref="A1:G1"/>
    <mergeCell ref="G2:G3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I28"/>
  <sheetViews>
    <sheetView zoomScale="75" zoomScaleNormal="100" workbookViewId="0">
      <selection activeCell="G37" sqref="G37"/>
    </sheetView>
  </sheetViews>
  <sheetFormatPr defaultColWidth="8.75" defaultRowHeight="12.75"/>
  <cols>
    <col min="1" max="1" width="17.75" style="16" customWidth="1"/>
    <col min="2" max="6" width="11" style="16" customWidth="1"/>
    <col min="7" max="8" width="10.75" style="16" customWidth="1"/>
    <col min="9" max="16384" width="8.75" style="16"/>
  </cols>
  <sheetData>
    <row r="1" spans="1:9" ht="36.4" customHeight="1">
      <c r="A1" s="146" t="s">
        <v>105</v>
      </c>
      <c r="B1" s="146"/>
      <c r="C1" s="146"/>
      <c r="D1" s="146"/>
      <c r="E1" s="146"/>
      <c r="F1" s="146"/>
      <c r="G1" s="146"/>
      <c r="H1" s="82"/>
    </row>
    <row r="2" spans="1:9" ht="15">
      <c r="A2" s="8" t="s">
        <v>67</v>
      </c>
      <c r="B2" s="8"/>
      <c r="C2" s="8"/>
      <c r="D2" s="8"/>
      <c r="E2" s="8"/>
      <c r="F2"/>
      <c r="G2" s="97" t="s">
        <v>0</v>
      </c>
    </row>
    <row r="3" spans="1:9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  <c r="I3" s="16" t="s">
        <v>12</v>
      </c>
    </row>
    <row r="4" spans="1:9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  <c r="I4" s="79">
        <f>SQRT(B4)</f>
        <v>0.31622776601683794</v>
      </c>
    </row>
    <row r="5" spans="1:9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0.02</v>
      </c>
      <c r="I5" s="79">
        <f>SQRT(C5)</f>
        <v>0.54772255750516607</v>
      </c>
    </row>
    <row r="6" spans="1:9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  <c r="I6" s="79">
        <f>SQRT(D6)</f>
        <v>0.63245553203367588</v>
      </c>
    </row>
    <row r="7" spans="1:9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  <c r="I7" s="79">
        <f>SQRT(E7)</f>
        <v>0.70710678118654757</v>
      </c>
    </row>
    <row r="8" spans="1:9" ht="14.25">
      <c r="A8"/>
      <c r="B8"/>
      <c r="C8"/>
      <c r="D8"/>
      <c r="E8"/>
      <c r="F8"/>
      <c r="G8"/>
    </row>
    <row r="9" spans="1:9" ht="14.25">
      <c r="A9" t="s">
        <v>104</v>
      </c>
      <c r="B9" s="3">
        <v>0.09</v>
      </c>
      <c r="C9"/>
      <c r="D9"/>
      <c r="E9"/>
      <c r="F9"/>
      <c r="G9"/>
    </row>
    <row r="10" spans="1:9" ht="30">
      <c r="A10"/>
      <c r="B10" s="77" t="s">
        <v>16</v>
      </c>
      <c r="C10"/>
      <c r="D10"/>
      <c r="E10"/>
      <c r="F10"/>
      <c r="G10"/>
    </row>
    <row r="11" spans="1:9" ht="15">
      <c r="A11" s="37" t="s">
        <v>26</v>
      </c>
      <c r="B11" s="33">
        <v>0</v>
      </c>
      <c r="C11"/>
      <c r="D11"/>
      <c r="E11"/>
      <c r="F11"/>
      <c r="G11"/>
    </row>
    <row r="12" spans="1:9" ht="15">
      <c r="A12" s="37" t="s">
        <v>27</v>
      </c>
      <c r="B12" s="33">
        <v>5.0000034206942948E-3</v>
      </c>
      <c r="C12"/>
      <c r="D12"/>
      <c r="E12"/>
      <c r="F12"/>
      <c r="G12"/>
    </row>
    <row r="13" spans="1:9" ht="15">
      <c r="A13" s="37" t="s">
        <v>28</v>
      </c>
      <c r="B13" s="33">
        <v>0.4799999835228847</v>
      </c>
      <c r="C13"/>
      <c r="D13"/>
      <c r="E13"/>
      <c r="F13"/>
      <c r="G13"/>
    </row>
    <row r="14" spans="1:9" ht="15">
      <c r="A14" s="37" t="s">
        <v>29</v>
      </c>
      <c r="B14" s="33">
        <v>0.51500001305642107</v>
      </c>
      <c r="C14" s="30"/>
      <c r="D14" s="30"/>
      <c r="E14" s="30"/>
      <c r="F14" s="30"/>
      <c r="G14"/>
    </row>
    <row r="15" spans="1:9" ht="15">
      <c r="A15" s="37" t="s">
        <v>4</v>
      </c>
      <c r="B15" s="56">
        <f>SUM(B11:B14)</f>
        <v>1</v>
      </c>
      <c r="C15" s="57" t="str">
        <f ca="1">"&lt;--"&amp;_xlfn.FORMULATEXT(B15)</f>
        <v>&lt;--=SUM(B11:B14)</v>
      </c>
      <c r="D15" s="38"/>
      <c r="E15" s="38"/>
      <c r="F15" s="38"/>
      <c r="G15"/>
    </row>
    <row r="17" spans="1:7">
      <c r="A17" s="16" t="s">
        <v>17</v>
      </c>
      <c r="B17" s="22">
        <f t="array" ref="B17">MMULT(TRANSPOSE(B11:B14),G4:G7)</f>
        <v>9.0000000055886778E-2</v>
      </c>
      <c r="C17" s="16" t="str">
        <f ca="1">getformula(B17)</f>
        <v>&lt;--  {=MMULT(TRANSPOSE(B11:B14),G4:G7)}</v>
      </c>
    </row>
    <row r="18" spans="1:7">
      <c r="A18" s="75" t="s">
        <v>18</v>
      </c>
      <c r="B18" s="81">
        <f t="array" ref="B18">SQRT(MMULT(TRANSPOSE(B11:B14),MMULT(B4:E7,B11:B14)))</f>
        <v>0.48451006218586634</v>
      </c>
      <c r="C18" s="16" t="str">
        <f ca="1">getformula(B18)</f>
        <v>&lt;--  {=SQRT(MMULT(TRANSPOSE(B11:B14),MMULT(B4:E7,B11:B14)))}</v>
      </c>
    </row>
    <row r="19" spans="1:7">
      <c r="B19" s="22"/>
    </row>
    <row r="20" spans="1:7" ht="14.25">
      <c r="A20"/>
      <c r="B20"/>
      <c r="C20"/>
      <c r="D20" s="24"/>
      <c r="E20" s="24"/>
      <c r="F20" s="24"/>
      <c r="G20" s="24"/>
    </row>
    <row r="21" spans="1:7">
      <c r="B21" s="22"/>
    </row>
    <row r="22" spans="1:7">
      <c r="B22" s="22"/>
    </row>
    <row r="23" spans="1:7">
      <c r="B23" s="22"/>
    </row>
    <row r="24" spans="1:7">
      <c r="B24" s="22"/>
    </row>
    <row r="25" spans="1:7">
      <c r="B25" s="22"/>
    </row>
    <row r="26" spans="1:7">
      <c r="B26" s="22"/>
    </row>
    <row r="27" spans="1:7">
      <c r="B27" s="22"/>
    </row>
    <row r="28" spans="1:7">
      <c r="B28" s="22"/>
    </row>
  </sheetData>
  <mergeCells count="2">
    <mergeCell ref="A1:G1"/>
    <mergeCell ref="G2:G3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64"/>
  <sheetViews>
    <sheetView zoomScale="115" zoomScaleNormal="115" workbookViewId="0">
      <selection activeCell="J28" sqref="J28"/>
    </sheetView>
  </sheetViews>
  <sheetFormatPr defaultColWidth="8.75" defaultRowHeight="12.75" outlineLevelRow="1"/>
  <cols>
    <col min="1" max="1" width="17.75" style="16" customWidth="1"/>
    <col min="2" max="6" width="11" style="16" customWidth="1"/>
    <col min="7" max="8" width="10.75" style="16" customWidth="1"/>
    <col min="9" max="9" width="13.25" style="16" customWidth="1"/>
    <col min="10" max="10" width="11.25" style="16" bestFit="1" customWidth="1"/>
    <col min="11" max="11" width="10.5" style="16" bestFit="1" customWidth="1"/>
    <col min="12" max="16384" width="8.75" style="16"/>
  </cols>
  <sheetData>
    <row r="1" spans="1:9" ht="36.4" customHeight="1">
      <c r="A1" s="146" t="s">
        <v>105</v>
      </c>
      <c r="B1" s="146"/>
      <c r="C1" s="146"/>
      <c r="D1" s="146"/>
      <c r="E1" s="146"/>
      <c r="F1" s="146"/>
      <c r="G1" s="146"/>
      <c r="H1" s="82"/>
    </row>
    <row r="2" spans="1:9" ht="15">
      <c r="A2" s="8" t="s">
        <v>67</v>
      </c>
      <c r="B2" s="8"/>
      <c r="C2" s="8"/>
      <c r="D2" s="8"/>
      <c r="E2" s="8"/>
      <c r="F2"/>
      <c r="G2" s="97" t="s">
        <v>0</v>
      </c>
    </row>
    <row r="3" spans="1:9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  <c r="I3" s="16" t="s">
        <v>12</v>
      </c>
    </row>
    <row r="4" spans="1:9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  <c r="I4" s="79">
        <f>SQRT(B4)</f>
        <v>0.31622776601683794</v>
      </c>
    </row>
    <row r="5" spans="1:9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0.02</v>
      </c>
      <c r="I5" s="79">
        <f>SQRT(C5)</f>
        <v>0.54772255750516607</v>
      </c>
    </row>
    <row r="6" spans="1:9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  <c r="I6" s="79">
        <f>SQRT(D6)</f>
        <v>0.63245553203367588</v>
      </c>
    </row>
    <row r="7" spans="1:9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  <c r="I7" s="79">
        <f>SQRT(E7)</f>
        <v>0.70710678118654757</v>
      </c>
    </row>
    <row r="8" spans="1:9" ht="14.25">
      <c r="A8"/>
      <c r="B8"/>
      <c r="C8"/>
      <c r="D8"/>
      <c r="E8"/>
      <c r="F8"/>
      <c r="G8"/>
    </row>
    <row r="9" spans="1:9" ht="14.25">
      <c r="A9" t="s">
        <v>104</v>
      </c>
      <c r="B9" s="3">
        <v>9.9999999999999978E-2</v>
      </c>
      <c r="C9"/>
      <c r="D9" s="43">
        <v>0</v>
      </c>
      <c r="E9" s="3">
        <v>0.02</v>
      </c>
      <c r="G9" s="3"/>
    </row>
    <row r="10" spans="1:9" ht="30">
      <c r="A10" s="7" t="s">
        <v>111</v>
      </c>
      <c r="B10" s="78" t="s">
        <v>16</v>
      </c>
      <c r="C10"/>
      <c r="D10" s="40" t="s">
        <v>112</v>
      </c>
      <c r="E10" s="40" t="s">
        <v>113</v>
      </c>
      <c r="F10"/>
    </row>
    <row r="11" spans="1:9" ht="14.65" customHeight="1">
      <c r="A11" s="37" t="s">
        <v>26</v>
      </c>
      <c r="B11" s="33">
        <v>0</v>
      </c>
      <c r="C11"/>
      <c r="D11" s="9">
        <f t="array" ref="D11:D14">MMULT(MINVERSE($B$4:$E$7),$G$4:$G$7-D9)/SUM(MMULT(MINVERSE($B$4:$E$7),$G$4:$G$7-D9))</f>
        <v>9.4343840822714006E-2</v>
      </c>
      <c r="E11" s="9">
        <f t="array" ref="E11:E14">MMULT(MINVERSE($B$4:$E$7),$G$4:$G$7-E9)/SUM(MMULT(MINVERSE($B$4:$E$7),$G$4:$G$7-E9))</f>
        <v>-0.69020464288603078</v>
      </c>
      <c r="F11" s="147" t="str">
        <f ca="1">"&lt;--"&amp;_xlfn.FORMULATEXT(E11)</f>
        <v>&lt;--{=MMULT(MINVERSE($B$4:$E$7),$G$4:$G$7-E9)/SUM(MMULT(MINVERSE($B$4:$E$7),$G$4:$G$7-E9))}</v>
      </c>
      <c r="G11" s="147"/>
    </row>
    <row r="12" spans="1:9" ht="15">
      <c r="A12" s="37" t="s">
        <v>27</v>
      </c>
      <c r="B12" s="33">
        <v>0</v>
      </c>
      <c r="C12"/>
      <c r="D12" s="9">
        <v>0.11703554661301147</v>
      </c>
      <c r="E12" s="9">
        <v>-2.0990050958505164E-2</v>
      </c>
      <c r="F12" s="147"/>
      <c r="G12" s="147"/>
    </row>
    <row r="13" spans="1:9" ht="15">
      <c r="A13" s="37" t="s">
        <v>28</v>
      </c>
      <c r="B13" s="33">
        <v>0</v>
      </c>
      <c r="C13"/>
      <c r="D13" s="9">
        <v>0.37938743572546391</v>
      </c>
      <c r="E13" s="9">
        <v>0.81646849470193306</v>
      </c>
      <c r="F13" s="147"/>
      <c r="G13" s="147"/>
    </row>
    <row r="14" spans="1:9" ht="15">
      <c r="A14" s="37" t="s">
        <v>29</v>
      </c>
      <c r="B14" s="33">
        <v>1</v>
      </c>
      <c r="C14" s="30"/>
      <c r="D14" s="88">
        <v>0.40923317683881066</v>
      </c>
      <c r="E14" s="88">
        <v>0.89472619914260287</v>
      </c>
      <c r="F14" s="147"/>
      <c r="G14" s="147"/>
    </row>
    <row r="15" spans="1:9" ht="15">
      <c r="A15" s="37" t="s">
        <v>4</v>
      </c>
      <c r="B15" s="56">
        <f>SUM(B11:B14)</f>
        <v>1</v>
      </c>
      <c r="C15" s="57"/>
      <c r="D15" s="56">
        <f t="shared" ref="D15:E15" si="0">SUM(D11:D14)</f>
        <v>1</v>
      </c>
      <c r="E15" s="56">
        <f t="shared" si="0"/>
        <v>1</v>
      </c>
      <c r="F15" t="str">
        <f ca="1">"&lt;--"&amp;_xlfn.FORMULATEXT(E15)</f>
        <v>&lt;--=SUM(E11:E14)</v>
      </c>
    </row>
    <row r="17" spans="1:15">
      <c r="A17" s="16" t="s">
        <v>17</v>
      </c>
      <c r="B17" s="22">
        <f t="array" ref="B17">MMULT(TRANSPOSE(B11:B14),$G$4:$G$7)</f>
        <v>0.1</v>
      </c>
      <c r="D17" s="22">
        <f t="array" ref="D17">MMULT(TRANSPOSE(D11:D14),$G$4:$G$7)</f>
        <v>7.5501900290632695E-2</v>
      </c>
      <c r="E17" s="22">
        <f t="array" ref="E17">MMULT(TRANSPOSE(E11:E14),$G$4:$G$7)</f>
        <v>0.14056620561352423</v>
      </c>
    </row>
    <row r="18" spans="1:15">
      <c r="A18" s="75" t="s">
        <v>18</v>
      </c>
      <c r="B18" s="81">
        <f t="array" ref="B18">SQRT(MMULT(TRANSPOSE(B11:B14),MMULT($B$4:$E$7,B11:B14)))</f>
        <v>0.70710678118654757</v>
      </c>
      <c r="D18" s="81">
        <f t="array" ref="D18">SQRT(MMULT(TRANSPOSE(D11:D14),MMULT($B$4:$E$7,D11:D14)))</f>
        <v>0.40030652530071015</v>
      </c>
      <c r="E18" s="81">
        <f t="array" ref="E18">SQRT(MMULT(TRANSPOSE(E11:E14),MMULT($B$4:$E$7,E11:E14)))</f>
        <v>0.80503184333376487</v>
      </c>
    </row>
    <row r="19" spans="1:15">
      <c r="B19" s="22"/>
      <c r="C19" s="16" t="s">
        <v>114</v>
      </c>
      <c r="D19" s="89">
        <f t="array" ref="D19">MMULT(TRANSPOSE(D11:D14),MMULT($B$4:$E$7,E11:E14))</f>
        <v>0.29833786563648385</v>
      </c>
    </row>
    <row r="20" spans="1:15" ht="14.25">
      <c r="A20"/>
      <c r="B20"/>
      <c r="C20" t="s">
        <v>118</v>
      </c>
      <c r="D20" s="85">
        <f>D19/(D18*E18)</f>
        <v>0.92576903294472568</v>
      </c>
      <c r="E20" s="24"/>
      <c r="F20" s="24"/>
      <c r="G20" s="24"/>
    </row>
    <row r="21" spans="1:15">
      <c r="B21" s="22"/>
    </row>
    <row r="22" spans="1:15" ht="15.75">
      <c r="A22" s="87" t="s">
        <v>110</v>
      </c>
      <c r="B22" s="22"/>
      <c r="I22" s="87" t="s">
        <v>115</v>
      </c>
      <c r="N22" s="16" t="s">
        <v>47</v>
      </c>
      <c r="O22" s="86">
        <v>0.05</v>
      </c>
    </row>
    <row r="23" spans="1:15">
      <c r="A23" s="18" t="s">
        <v>81</v>
      </c>
      <c r="B23" s="72" t="s">
        <v>12</v>
      </c>
      <c r="C23" s="18" t="s">
        <v>106</v>
      </c>
      <c r="D23" s="18" t="s">
        <v>107</v>
      </c>
      <c r="E23" s="18" t="s">
        <v>108</v>
      </c>
      <c r="F23" s="18" t="s">
        <v>109</v>
      </c>
      <c r="I23" s="18" t="s">
        <v>116</v>
      </c>
      <c r="J23" s="18" t="s">
        <v>117</v>
      </c>
      <c r="K23" s="18" t="s">
        <v>81</v>
      </c>
      <c r="L23" s="18" t="s">
        <v>12</v>
      </c>
    </row>
    <row r="24" spans="1:15">
      <c r="A24" s="79">
        <v>1.9999999999999997E-2</v>
      </c>
      <c r="B24" s="83">
        <v>0.28050705967286421</v>
      </c>
      <c r="C24" s="79">
        <v>0.76315789458622851</v>
      </c>
      <c r="D24" s="79">
        <v>0.23684210541377143</v>
      </c>
      <c r="E24" s="79">
        <v>0</v>
      </c>
      <c r="F24" s="79">
        <v>0</v>
      </c>
      <c r="I24" s="86">
        <v>0.2</v>
      </c>
      <c r="J24" s="86">
        <f>1-I24</f>
        <v>0.8</v>
      </c>
      <c r="K24" s="79">
        <f>SUMPRODUCT(I24:J24,$D$17:$E$17)</f>
        <v>0.12755334454894593</v>
      </c>
      <c r="L24" s="24">
        <f>SQRT(I24^2*$D$18^2+J24^2*$E$18^2+2*I24*J24*$D$19)</f>
        <v>0.71878142824622149</v>
      </c>
    </row>
    <row r="25" spans="1:15">
      <c r="A25" s="79">
        <v>2.2000000022300542E-2</v>
      </c>
      <c r="B25" s="83">
        <v>0.27613021282448924</v>
      </c>
      <c r="C25" s="79">
        <v>0.73947255846038218</v>
      </c>
      <c r="D25" s="79">
        <v>0.23053268964572962</v>
      </c>
      <c r="E25" s="79">
        <v>1.9979006460525261E-2</v>
      </c>
      <c r="F25" s="79">
        <v>1.0015745433362838E-2</v>
      </c>
      <c r="I25" s="86">
        <f>I24+$O$22</f>
        <v>0.25</v>
      </c>
      <c r="J25" s="86">
        <f>1-I25</f>
        <v>0.75</v>
      </c>
      <c r="K25" s="79">
        <f>SUMPRODUCT(I25:J25,$D$17:$E$17)</f>
        <v>0.12430012928280135</v>
      </c>
      <c r="L25" s="24">
        <f>SQRT(I25^2*$D$18^2+J25^2*$E$18^2+2*I25*J25*$D$19)</f>
        <v>0.69744887478623951</v>
      </c>
    </row>
    <row r="26" spans="1:15">
      <c r="A26" s="79">
        <v>2.4000000004017856E-2</v>
      </c>
      <c r="B26" s="83">
        <v>0.27246692810204781</v>
      </c>
      <c r="C26" s="79">
        <v>0.71535661147750784</v>
      </c>
      <c r="D26" s="79">
        <v>0.22628979193254631</v>
      </c>
      <c r="E26" s="79">
        <v>3.3414386158890426E-2</v>
      </c>
      <c r="F26" s="79">
        <v>2.49392104310554E-2</v>
      </c>
      <c r="I26" s="86">
        <f t="shared" ref="I26:I64" si="1">I25+$O$22</f>
        <v>0.3</v>
      </c>
      <c r="J26" s="86">
        <f t="shared" ref="J26:J64" si="2">1-I26</f>
        <v>0.7</v>
      </c>
      <c r="K26" s="79">
        <f t="shared" ref="K26:K64" si="3">SUMPRODUCT(I26:J26,$D$17:$E$17)</f>
        <v>0.12104691401665676</v>
      </c>
      <c r="L26" s="24">
        <f t="shared" ref="L26:L64" si="4">SQRT(I26^2*$D$18^2+J26^2*$E$18^2+2*I26*J26*$D$19)</f>
        <v>0.6762258154995554</v>
      </c>
    </row>
    <row r="27" spans="1:15" outlineLevel="1">
      <c r="A27" s="79">
        <v>2.6000000004017806E-2</v>
      </c>
      <c r="B27" s="83">
        <v>0.26949678504138391</v>
      </c>
      <c r="C27" s="79">
        <v>0.69124052999757091</v>
      </c>
      <c r="D27" s="79">
        <v>0.22204703335323253</v>
      </c>
      <c r="E27" s="79">
        <v>4.6849746395896529E-2</v>
      </c>
      <c r="F27" s="79">
        <v>3.9862690253300137E-2</v>
      </c>
      <c r="I27" s="86">
        <f t="shared" si="1"/>
        <v>0.35</v>
      </c>
      <c r="J27" s="86">
        <f t="shared" si="2"/>
        <v>0.65</v>
      </c>
      <c r="K27" s="79">
        <f t="shared" si="3"/>
        <v>0.1177936987505122</v>
      </c>
      <c r="L27" s="24">
        <f t="shared" si="4"/>
        <v>0.65512289184092753</v>
      </c>
    </row>
    <row r="28" spans="1:15" outlineLevel="1">
      <c r="A28" s="79">
        <v>2.8000000004017801E-2</v>
      </c>
      <c r="B28" s="83">
        <v>0.26724289545197605</v>
      </c>
      <c r="C28" s="79">
        <v>0.6671244413664823</v>
      </c>
      <c r="D28" s="79">
        <v>0.21780428251603273</v>
      </c>
      <c r="E28" s="79">
        <v>6.0285104269049657E-2</v>
      </c>
      <c r="F28" s="79">
        <v>5.478617184843524E-2</v>
      </c>
      <c r="I28" s="86">
        <f t="shared" si="1"/>
        <v>0.39999999999999997</v>
      </c>
      <c r="J28" s="86">
        <f t="shared" si="2"/>
        <v>0.60000000000000009</v>
      </c>
      <c r="K28" s="79">
        <f t="shared" si="3"/>
        <v>0.11454048348436763</v>
      </c>
      <c r="L28" s="24">
        <f t="shared" si="4"/>
        <v>0.63415209732250688</v>
      </c>
    </row>
    <row r="29" spans="1:15" outlineLevel="1">
      <c r="A29" s="79">
        <v>2.9999999998660293E-2</v>
      </c>
      <c r="B29" s="79">
        <v>0.26572348681829705</v>
      </c>
      <c r="C29" s="79">
        <v>0.64297366469840711</v>
      </c>
      <c r="D29" s="79">
        <v>0.21359819861831184</v>
      </c>
      <c r="E29" s="79">
        <v>7.3712546800109746E-2</v>
      </c>
      <c r="F29" s="79">
        <v>6.9715589883171336E-2</v>
      </c>
      <c r="I29" s="86">
        <f t="shared" si="1"/>
        <v>0.44999999999999996</v>
      </c>
      <c r="J29" s="86">
        <f t="shared" si="2"/>
        <v>0.55000000000000004</v>
      </c>
      <c r="K29" s="79">
        <f t="shared" si="3"/>
        <v>0.11128726821822305</v>
      </c>
      <c r="L29" s="24">
        <f t="shared" si="4"/>
        <v>0.61332698531988805</v>
      </c>
    </row>
    <row r="30" spans="1:15" outlineLevel="1">
      <c r="A30" s="79">
        <v>3.2000000004039915E-2</v>
      </c>
      <c r="B30" s="79">
        <v>0.26495119279652962</v>
      </c>
      <c r="C30" s="79">
        <v>0.618892261680553</v>
      </c>
      <c r="D30" s="79">
        <v>0.20931878374310739</v>
      </c>
      <c r="E30" s="79">
        <v>8.7155818103362911E-2</v>
      </c>
      <c r="F30" s="79">
        <v>8.4633136472976711E-2</v>
      </c>
      <c r="I30" s="86">
        <f t="shared" si="1"/>
        <v>0.49999999999999994</v>
      </c>
      <c r="J30" s="86">
        <f t="shared" si="2"/>
        <v>0.5</v>
      </c>
      <c r="K30" s="79">
        <f t="shared" si="3"/>
        <v>0.10803405295207846</v>
      </c>
      <c r="L30" s="24">
        <f t="shared" si="4"/>
        <v>0.59266291309914421</v>
      </c>
    </row>
    <row r="31" spans="1:15" outlineLevel="1">
      <c r="A31" s="79">
        <v>3.4000000004017789E-2</v>
      </c>
      <c r="B31" s="79">
        <v>0.26493254978793912</v>
      </c>
      <c r="C31" s="79">
        <v>0.59477615985163412</v>
      </c>
      <c r="D31" s="79">
        <v>0.20507604692108847</v>
      </c>
      <c r="E31" s="79">
        <v>0.10059117270822041</v>
      </c>
      <c r="F31" s="79">
        <v>9.9556620519057087E-2</v>
      </c>
      <c r="I31" s="86">
        <f t="shared" si="1"/>
        <v>0.54999999999999993</v>
      </c>
      <c r="J31" s="86">
        <f t="shared" si="2"/>
        <v>0.45000000000000007</v>
      </c>
      <c r="K31" s="79">
        <f t="shared" si="3"/>
        <v>0.10478083768593389</v>
      </c>
      <c r="L31" s="24">
        <f t="shared" si="4"/>
        <v>0.57217732868690196</v>
      </c>
    </row>
    <row r="32" spans="1:15" outlineLevel="1">
      <c r="A32" s="79">
        <v>3.6000000004017797E-2</v>
      </c>
      <c r="B32" s="79">
        <v>0.26566771556516361</v>
      </c>
      <c r="C32" s="79">
        <v>0.57066005850367307</v>
      </c>
      <c r="D32" s="79">
        <v>0.20083330985357831</v>
      </c>
      <c r="E32" s="79">
        <v>0.1140265263701051</v>
      </c>
      <c r="F32" s="79">
        <v>0.11448010527264357</v>
      </c>
      <c r="I32" s="86">
        <f t="shared" si="1"/>
        <v>0.6</v>
      </c>
      <c r="J32" s="86">
        <f t="shared" si="2"/>
        <v>0.4</v>
      </c>
      <c r="K32" s="79">
        <f t="shared" si="3"/>
        <v>0.10152762241978931</v>
      </c>
      <c r="L32" s="24">
        <f t="shared" si="4"/>
        <v>0.55189010828418361</v>
      </c>
    </row>
    <row r="33" spans="1:12" outlineLevel="1">
      <c r="A33" s="79">
        <v>3.7999999998757417E-2</v>
      </c>
      <c r="B33" s="79">
        <v>0.26715046952912563</v>
      </c>
      <c r="C33" s="79">
        <v>0.5465935500365241</v>
      </c>
      <c r="D33" s="79">
        <v>0.19653426516747022</v>
      </c>
      <c r="E33" s="79">
        <v>0.1274887392461525</v>
      </c>
      <c r="F33" s="79">
        <v>0.12938344554985332</v>
      </c>
      <c r="I33" s="86">
        <f t="shared" si="1"/>
        <v>0.65</v>
      </c>
      <c r="J33" s="86">
        <f t="shared" si="2"/>
        <v>0.35</v>
      </c>
      <c r="K33" s="79">
        <f t="shared" si="3"/>
        <v>9.827440715364473E-2</v>
      </c>
      <c r="L33" s="24">
        <f t="shared" si="4"/>
        <v>0.53182395305129904</v>
      </c>
    </row>
    <row r="34" spans="1:12" outlineLevel="1">
      <c r="A34" s="79">
        <v>4.0000000003942743E-2</v>
      </c>
      <c r="B34" s="79">
        <v>0.26936845909910817</v>
      </c>
      <c r="C34" s="79">
        <v>0.5224278454839798</v>
      </c>
      <c r="D34" s="79">
        <v>0.19234784736402805</v>
      </c>
      <c r="E34" s="79">
        <v>0.14089722841083213</v>
      </c>
      <c r="F34" s="79">
        <v>0.14432707874116013</v>
      </c>
      <c r="I34" s="86">
        <f t="shared" si="1"/>
        <v>0.70000000000000007</v>
      </c>
      <c r="J34" s="86">
        <f t="shared" si="2"/>
        <v>0.29999999999999993</v>
      </c>
      <c r="K34" s="79">
        <f t="shared" si="3"/>
        <v>9.5021191887500148E-2</v>
      </c>
      <c r="L34" s="24">
        <f t="shared" si="4"/>
        <v>0.51200485516723993</v>
      </c>
    </row>
    <row r="35" spans="1:12" outlineLevel="1">
      <c r="A35" s="79">
        <v>4.1999999998834386E-2</v>
      </c>
      <c r="B35" s="79">
        <v>0.27230373299998772</v>
      </c>
      <c r="C35" s="79">
        <v>0.49838549032069823</v>
      </c>
      <c r="D35" s="79">
        <v>0.18801776281135979</v>
      </c>
      <c r="E35" s="79">
        <v>0.15438698753004923</v>
      </c>
      <c r="F35" s="79">
        <v>0.15920975933789286</v>
      </c>
      <c r="I35" s="86">
        <f t="shared" si="1"/>
        <v>0.75000000000000011</v>
      </c>
      <c r="J35" s="86">
        <f t="shared" si="2"/>
        <v>0.24999999999999989</v>
      </c>
      <c r="K35" s="79">
        <f t="shared" si="3"/>
        <v>9.1767976621355579E-2</v>
      </c>
      <c r="L35" s="24">
        <f t="shared" si="4"/>
        <v>0.49246264391228289</v>
      </c>
    </row>
    <row r="36" spans="1:12" outlineLevel="1">
      <c r="A36" s="79">
        <v>4.3999999998928618E-2</v>
      </c>
      <c r="B36" s="79">
        <v>0.2759333887010495</v>
      </c>
      <c r="C36" s="79">
        <v>0.47428444980696416</v>
      </c>
      <c r="D36" s="79">
        <v>0.18375710360026218</v>
      </c>
      <c r="E36" s="79">
        <v>0.16783378642466332</v>
      </c>
      <c r="F36" s="79">
        <v>0.17412466016811023</v>
      </c>
      <c r="I36" s="86">
        <f t="shared" si="1"/>
        <v>0.80000000000000016</v>
      </c>
      <c r="J36" s="86">
        <f t="shared" si="2"/>
        <v>0.19999999999999984</v>
      </c>
      <c r="K36" s="79">
        <f t="shared" si="3"/>
        <v>8.8514761355210997E-2</v>
      </c>
      <c r="L36" s="24">
        <f t="shared" si="4"/>
        <v>0.47323162282529169</v>
      </c>
    </row>
    <row r="37" spans="1:12" outlineLevel="1">
      <c r="A37" s="79">
        <v>4.5999999998980072E-2</v>
      </c>
      <c r="B37" s="79">
        <v>0.28023044925986795</v>
      </c>
      <c r="C37" s="79">
        <v>0.45017596024458234</v>
      </c>
      <c r="D37" s="79">
        <v>0.17950352724023086</v>
      </c>
      <c r="E37" s="79">
        <v>0.1812820501117437</v>
      </c>
      <c r="F37" s="79">
        <v>0.1890384624034431</v>
      </c>
      <c r="I37" s="86">
        <f t="shared" si="1"/>
        <v>0.8500000000000002</v>
      </c>
      <c r="J37" s="86">
        <f t="shared" si="2"/>
        <v>0.1499999999999998</v>
      </c>
      <c r="K37" s="79">
        <f t="shared" si="3"/>
        <v>8.5261546089066415E-2</v>
      </c>
      <c r="L37" s="24">
        <f t="shared" si="4"/>
        <v>0.45435130823315117</v>
      </c>
    </row>
    <row r="38" spans="1:12" outlineLevel="1">
      <c r="A38" s="79">
        <v>4.8000000003797713E-2</v>
      </c>
      <c r="B38" s="79">
        <v>0.2851647304429174</v>
      </c>
      <c r="C38" s="79">
        <v>0.42596342185049574</v>
      </c>
      <c r="D38" s="79">
        <v>0.17537692048293854</v>
      </c>
      <c r="E38" s="79">
        <v>0.19463863047637711</v>
      </c>
      <c r="F38" s="79">
        <v>0.20402102719018855</v>
      </c>
      <c r="I38" s="86">
        <f t="shared" si="1"/>
        <v>0.90000000000000024</v>
      </c>
      <c r="J38" s="86">
        <f t="shared" si="2"/>
        <v>9.9999999999999756E-2</v>
      </c>
      <c r="K38" s="79">
        <f t="shared" si="3"/>
        <v>8.2008330822921832E-2</v>
      </c>
      <c r="L38" s="24">
        <f t="shared" si="4"/>
        <v>0.43586727682062387</v>
      </c>
    </row>
    <row r="39" spans="1:12" outlineLevel="1">
      <c r="A39" s="79">
        <v>4.9999999998968522E-2</v>
      </c>
      <c r="B39" s="79">
        <v>0.29070382813701506</v>
      </c>
      <c r="C39" s="79">
        <v>0.40192658356871475</v>
      </c>
      <c r="D39" s="79">
        <v>0.17102931360034435</v>
      </c>
      <c r="E39" s="79">
        <v>0.20817641137533779</v>
      </c>
      <c r="F39" s="79">
        <v>0.21886769145560317</v>
      </c>
      <c r="I39" s="86">
        <f t="shared" si="1"/>
        <v>0.95000000000000029</v>
      </c>
      <c r="J39" s="86">
        <f t="shared" si="2"/>
        <v>4.9999999999999711E-2</v>
      </c>
      <c r="K39" s="79">
        <f t="shared" si="3"/>
        <v>7.875511555677725E-2</v>
      </c>
      <c r="L39" s="24">
        <f t="shared" si="4"/>
        <v>0.41783212414965221</v>
      </c>
    </row>
    <row r="40" spans="1:12" outlineLevel="1">
      <c r="A40" s="79">
        <v>5.200000000373161E-2</v>
      </c>
      <c r="B40" s="79">
        <v>0.29681382810767315</v>
      </c>
      <c r="C40" s="79">
        <v>0.37773121001869181</v>
      </c>
      <c r="D40" s="79">
        <v>0.1668914574457295</v>
      </c>
      <c r="E40" s="79">
        <v>0.22150932995573444</v>
      </c>
      <c r="F40" s="79">
        <v>0.23386800257984425</v>
      </c>
      <c r="I40" s="86">
        <f t="shared" si="1"/>
        <v>1.0000000000000002</v>
      </c>
      <c r="J40" s="86">
        <f t="shared" si="2"/>
        <v>0</v>
      </c>
      <c r="K40" s="79">
        <f t="shared" si="3"/>
        <v>7.5501900290632709E-2</v>
      </c>
      <c r="L40" s="24">
        <f t="shared" si="4"/>
        <v>0.40030652530071026</v>
      </c>
    </row>
    <row r="41" spans="1:12" outlineLevel="1">
      <c r="A41" s="79">
        <v>5.3999999999006787E-2</v>
      </c>
      <c r="B41" s="79">
        <v>0.30346030639543004</v>
      </c>
      <c r="C41" s="79">
        <v>0.35368280302791771</v>
      </c>
      <c r="D41" s="79">
        <v>0.16255199902470852</v>
      </c>
      <c r="E41" s="79">
        <v>0.23506079183915624</v>
      </c>
      <c r="F41" s="79">
        <v>0.24870440610821759</v>
      </c>
      <c r="I41" s="86">
        <f t="shared" si="1"/>
        <v>1.0500000000000003</v>
      </c>
      <c r="J41" s="86">
        <f t="shared" si="2"/>
        <v>-5.0000000000000266E-2</v>
      </c>
      <c r="K41" s="79">
        <f t="shared" si="3"/>
        <v>7.2248685024488113E-2</v>
      </c>
      <c r="L41" s="24">
        <f t="shared" si="4"/>
        <v>0.38336037051810562</v>
      </c>
    </row>
    <row r="42" spans="1:12" outlineLevel="1">
      <c r="A42" s="79">
        <v>5.5999999999431879E-2</v>
      </c>
      <c r="B42" s="79">
        <v>0.31060878942738851</v>
      </c>
      <c r="C42" s="79">
        <v>0.32962321102356484</v>
      </c>
      <c r="D42" s="79">
        <v>0.15824982568713325</v>
      </c>
      <c r="E42" s="79">
        <v>0.24850785318561375</v>
      </c>
      <c r="F42" s="79">
        <v>0.26361911010368821</v>
      </c>
      <c r="I42" s="86">
        <f t="shared" si="1"/>
        <v>1.1000000000000003</v>
      </c>
      <c r="J42" s="86">
        <f t="shared" si="2"/>
        <v>-0.10000000000000031</v>
      </c>
      <c r="K42" s="79">
        <f t="shared" si="3"/>
        <v>6.8995469758343517E-2</v>
      </c>
      <c r="L42" s="24">
        <f t="shared" si="4"/>
        <v>0.36707391956902097</v>
      </c>
    </row>
    <row r="43" spans="1:12" outlineLevel="1">
      <c r="A43" s="79">
        <v>5.8000000003660679E-2</v>
      </c>
      <c r="B43" s="79">
        <v>0.31822542251403491</v>
      </c>
      <c r="C43" s="79">
        <v>0.30538288716544454</v>
      </c>
      <c r="D43" s="79">
        <v>0.15416326663955901</v>
      </c>
      <c r="E43" s="79">
        <v>0.26181538459695197</v>
      </c>
      <c r="F43" s="79">
        <v>0.27863846159804451</v>
      </c>
      <c r="I43" s="86">
        <f t="shared" si="1"/>
        <v>1.1500000000000004</v>
      </c>
      <c r="J43" s="86">
        <f t="shared" si="2"/>
        <v>-0.15000000000000036</v>
      </c>
      <c r="K43" s="79">
        <f t="shared" si="3"/>
        <v>6.5742254492198948E-2</v>
      </c>
      <c r="L43" s="24">
        <f t="shared" si="4"/>
        <v>0.35153887470702655</v>
      </c>
    </row>
    <row r="44" spans="1:12" outlineLevel="1">
      <c r="A44" s="79">
        <v>6.000000000401786E-2</v>
      </c>
      <c r="B44" s="79">
        <v>0.32627747714989419</v>
      </c>
      <c r="C44" s="79">
        <v>0.28126679658995624</v>
      </c>
      <c r="D44" s="79">
        <v>0.14992051461201139</v>
      </c>
      <c r="E44" s="79">
        <v>0.27525075499123669</v>
      </c>
      <c r="F44" s="79">
        <v>0.29356193380679574</v>
      </c>
      <c r="I44" s="86">
        <f t="shared" si="1"/>
        <v>1.2000000000000004</v>
      </c>
      <c r="J44" s="86">
        <f t="shared" si="2"/>
        <v>-0.2000000000000004</v>
      </c>
      <c r="K44" s="79">
        <f t="shared" si="3"/>
        <v>6.2489039226054366E-2</v>
      </c>
      <c r="L44" s="24">
        <f t="shared" si="4"/>
        <v>0.33685921048909218</v>
      </c>
    </row>
    <row r="45" spans="1:12" outlineLevel="1">
      <c r="A45" s="79">
        <v>6.2000000004017827E-2</v>
      </c>
      <c r="B45" s="79">
        <v>0.33473350958502596</v>
      </c>
      <c r="C45" s="79">
        <v>0.25715069269072266</v>
      </c>
      <c r="D45" s="79">
        <v>0.14567778031179332</v>
      </c>
      <c r="E45" s="79">
        <v>0.28868610778904569</v>
      </c>
      <c r="F45" s="79">
        <v>0.30848541920843847</v>
      </c>
      <c r="I45" s="86">
        <f t="shared" si="1"/>
        <v>1.2500000000000004</v>
      </c>
      <c r="J45" s="86">
        <f t="shared" si="2"/>
        <v>-0.25000000000000044</v>
      </c>
      <c r="K45" s="79">
        <f t="shared" si="3"/>
        <v>5.9235823959909777E-2</v>
      </c>
      <c r="L45" s="24">
        <f t="shared" si="4"/>
        <v>0.3231515189673726</v>
      </c>
    </row>
    <row r="46" spans="1:12" outlineLevel="1">
      <c r="A46" s="79">
        <v>6.4000000004017815E-2</v>
      </c>
      <c r="B46" s="79">
        <v>0.34356369215410132</v>
      </c>
      <c r="C46" s="79">
        <v>0.23303458546602362</v>
      </c>
      <c r="D46" s="79">
        <v>0.14143504961021658</v>
      </c>
      <c r="E46" s="79">
        <v>0.30212145949414809</v>
      </c>
      <c r="F46" s="79">
        <v>0.32340890542961159</v>
      </c>
      <c r="I46" s="86">
        <f t="shared" si="1"/>
        <v>1.3000000000000005</v>
      </c>
      <c r="J46" s="86">
        <f t="shared" si="2"/>
        <v>-0.30000000000000049</v>
      </c>
      <c r="K46" s="79">
        <f t="shared" si="3"/>
        <v>5.5982608693765208E-2</v>
      </c>
      <c r="L46" s="24">
        <f t="shared" si="4"/>
        <v>0.31054453785091657</v>
      </c>
    </row>
    <row r="47" spans="1:12" outlineLevel="1">
      <c r="A47" s="79">
        <v>6.6000000004017817E-2</v>
      </c>
      <c r="B47" s="79">
        <v>0.35273992753535971</v>
      </c>
      <c r="C47" s="79">
        <v>0.2089184865228372</v>
      </c>
      <c r="D47" s="79">
        <v>0.13719230994463233</v>
      </c>
      <c r="E47" s="79">
        <v>0.31555681392923052</v>
      </c>
      <c r="F47" s="79">
        <v>0.33833238960329981</v>
      </c>
      <c r="I47" s="86">
        <f t="shared" si="1"/>
        <v>1.3500000000000005</v>
      </c>
      <c r="J47" s="86">
        <f t="shared" si="2"/>
        <v>-0.35000000000000053</v>
      </c>
      <c r="K47" s="79">
        <f t="shared" si="3"/>
        <v>5.2729393427620619E-2</v>
      </c>
      <c r="L47" s="24">
        <f t="shared" si="4"/>
        <v>0.29917744738815477</v>
      </c>
    </row>
    <row r="48" spans="1:12" outlineLevel="1">
      <c r="A48" s="79">
        <v>6.8000000004017819E-2</v>
      </c>
      <c r="B48" s="79">
        <v>0.36223591783861292</v>
      </c>
      <c r="C48" s="79">
        <v>0.18480237701878224</v>
      </c>
      <c r="D48" s="79">
        <v>0.132949581709527</v>
      </c>
      <c r="E48" s="79">
        <v>0.32899216488587169</v>
      </c>
      <c r="F48" s="79">
        <v>0.35325587638581901</v>
      </c>
      <c r="I48" s="86">
        <f t="shared" si="1"/>
        <v>1.4000000000000006</v>
      </c>
      <c r="J48" s="86">
        <f t="shared" si="2"/>
        <v>-0.40000000000000058</v>
      </c>
      <c r="K48" s="79">
        <f t="shared" si="3"/>
        <v>4.947617816147605E-2</v>
      </c>
      <c r="L48" s="24">
        <f t="shared" si="4"/>
        <v>0.28919648912266999</v>
      </c>
    </row>
    <row r="49" spans="1:12" outlineLevel="1">
      <c r="A49" s="79">
        <v>7.0000000004017834E-2</v>
      </c>
      <c r="B49" s="79">
        <v>0.37202717864526741</v>
      </c>
      <c r="C49" s="79">
        <v>0.16068627908260277</v>
      </c>
      <c r="D49" s="79">
        <v>0.12870684095286825</v>
      </c>
      <c r="E49" s="79">
        <v>0.3424275196572244</v>
      </c>
      <c r="F49" s="79">
        <v>0.36817936030730464</v>
      </c>
      <c r="I49" s="86">
        <f t="shared" si="1"/>
        <v>1.4500000000000006</v>
      </c>
      <c r="J49" s="86">
        <f t="shared" si="2"/>
        <v>-0.45000000000000062</v>
      </c>
      <c r="K49" s="79">
        <f t="shared" si="3"/>
        <v>4.6222962895331468E-2</v>
      </c>
      <c r="L49" s="24">
        <f t="shared" si="4"/>
        <v>0.2807495376213443</v>
      </c>
    </row>
    <row r="50" spans="1:12" outlineLevel="1">
      <c r="A50" s="79">
        <v>7.2000000004017822E-2</v>
      </c>
      <c r="B50" s="79">
        <v>0.38209101129544198</v>
      </c>
      <c r="C50" s="79">
        <v>0.13657017854746858</v>
      </c>
      <c r="D50" s="79">
        <v>0.12446410300979741</v>
      </c>
      <c r="E50" s="79">
        <v>0.35586287357004531</v>
      </c>
      <c r="F50" s="79">
        <v>0.38310284487268881</v>
      </c>
      <c r="I50" s="86">
        <f t="shared" si="1"/>
        <v>1.5000000000000007</v>
      </c>
      <c r="J50" s="86">
        <f t="shared" si="2"/>
        <v>-0.50000000000000067</v>
      </c>
      <c r="K50" s="79">
        <f t="shared" si="3"/>
        <v>4.2969747629186886E-2</v>
      </c>
      <c r="L50" s="24">
        <f t="shared" si="4"/>
        <v>0.27397851318461502</v>
      </c>
    </row>
    <row r="51" spans="1:12" outlineLevel="1">
      <c r="A51" s="79">
        <v>7.4000000004017824E-2</v>
      </c>
      <c r="B51" s="79">
        <v>0.3924064448482355</v>
      </c>
      <c r="C51" s="79">
        <v>0.11245408070127971</v>
      </c>
      <c r="D51" s="79">
        <v>0.12022136215532248</v>
      </c>
      <c r="E51" s="79">
        <v>0.36929822837270054</v>
      </c>
      <c r="F51" s="79">
        <v>0.39802632877069738</v>
      </c>
      <c r="I51" s="86">
        <f t="shared" si="1"/>
        <v>1.5500000000000007</v>
      </c>
      <c r="J51" s="86">
        <f t="shared" si="2"/>
        <v>-0.55000000000000071</v>
      </c>
      <c r="K51" s="79">
        <f t="shared" si="3"/>
        <v>3.9716532363042303E-2</v>
      </c>
      <c r="L51" s="24">
        <f t="shared" si="4"/>
        <v>0.26900999564633177</v>
      </c>
    </row>
    <row r="52" spans="1:12" outlineLevel="1">
      <c r="A52" s="79">
        <v>7.6000000004017826E-2</v>
      </c>
      <c r="B52" s="79">
        <v>0.40295415717886429</v>
      </c>
      <c r="C52" s="79">
        <v>8.8337976871105603E-2</v>
      </c>
      <c r="D52" s="79">
        <v>0.11597862777651635</v>
      </c>
      <c r="E52" s="79">
        <v>0.3827335812086215</v>
      </c>
      <c r="F52" s="79">
        <v>0.41294981414375664</v>
      </c>
      <c r="I52" s="86">
        <f t="shared" si="1"/>
        <v>1.6000000000000008</v>
      </c>
      <c r="J52" s="86">
        <f t="shared" si="2"/>
        <v>-0.60000000000000075</v>
      </c>
      <c r="K52" s="79">
        <f t="shared" si="3"/>
        <v>3.6463317096897735E-2</v>
      </c>
      <c r="L52" s="24">
        <f t="shared" si="4"/>
        <v>0.265945030197897</v>
      </c>
    </row>
    <row r="53" spans="1:12" outlineLevel="1">
      <c r="A53" s="79">
        <v>7.8000000004017828E-2</v>
      </c>
      <c r="B53" s="79">
        <v>0.41371638280429468</v>
      </c>
      <c r="C53" s="79">
        <v>6.4221882609457576E-2</v>
      </c>
      <c r="D53" s="79">
        <v>0.11173588304172108</v>
      </c>
      <c r="E53" s="79">
        <v>0.39616893719439428</v>
      </c>
      <c r="F53" s="79">
        <v>0.42787329715442712</v>
      </c>
      <c r="I53" s="86">
        <f t="shared" si="1"/>
        <v>1.6500000000000008</v>
      </c>
      <c r="J53" s="86">
        <f t="shared" si="2"/>
        <v>-0.6500000000000008</v>
      </c>
      <c r="K53" s="79">
        <f t="shared" si="3"/>
        <v>3.3210101830753153E-2</v>
      </c>
      <c r="L53" s="24">
        <f t="shared" si="4"/>
        <v>0.26484971148712788</v>
      </c>
    </row>
    <row r="54" spans="1:12" outlineLevel="1">
      <c r="A54" s="79">
        <v>8.0000000004017843E-2</v>
      </c>
      <c r="B54" s="79">
        <v>0.42467681335016294</v>
      </c>
      <c r="C54" s="79">
        <v>4.0105775797183926E-2</v>
      </c>
      <c r="D54" s="79">
        <v>0.10749315189097022</v>
      </c>
      <c r="E54" s="79">
        <v>0.40960428904649199</v>
      </c>
      <c r="F54" s="79">
        <v>0.44279678326535399</v>
      </c>
      <c r="I54" s="86">
        <f t="shared" si="1"/>
        <v>1.7000000000000008</v>
      </c>
      <c r="J54" s="86">
        <f t="shared" si="2"/>
        <v>-0.70000000000000084</v>
      </c>
      <c r="K54" s="79">
        <f t="shared" si="3"/>
        <v>2.995688656460857E-2</v>
      </c>
      <c r="L54" s="24">
        <f t="shared" si="4"/>
        <v>0.26574839514323068</v>
      </c>
    </row>
    <row r="55" spans="1:12" outlineLevel="1">
      <c r="A55" s="79">
        <v>8.2000000004017831E-2</v>
      </c>
      <c r="B55" s="79">
        <v>0.43582049513242388</v>
      </c>
      <c r="C55" s="79">
        <v>1.598967607521978E-2</v>
      </c>
      <c r="D55" s="79">
        <v>0.10325041306601034</v>
      </c>
      <c r="E55" s="79">
        <v>0.42303964323418891</v>
      </c>
      <c r="F55" s="79">
        <v>0.45772026762458112</v>
      </c>
      <c r="I55" s="86">
        <f t="shared" si="1"/>
        <v>1.7500000000000009</v>
      </c>
      <c r="J55" s="86">
        <f t="shared" si="2"/>
        <v>-0.75000000000000089</v>
      </c>
      <c r="K55" s="79">
        <f t="shared" si="3"/>
        <v>2.6703671298463988E-2</v>
      </c>
      <c r="L55" s="24">
        <f t="shared" si="4"/>
        <v>0.26862106884256942</v>
      </c>
    </row>
    <row r="56" spans="1:12" outlineLevel="1">
      <c r="A56" s="79">
        <v>8.4000000004925857E-2</v>
      </c>
      <c r="B56" s="79">
        <v>0.44716171574214708</v>
      </c>
      <c r="C56" s="79">
        <v>0</v>
      </c>
      <c r="D56" s="79">
        <v>9.0800000254074295E-2</v>
      </c>
      <c r="E56" s="79">
        <v>0.43679999873741082</v>
      </c>
      <c r="F56" s="79">
        <v>0.47240000100851498</v>
      </c>
      <c r="I56" s="86">
        <f t="shared" si="1"/>
        <v>1.8000000000000009</v>
      </c>
      <c r="J56" s="86">
        <f t="shared" si="2"/>
        <v>-0.80000000000000093</v>
      </c>
      <c r="K56" s="79">
        <f t="shared" si="3"/>
        <v>2.3450456032319406E-2</v>
      </c>
      <c r="L56" s="24">
        <f t="shared" si="4"/>
        <v>0.2734055174819624</v>
      </c>
    </row>
    <row r="57" spans="1:12" outlineLevel="1">
      <c r="A57" s="79">
        <v>8.6000000006712971E-2</v>
      </c>
      <c r="B57" s="79">
        <v>0.45903333216392928</v>
      </c>
      <c r="C57" s="79">
        <v>0</v>
      </c>
      <c r="D57" s="79">
        <v>6.2200002416475615E-2</v>
      </c>
      <c r="E57" s="79">
        <v>0.45119998999844896</v>
      </c>
      <c r="F57" s="79">
        <v>0.48660000758507543</v>
      </c>
      <c r="I57" s="86">
        <f t="shared" si="1"/>
        <v>1.850000000000001</v>
      </c>
      <c r="J57" s="86">
        <f t="shared" si="2"/>
        <v>-0.85000000000000098</v>
      </c>
      <c r="K57" s="79">
        <f t="shared" si="3"/>
        <v>2.0197240766174823E-2</v>
      </c>
      <c r="L57" s="24">
        <f t="shared" si="4"/>
        <v>0.28000375820972184</v>
      </c>
    </row>
    <row r="58" spans="1:12" outlineLevel="1">
      <c r="A58" s="79">
        <v>8.8000000006712958E-2</v>
      </c>
      <c r="B58" s="79">
        <v>0.47149803821473363</v>
      </c>
      <c r="C58" s="79">
        <v>0</v>
      </c>
      <c r="D58" s="79">
        <v>3.3600004072978293E-2</v>
      </c>
      <c r="E58" s="79">
        <v>0.46559998337243791</v>
      </c>
      <c r="F58" s="79">
        <v>0.50080001255458362</v>
      </c>
      <c r="I58" s="86">
        <f t="shared" si="1"/>
        <v>1.900000000000001</v>
      </c>
      <c r="J58" s="86">
        <f t="shared" si="2"/>
        <v>-0.90000000000000102</v>
      </c>
      <c r="K58" s="79">
        <f t="shared" si="3"/>
        <v>1.6944025500030269E-2</v>
      </c>
      <c r="L58" s="24">
        <f t="shared" si="4"/>
        <v>0.2882912789039771</v>
      </c>
    </row>
    <row r="59" spans="1:12" outlineLevel="1">
      <c r="A59" s="79">
        <v>9.0000000006713002E-2</v>
      </c>
      <c r="B59" s="79">
        <v>0.48451006185957035</v>
      </c>
      <c r="C59" s="79">
        <v>0</v>
      </c>
      <c r="D59" s="79">
        <v>5.0000037052994883E-3</v>
      </c>
      <c r="E59" s="79">
        <v>0.47999998484315237</v>
      </c>
      <c r="F59" s="79">
        <v>0.51500001145154817</v>
      </c>
      <c r="I59" s="86">
        <f t="shared" si="1"/>
        <v>1.9500000000000011</v>
      </c>
      <c r="J59" s="86">
        <f t="shared" si="2"/>
        <v>-0.95000000000000107</v>
      </c>
      <c r="K59" s="79">
        <f t="shared" si="3"/>
        <v>1.3690810233885686E-2</v>
      </c>
      <c r="L59" s="24">
        <f t="shared" si="4"/>
        <v>0.2981272339642036</v>
      </c>
    </row>
    <row r="60" spans="1:12" outlineLevel="1">
      <c r="A60" s="79">
        <v>9.2000999999999999E-2</v>
      </c>
      <c r="B60" s="79">
        <v>0.50360063755916751</v>
      </c>
      <c r="C60" s="79">
        <v>0</v>
      </c>
      <c r="D60" s="79">
        <v>0</v>
      </c>
      <c r="E60" s="79">
        <v>0.39994999999999992</v>
      </c>
      <c r="F60" s="79">
        <v>0.60005000000000008</v>
      </c>
      <c r="I60" s="86">
        <f t="shared" si="1"/>
        <v>2.0000000000000009</v>
      </c>
      <c r="J60" s="86">
        <f t="shared" si="2"/>
        <v>-1.0000000000000009</v>
      </c>
      <c r="K60" s="79">
        <f t="shared" si="3"/>
        <v>1.0437594967741104E-2</v>
      </c>
      <c r="L60" s="24">
        <f t="shared" si="4"/>
        <v>0.30936396530419719</v>
      </c>
    </row>
    <row r="61" spans="1:12" outlineLevel="1">
      <c r="A61" s="79">
        <v>9.4001000000000001E-2</v>
      </c>
      <c r="B61" s="79">
        <v>0.53797974139367</v>
      </c>
      <c r="C61" s="79">
        <v>0</v>
      </c>
      <c r="D61" s="79">
        <v>0</v>
      </c>
      <c r="E61" s="79">
        <v>0.29994999999999994</v>
      </c>
      <c r="F61" s="79">
        <v>0.70005000000000006</v>
      </c>
      <c r="I61" s="86">
        <f t="shared" si="1"/>
        <v>2.0500000000000007</v>
      </c>
      <c r="J61" s="86">
        <f t="shared" si="2"/>
        <v>-1.0500000000000007</v>
      </c>
      <c r="K61" s="79">
        <f t="shared" si="3"/>
        <v>7.1843797015965494E-3</v>
      </c>
      <c r="L61" s="24">
        <f t="shared" si="4"/>
        <v>0.3218547928567474</v>
      </c>
    </row>
    <row r="62" spans="1:12">
      <c r="A62" s="79">
        <v>9.6001000000000003E-2</v>
      </c>
      <c r="B62" s="79">
        <v>0.58517587283653449</v>
      </c>
      <c r="C62" s="79">
        <v>0</v>
      </c>
      <c r="D62" s="79">
        <v>0</v>
      </c>
      <c r="E62" s="79">
        <v>0.19994999999999991</v>
      </c>
      <c r="F62" s="79">
        <v>0.80005000000000004</v>
      </c>
      <c r="I62" s="86">
        <f t="shared" si="1"/>
        <v>2.1000000000000005</v>
      </c>
      <c r="J62" s="86">
        <f t="shared" si="2"/>
        <v>-1.1000000000000005</v>
      </c>
      <c r="K62" s="79">
        <f t="shared" si="3"/>
        <v>3.9311644354519948E-3</v>
      </c>
      <c r="L62" s="24">
        <f t="shared" si="4"/>
        <v>0.33545965718624993</v>
      </c>
    </row>
    <row r="63" spans="1:12">
      <c r="A63" s="79">
        <v>9.8000999999999991E-2</v>
      </c>
      <c r="B63" s="79">
        <v>0.64237014419258309</v>
      </c>
      <c r="C63" s="79">
        <v>0</v>
      </c>
      <c r="D63" s="79">
        <v>0</v>
      </c>
      <c r="E63" s="79">
        <v>9.9949999999999872E-2</v>
      </c>
      <c r="F63" s="79">
        <v>0.90005000000000002</v>
      </c>
      <c r="I63" s="86">
        <f t="shared" si="1"/>
        <v>2.1500000000000004</v>
      </c>
      <c r="J63" s="86">
        <f t="shared" si="2"/>
        <v>-1.1500000000000004</v>
      </c>
      <c r="K63" s="79">
        <f t="shared" si="3"/>
        <v>6.7794916930741245E-4</v>
      </c>
      <c r="L63" s="24">
        <f t="shared" si="4"/>
        <v>0.3500486891458201</v>
      </c>
    </row>
    <row r="64" spans="1:12">
      <c r="A64" s="79">
        <v>0.1</v>
      </c>
      <c r="B64" s="79">
        <v>0.70710678118654757</v>
      </c>
      <c r="C64" s="79">
        <v>0</v>
      </c>
      <c r="D64" s="79">
        <v>0</v>
      </c>
      <c r="E64" s="79">
        <v>0</v>
      </c>
      <c r="F64" s="79">
        <v>1</v>
      </c>
      <c r="I64" s="86">
        <f t="shared" si="1"/>
        <v>2.2000000000000002</v>
      </c>
      <c r="J64" s="86">
        <f t="shared" si="2"/>
        <v>-1.2000000000000002</v>
      </c>
      <c r="K64" s="79">
        <f t="shared" si="3"/>
        <v>-2.5752660968371421E-3</v>
      </c>
      <c r="L64" s="24">
        <f t="shared" si="4"/>
        <v>0.36550405908064926</v>
      </c>
    </row>
  </sheetData>
  <mergeCells count="3">
    <mergeCell ref="A1:G1"/>
    <mergeCell ref="G2:G3"/>
    <mergeCell ref="F11:G14"/>
  </mergeCells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lot_eff_frontier">
                <anchor moveWithCells="1" sizeWithCells="1">
                  <from>
                    <xdr:col>5</xdr:col>
                    <xdr:colOff>790575</xdr:colOff>
                    <xdr:row>19</xdr:row>
                    <xdr:rowOff>28575</xdr:rowOff>
                  </from>
                  <to>
                    <xdr:col>6</xdr:col>
                    <xdr:colOff>752475</xdr:colOff>
                    <xdr:row>21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H28"/>
  <sheetViews>
    <sheetView tabSelected="1" zoomScaleNormal="100" workbookViewId="0">
      <selection activeCell="M34" sqref="M34"/>
    </sheetView>
  </sheetViews>
  <sheetFormatPr defaultColWidth="8.75" defaultRowHeight="12.75"/>
  <cols>
    <col min="1" max="1" width="17.75" style="16" customWidth="1"/>
    <col min="2" max="6" width="11" style="16" customWidth="1"/>
    <col min="7" max="8" width="10.75" style="16" customWidth="1"/>
    <col min="9" max="16384" width="8.75" style="16"/>
  </cols>
  <sheetData>
    <row r="1" spans="1:8" ht="36.4" customHeight="1">
      <c r="A1" s="146" t="s">
        <v>119</v>
      </c>
      <c r="B1" s="146"/>
      <c r="C1" s="146"/>
      <c r="D1" s="146"/>
      <c r="E1" s="146"/>
      <c r="F1" s="146"/>
      <c r="G1" s="146"/>
      <c r="H1" s="82"/>
    </row>
    <row r="2" spans="1:8" ht="15">
      <c r="A2" s="8" t="s">
        <v>67</v>
      </c>
      <c r="B2" s="8"/>
      <c r="C2" s="8"/>
      <c r="D2" s="8"/>
      <c r="E2" s="8"/>
      <c r="F2"/>
      <c r="G2" s="97" t="s">
        <v>0</v>
      </c>
    </row>
    <row r="3" spans="1:8" ht="15">
      <c r="A3"/>
      <c r="B3" s="37" t="s">
        <v>26</v>
      </c>
      <c r="C3" s="37" t="s">
        <v>27</v>
      </c>
      <c r="D3" s="37" t="s">
        <v>28</v>
      </c>
      <c r="E3" s="37" t="s">
        <v>29</v>
      </c>
      <c r="F3"/>
      <c r="G3" s="97"/>
    </row>
    <row r="4" spans="1:8" ht="15">
      <c r="A4" s="37" t="s">
        <v>26</v>
      </c>
      <c r="B4" s="42">
        <v>0.1</v>
      </c>
      <c r="C4" s="42">
        <v>0.01</v>
      </c>
      <c r="D4" s="42">
        <v>0.03</v>
      </c>
      <c r="E4" s="42">
        <v>0.05</v>
      </c>
      <c r="F4"/>
      <c r="G4" s="3">
        <v>0.02</v>
      </c>
    </row>
    <row r="5" spans="1:8" ht="15">
      <c r="A5" s="37" t="s">
        <v>27</v>
      </c>
      <c r="B5" s="42">
        <f>C4</f>
        <v>0.01</v>
      </c>
      <c r="C5" s="42">
        <v>0.3</v>
      </c>
      <c r="D5" s="42">
        <v>0.06</v>
      </c>
      <c r="E5" s="42">
        <v>-0.04</v>
      </c>
      <c r="F5"/>
      <c r="G5" s="3">
        <v>0.02</v>
      </c>
    </row>
    <row r="6" spans="1:8" ht="15">
      <c r="A6" s="37" t="s">
        <v>28</v>
      </c>
      <c r="B6" s="42">
        <f>D4</f>
        <v>0.03</v>
      </c>
      <c r="C6" s="42">
        <f>D5</f>
        <v>0.06</v>
      </c>
      <c r="D6" s="42">
        <v>0.4</v>
      </c>
      <c r="E6" s="42">
        <v>0.02</v>
      </c>
      <c r="F6"/>
      <c r="G6" s="3">
        <v>0.08</v>
      </c>
    </row>
    <row r="7" spans="1:8" ht="15">
      <c r="A7" s="37" t="s">
        <v>29</v>
      </c>
      <c r="B7" s="42">
        <f>E4</f>
        <v>0.05</v>
      </c>
      <c r="C7" s="42">
        <f>E5</f>
        <v>-0.04</v>
      </c>
      <c r="D7" s="42">
        <f>E6</f>
        <v>0.02</v>
      </c>
      <c r="E7" s="42">
        <v>0.5</v>
      </c>
      <c r="F7"/>
      <c r="G7" s="3">
        <v>0.1</v>
      </c>
    </row>
    <row r="8" spans="1:8" ht="14.25">
      <c r="A8"/>
      <c r="B8"/>
      <c r="C8"/>
      <c r="D8"/>
      <c r="E8"/>
      <c r="F8"/>
      <c r="G8"/>
    </row>
    <row r="9" spans="1:8" ht="14.25">
      <c r="A9" t="s">
        <v>104</v>
      </c>
      <c r="B9" s="3">
        <v>7.0000000000000007E-2</v>
      </c>
      <c r="C9"/>
      <c r="D9"/>
      <c r="E9"/>
      <c r="F9"/>
      <c r="G9"/>
    </row>
    <row r="10" spans="1:8" ht="30">
      <c r="A10"/>
      <c r="B10" s="84" t="s">
        <v>16</v>
      </c>
      <c r="C10"/>
      <c r="D10" s="67" t="s">
        <v>120</v>
      </c>
      <c r="E10"/>
      <c r="F10"/>
      <c r="G10"/>
    </row>
    <row r="11" spans="1:8" ht="15">
      <c r="A11" s="37" t="s">
        <v>26</v>
      </c>
      <c r="B11" s="33">
        <v>0.16068605618788581</v>
      </c>
      <c r="C11"/>
      <c r="D11" t="s">
        <v>121</v>
      </c>
      <c r="E11" s="3">
        <v>0.1</v>
      </c>
      <c r="F11"/>
      <c r="G11"/>
    </row>
    <row r="12" spans="1:8" ht="15">
      <c r="A12" s="37" t="s">
        <v>27</v>
      </c>
      <c r="B12" s="33">
        <v>0.12870705199287985</v>
      </c>
      <c r="C12"/>
      <c r="D12" t="s">
        <v>122</v>
      </c>
      <c r="E12" s="3">
        <v>0.6</v>
      </c>
      <c r="F12"/>
      <c r="G12"/>
    </row>
    <row r="13" spans="1:8" ht="15">
      <c r="A13" s="37" t="s">
        <v>28</v>
      </c>
      <c r="B13" s="33">
        <v>0.34242753341141308</v>
      </c>
      <c r="C13"/>
      <c r="D13"/>
      <c r="E13"/>
      <c r="F13"/>
      <c r="G13"/>
    </row>
    <row r="14" spans="1:8" ht="15">
      <c r="A14" s="37" t="s">
        <v>29</v>
      </c>
      <c r="B14" s="33">
        <v>0.36817935840782118</v>
      </c>
      <c r="C14" s="30"/>
      <c r="D14" s="30"/>
      <c r="E14" s="30"/>
      <c r="F14" s="30"/>
      <c r="G14"/>
    </row>
    <row r="15" spans="1:8" ht="15">
      <c r="A15" s="37" t="s">
        <v>4</v>
      </c>
      <c r="B15" s="56">
        <f>SUM(B11:B14)</f>
        <v>1</v>
      </c>
      <c r="C15" s="57" t="str">
        <f ca="1">"&lt;--"&amp;_xlfn.FORMULATEXT(B15)</f>
        <v>&lt;--=SUM(B11:B14)</v>
      </c>
      <c r="D15" s="38"/>
      <c r="E15" s="38"/>
      <c r="F15" s="38"/>
      <c r="G15"/>
    </row>
    <row r="17" spans="1:7">
      <c r="A17" s="16" t="s">
        <v>17</v>
      </c>
      <c r="B17" s="22">
        <f t="array" ref="B17">MMULT(TRANSPOSE(B11:B14),G4:G7)</f>
        <v>7.0000000677310478E-2</v>
      </c>
      <c r="C17" s="16" t="str">
        <f ca="1">"&lt;--"&amp;_xlfn.FORMULATEXT(B17)</f>
        <v>&lt;--{=MMULT(TRANSPOSE(B11:B14),G4:G7)}</v>
      </c>
    </row>
    <row r="18" spans="1:7">
      <c r="A18" s="75" t="s">
        <v>18</v>
      </c>
      <c r="B18" s="81">
        <f t="array" ref="B18">SQRT(MMULT(TRANSPOSE(B11:B14),MMULT(B4:E7,B11:B14)))</f>
        <v>0.37202718198853202</v>
      </c>
      <c r="C18" s="16" t="str">
        <f ca="1">"&lt;--"&amp;_xlfn.FORMULATEXT(B18)</f>
        <v>&lt;--{=SQRT(MMULT(TRANSPOSE(B11:B14),MMULT(B4:E7,B11:B14)))}</v>
      </c>
    </row>
    <row r="19" spans="1:7">
      <c r="B19" s="22"/>
    </row>
    <row r="20" spans="1:7" ht="14.25">
      <c r="A20"/>
      <c r="B20"/>
      <c r="C20"/>
      <c r="D20" s="24"/>
      <c r="E20" s="24"/>
      <c r="F20" s="24"/>
      <c r="G20" s="24"/>
    </row>
    <row r="21" spans="1:7">
      <c r="B21" s="22"/>
    </row>
    <row r="22" spans="1:7">
      <c r="B22" s="22"/>
    </row>
    <row r="23" spans="1:7">
      <c r="B23" s="22"/>
    </row>
    <row r="24" spans="1:7">
      <c r="B24" s="22"/>
    </row>
    <row r="25" spans="1:7">
      <c r="B25" s="22"/>
    </row>
    <row r="26" spans="1:7">
      <c r="B26" s="22"/>
    </row>
    <row r="27" spans="1:7">
      <c r="B27" s="22"/>
    </row>
    <row r="28" spans="1:7">
      <c r="B28" s="22"/>
    </row>
  </sheetData>
  <mergeCells count="2">
    <mergeCell ref="A1:G1"/>
    <mergeCell ref="G2:G3"/>
  </mergeCells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</vt:i4>
      </vt:variant>
    </vt:vector>
  </HeadingPairs>
  <TitlesOfParts>
    <vt:vector size="18" baseType="lpstr">
      <vt:lpstr>Portfolio Numenclature</vt:lpstr>
      <vt:lpstr>Zero Beta</vt:lpstr>
      <vt:lpstr>Eff portfolios and frontier</vt:lpstr>
      <vt:lpstr>Efficient port 1 step</vt:lpstr>
      <vt:lpstr>Efficient port 1 step (names)</vt:lpstr>
      <vt:lpstr>All c's -&gt; same envelope</vt:lpstr>
      <vt:lpstr>High c -&gt; inefficient</vt:lpstr>
      <vt:lpstr>CML</vt:lpstr>
      <vt:lpstr>GMVP</vt:lpstr>
      <vt:lpstr>Testing the SML c=0.5%</vt:lpstr>
      <vt:lpstr>Testing the SML c=1%</vt:lpstr>
      <vt:lpstr>No short intro</vt:lpstr>
      <vt:lpstr>No short intro (solver)</vt:lpstr>
      <vt:lpstr>No short (solver)</vt:lpstr>
      <vt:lpstr>No short (solver 2nd approach)</vt:lpstr>
      <vt:lpstr>No short vs general eff. front.</vt:lpstr>
      <vt:lpstr>Other restrictions</vt:lpstr>
      <vt:lpstr>varcov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mehran kianvand</cp:lastModifiedBy>
  <dcterms:created xsi:type="dcterms:W3CDTF">2012-07-02T11:54:08Z</dcterms:created>
  <dcterms:modified xsi:type="dcterms:W3CDTF">2023-07-02T06:58:51Z</dcterms:modified>
</cp:coreProperties>
</file>