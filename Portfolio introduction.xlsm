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inancial package\financial modeling\12351_website_supplements\For Website\Section 3 - Portfolio theory\Chapter 10 - Portfolio introduction\"/>
    </mc:Choice>
  </mc:AlternateContent>
  <xr:revisionPtr revIDLastSave="0" documentId="13_ncr:1_{B367F7C1-2497-47DC-8B5E-2F56E9926C42}" xr6:coauthVersionLast="47" xr6:coauthVersionMax="47" xr10:uidLastSave="{00000000-0000-0000-0000-000000000000}"/>
  <bookViews>
    <workbookView xWindow="-108" yWindow="-108" windowWidth="23256" windowHeight="12456" firstSheet="7" activeTab="10" xr2:uid="{00000000-000D-0000-FFFF-FFFF00000000}"/>
  </bookViews>
  <sheets>
    <sheet name="AAPL and K" sheetId="2" r:id="rId1"/>
    <sheet name="Covariance" sheetId="3" r:id="rId2"/>
    <sheet name="Trendline" sheetId="4" r:id="rId3"/>
    <sheet name="Portfolio mean and sigma" sheetId="5" r:id="rId4"/>
    <sheet name="Portfolio mean and sigma2" sheetId="6" r:id="rId5"/>
    <sheet name="GMVP 2 stocks" sheetId="11" r:id="rId6"/>
    <sheet name="Porfolios of 4 assets" sheetId="7" r:id="rId7"/>
    <sheet name="Porfolios of 4 assets (2)" sheetId="13" r:id="rId8"/>
    <sheet name="adjusting for dividends" sheetId="14" r:id="rId9"/>
    <sheet name="continous and discrete returns" sheetId="15" r:id="rId10"/>
    <sheet name="comparing continuous discrete " sheetId="10" r:id="rId11"/>
  </sheets>
  <functionGroups builtInGroupCount="19"/>
  <definedNames>
    <definedName name="solver_adj" localSheetId="5" hidden="1">'GMVP 2 stocks'!$B$10</definedName>
    <definedName name="solver_cvg" localSheetId="5" hidden="1">0.0001</definedName>
    <definedName name="solver_drv" localSheetId="5" hidden="1">2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0</definedName>
    <definedName name="solver_nwt" localSheetId="5" hidden="1">1</definedName>
    <definedName name="solver_opt" localSheetId="5" hidden="1">'GMVP 2 stocks'!$B$13</definedName>
    <definedName name="solver_pre" localSheetId="5" hidden="1">0.000001</definedName>
    <definedName name="solver_rbv" localSheetId="5" hidden="1">2</definedName>
    <definedName name="solver_rlx" localSheetId="5" hidden="1">2</definedName>
    <definedName name="solver_rsd" localSheetId="5" hidden="1">0</definedName>
    <definedName name="solver_scl" localSheetId="5" hidden="1">2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2</definedName>
    <definedName name="solver_val" localSheetId="5" hidden="1">0</definedName>
    <definedName name="solver_ver" localSheetId="5" hidden="1">3</definedName>
  </definedNames>
  <calcPr calcId="181029"/>
</workbook>
</file>

<file path=xl/calcChain.xml><?xml version="1.0" encoding="utf-8"?>
<calcChain xmlns="http://schemas.openxmlformats.org/spreadsheetml/2006/main">
  <c r="I122" i="15" l="1"/>
  <c r="I121" i="15"/>
  <c r="I120" i="15"/>
  <c r="I119" i="15"/>
  <c r="I118" i="15"/>
  <c r="I117" i="15"/>
  <c r="I116" i="15"/>
  <c r="I115" i="15"/>
  <c r="I114" i="15"/>
  <c r="I113" i="15"/>
  <c r="I112" i="15"/>
  <c r="I111" i="15"/>
  <c r="I110" i="15"/>
  <c r="I109" i="15"/>
  <c r="I108" i="15"/>
  <c r="I107" i="15"/>
  <c r="I106" i="15"/>
  <c r="I105" i="15"/>
  <c r="I104" i="15"/>
  <c r="I103" i="15"/>
  <c r="I102" i="15"/>
  <c r="I101" i="15"/>
  <c r="I100" i="15"/>
  <c r="I99" i="15"/>
  <c r="I98" i="15"/>
  <c r="I97" i="15"/>
  <c r="I96" i="15"/>
  <c r="I95" i="15"/>
  <c r="I94" i="15"/>
  <c r="I93" i="15"/>
  <c r="I92" i="15"/>
  <c r="I91" i="15"/>
  <c r="I90" i="15"/>
  <c r="I89" i="15"/>
  <c r="I88" i="15"/>
  <c r="I87" i="15"/>
  <c r="I86" i="15"/>
  <c r="I85" i="15"/>
  <c r="I84" i="15"/>
  <c r="I83" i="15"/>
  <c r="I82" i="15"/>
  <c r="I81" i="15"/>
  <c r="I80" i="15"/>
  <c r="I79" i="15"/>
  <c r="I78" i="15"/>
  <c r="I77" i="15"/>
  <c r="I76" i="15"/>
  <c r="I75" i="15"/>
  <c r="I74" i="15"/>
  <c r="I73" i="15"/>
  <c r="I72" i="15"/>
  <c r="I71" i="15"/>
  <c r="I70" i="15"/>
  <c r="I69" i="15"/>
  <c r="I68" i="15"/>
  <c r="I67" i="15"/>
  <c r="I66" i="15"/>
  <c r="I65" i="15"/>
  <c r="I64" i="15"/>
  <c r="I63" i="15"/>
  <c r="I62" i="15"/>
  <c r="I61" i="15"/>
  <c r="I60" i="15"/>
  <c r="I59" i="15"/>
  <c r="I58" i="15"/>
  <c r="I57" i="15"/>
  <c r="I56" i="15"/>
  <c r="I55" i="15"/>
  <c r="I54" i="15"/>
  <c r="I53" i="15"/>
  <c r="I52" i="15"/>
  <c r="I51" i="15"/>
  <c r="I50" i="15"/>
  <c r="I49" i="15"/>
  <c r="I48" i="15"/>
  <c r="I47" i="15"/>
  <c r="I46" i="15"/>
  <c r="I45" i="15"/>
  <c r="I44" i="15"/>
  <c r="I43" i="15"/>
  <c r="I42" i="15"/>
  <c r="I41" i="15"/>
  <c r="I40" i="15"/>
  <c r="I39" i="15"/>
  <c r="I38" i="15"/>
  <c r="I37" i="15"/>
  <c r="I36" i="15"/>
  <c r="I35" i="15"/>
  <c r="I34" i="15"/>
  <c r="I33" i="15"/>
  <c r="I32" i="15"/>
  <c r="I31" i="15"/>
  <c r="I30" i="15"/>
  <c r="I29" i="15"/>
  <c r="I28" i="15"/>
  <c r="I27" i="15"/>
  <c r="I26" i="15"/>
  <c r="I25" i="15"/>
  <c r="I24" i="15"/>
  <c r="I23" i="15"/>
  <c r="I22" i="15"/>
  <c r="I21" i="15"/>
  <c r="I20" i="15"/>
  <c r="I19" i="15"/>
  <c r="I18" i="15"/>
  <c r="I17" i="15"/>
  <c r="I16" i="15"/>
  <c r="I15" i="15"/>
  <c r="I14" i="15"/>
  <c r="I13" i="15"/>
  <c r="I12" i="15"/>
  <c r="I11" i="15"/>
  <c r="I10" i="15"/>
  <c r="I9" i="15"/>
  <c r="I8" i="15"/>
  <c r="I7" i="15"/>
  <c r="I6" i="15"/>
  <c r="I5" i="15"/>
  <c r="I4" i="15"/>
  <c r="H5" i="15"/>
  <c r="H6" i="15"/>
  <c r="H7" i="15"/>
  <c r="H8" i="15"/>
  <c r="H9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51" i="15"/>
  <c r="H52" i="15"/>
  <c r="H53" i="15"/>
  <c r="H54" i="15"/>
  <c r="H55" i="15"/>
  <c r="H56" i="15"/>
  <c r="H57" i="15"/>
  <c r="H58" i="15"/>
  <c r="H59" i="15"/>
  <c r="H60" i="15"/>
  <c r="H61" i="15"/>
  <c r="H62" i="15"/>
  <c r="H63" i="15"/>
  <c r="H64" i="15"/>
  <c r="H65" i="15"/>
  <c r="H66" i="15"/>
  <c r="H67" i="15"/>
  <c r="H68" i="15"/>
  <c r="H69" i="15"/>
  <c r="H70" i="15"/>
  <c r="H71" i="15"/>
  <c r="H72" i="15"/>
  <c r="H73" i="15"/>
  <c r="H74" i="15"/>
  <c r="H75" i="15"/>
  <c r="H76" i="15"/>
  <c r="H77" i="15"/>
  <c r="H78" i="15"/>
  <c r="H79" i="15"/>
  <c r="H80" i="15"/>
  <c r="H81" i="15"/>
  <c r="H82" i="15"/>
  <c r="H83" i="15"/>
  <c r="H84" i="15"/>
  <c r="H85" i="15"/>
  <c r="H86" i="15"/>
  <c r="H87" i="15"/>
  <c r="H88" i="15"/>
  <c r="H89" i="15"/>
  <c r="H90" i="15"/>
  <c r="H91" i="15"/>
  <c r="H92" i="15"/>
  <c r="H93" i="15"/>
  <c r="H94" i="15"/>
  <c r="H95" i="15"/>
  <c r="H96" i="15"/>
  <c r="H97" i="15"/>
  <c r="H98" i="15"/>
  <c r="H99" i="15"/>
  <c r="H100" i="15"/>
  <c r="H101" i="15"/>
  <c r="H102" i="15"/>
  <c r="H103" i="15"/>
  <c r="H104" i="15"/>
  <c r="H105" i="15"/>
  <c r="H106" i="15"/>
  <c r="H107" i="15"/>
  <c r="H108" i="15"/>
  <c r="H109" i="15"/>
  <c r="H110" i="15"/>
  <c r="H111" i="15"/>
  <c r="H112" i="15"/>
  <c r="H113" i="15"/>
  <c r="H114" i="15"/>
  <c r="H115" i="15"/>
  <c r="H116" i="15"/>
  <c r="H117" i="15"/>
  <c r="H118" i="15"/>
  <c r="H119" i="15"/>
  <c r="H120" i="15"/>
  <c r="H121" i="15"/>
  <c r="H122" i="15"/>
  <c r="H4" i="15"/>
  <c r="F122" i="15"/>
  <c r="E122" i="15"/>
  <c r="F121" i="15"/>
  <c r="E121" i="15"/>
  <c r="F120" i="15"/>
  <c r="E120" i="15"/>
  <c r="F119" i="15"/>
  <c r="E119" i="15"/>
  <c r="F118" i="15"/>
  <c r="E118" i="15"/>
  <c r="F117" i="15"/>
  <c r="E117" i="15"/>
  <c r="F116" i="15"/>
  <c r="E116" i="15"/>
  <c r="F115" i="15"/>
  <c r="E115" i="15"/>
  <c r="F114" i="15"/>
  <c r="E114" i="15"/>
  <c r="F113" i="15"/>
  <c r="E113" i="15"/>
  <c r="F112" i="15"/>
  <c r="E112" i="15"/>
  <c r="F111" i="15"/>
  <c r="E111" i="15"/>
  <c r="F110" i="15"/>
  <c r="E110" i="15"/>
  <c r="F109" i="15"/>
  <c r="E109" i="15"/>
  <c r="F108" i="15"/>
  <c r="E108" i="15"/>
  <c r="F107" i="15"/>
  <c r="E107" i="15"/>
  <c r="F106" i="15"/>
  <c r="E106" i="15"/>
  <c r="F105" i="15"/>
  <c r="E105" i="15"/>
  <c r="F104" i="15"/>
  <c r="E104" i="15"/>
  <c r="F103" i="15"/>
  <c r="E103" i="15"/>
  <c r="F102" i="15"/>
  <c r="E102" i="15"/>
  <c r="F101" i="15"/>
  <c r="E101" i="15"/>
  <c r="F100" i="15"/>
  <c r="E100" i="15"/>
  <c r="F99" i="15"/>
  <c r="E99" i="15"/>
  <c r="F98" i="15"/>
  <c r="E98" i="15"/>
  <c r="F97" i="15"/>
  <c r="E97" i="15"/>
  <c r="F96" i="15"/>
  <c r="E96" i="15"/>
  <c r="F95" i="15"/>
  <c r="E95" i="15"/>
  <c r="F94" i="15"/>
  <c r="E94" i="15"/>
  <c r="F93" i="15"/>
  <c r="E93" i="15"/>
  <c r="F92" i="15"/>
  <c r="E92" i="15"/>
  <c r="F91" i="15"/>
  <c r="E91" i="15"/>
  <c r="F90" i="15"/>
  <c r="E90" i="15"/>
  <c r="F89" i="15"/>
  <c r="E89" i="15"/>
  <c r="F88" i="15"/>
  <c r="E88" i="15"/>
  <c r="F87" i="15"/>
  <c r="E87" i="15"/>
  <c r="F86" i="15"/>
  <c r="E86" i="15"/>
  <c r="F85" i="15"/>
  <c r="E85" i="15"/>
  <c r="F84" i="15"/>
  <c r="E84" i="15"/>
  <c r="F83" i="15"/>
  <c r="E83" i="15"/>
  <c r="F82" i="15"/>
  <c r="E82" i="15"/>
  <c r="F81" i="15"/>
  <c r="E81" i="15"/>
  <c r="F80" i="15"/>
  <c r="E80" i="15"/>
  <c r="F79" i="15"/>
  <c r="E79" i="15"/>
  <c r="F78" i="15"/>
  <c r="E78" i="15"/>
  <c r="F77" i="15"/>
  <c r="E77" i="15"/>
  <c r="F76" i="15"/>
  <c r="E76" i="15"/>
  <c r="F75" i="15"/>
  <c r="E75" i="15"/>
  <c r="F74" i="15"/>
  <c r="E74" i="15"/>
  <c r="F73" i="15"/>
  <c r="E73" i="15"/>
  <c r="F72" i="15"/>
  <c r="E72" i="15"/>
  <c r="F71" i="15"/>
  <c r="E71" i="15"/>
  <c r="F70" i="15"/>
  <c r="E70" i="15"/>
  <c r="F69" i="15"/>
  <c r="E69" i="15"/>
  <c r="F68" i="15"/>
  <c r="E68" i="15"/>
  <c r="F67" i="15"/>
  <c r="E67" i="15"/>
  <c r="F66" i="15"/>
  <c r="E66" i="15"/>
  <c r="F65" i="15"/>
  <c r="E65" i="15"/>
  <c r="F64" i="15"/>
  <c r="E64" i="15"/>
  <c r="F63" i="15"/>
  <c r="E63" i="15"/>
  <c r="F62" i="15"/>
  <c r="E62" i="15"/>
  <c r="F61" i="15"/>
  <c r="E61" i="15"/>
  <c r="F60" i="15"/>
  <c r="E60" i="15"/>
  <c r="F59" i="15"/>
  <c r="E59" i="15"/>
  <c r="F58" i="15"/>
  <c r="E58" i="15"/>
  <c r="F57" i="15"/>
  <c r="E57" i="15"/>
  <c r="F56" i="15"/>
  <c r="E56" i="15"/>
  <c r="F55" i="15"/>
  <c r="E55" i="15"/>
  <c r="F54" i="15"/>
  <c r="E54" i="15"/>
  <c r="F53" i="15"/>
  <c r="E53" i="15"/>
  <c r="F52" i="15"/>
  <c r="E52" i="15"/>
  <c r="F51" i="15"/>
  <c r="E51" i="15"/>
  <c r="F50" i="15"/>
  <c r="E50" i="15"/>
  <c r="F49" i="15"/>
  <c r="E49" i="15"/>
  <c r="F48" i="15"/>
  <c r="E48" i="15"/>
  <c r="F47" i="15"/>
  <c r="E47" i="15"/>
  <c r="F46" i="15"/>
  <c r="E46" i="15"/>
  <c r="F45" i="15"/>
  <c r="E45" i="15"/>
  <c r="F44" i="15"/>
  <c r="E44" i="15"/>
  <c r="F43" i="15"/>
  <c r="E43" i="15"/>
  <c r="F42" i="15"/>
  <c r="E42" i="15"/>
  <c r="F41" i="15"/>
  <c r="E41" i="15"/>
  <c r="F40" i="15"/>
  <c r="E40" i="15"/>
  <c r="F39" i="15"/>
  <c r="E39" i="15"/>
  <c r="F38" i="15"/>
  <c r="E38" i="15"/>
  <c r="F37" i="15"/>
  <c r="E37" i="15"/>
  <c r="F36" i="15"/>
  <c r="E36" i="15"/>
  <c r="F35" i="15"/>
  <c r="E35" i="15"/>
  <c r="F34" i="15"/>
  <c r="E34" i="15"/>
  <c r="F33" i="15"/>
  <c r="E33" i="15"/>
  <c r="F32" i="15"/>
  <c r="E32" i="15"/>
  <c r="F31" i="15"/>
  <c r="E31" i="15"/>
  <c r="F30" i="15"/>
  <c r="E30" i="15"/>
  <c r="F29" i="15"/>
  <c r="E29" i="15"/>
  <c r="F28" i="15"/>
  <c r="E28" i="15"/>
  <c r="F27" i="15"/>
  <c r="E27" i="15"/>
  <c r="F26" i="15"/>
  <c r="E26" i="15"/>
  <c r="F25" i="15"/>
  <c r="E25" i="15"/>
  <c r="F24" i="15"/>
  <c r="E24" i="15"/>
  <c r="F23" i="15"/>
  <c r="E23" i="15"/>
  <c r="F22" i="15"/>
  <c r="E22" i="15"/>
  <c r="F21" i="15"/>
  <c r="E21" i="15"/>
  <c r="F20" i="15"/>
  <c r="E20" i="15"/>
  <c r="F19" i="15"/>
  <c r="E19" i="15"/>
  <c r="F18" i="15"/>
  <c r="E18" i="15"/>
  <c r="F17" i="15"/>
  <c r="E17" i="15"/>
  <c r="F16" i="15"/>
  <c r="E16" i="15"/>
  <c r="F15" i="15"/>
  <c r="E15" i="15"/>
  <c r="F14" i="15"/>
  <c r="E14" i="15"/>
  <c r="F13" i="15"/>
  <c r="E13" i="15"/>
  <c r="F12" i="15"/>
  <c r="E12" i="15"/>
  <c r="F11" i="15"/>
  <c r="E11" i="15"/>
  <c r="F10" i="15"/>
  <c r="E10" i="15"/>
  <c r="F9" i="15"/>
  <c r="E9" i="15"/>
  <c r="F8" i="15"/>
  <c r="E8" i="15"/>
  <c r="F7" i="15"/>
  <c r="E7" i="15"/>
  <c r="F6" i="15"/>
  <c r="E6" i="15"/>
  <c r="F5" i="15"/>
  <c r="E5" i="15"/>
  <c r="F4" i="15"/>
  <c r="E4" i="15"/>
  <c r="F3" i="15"/>
  <c r="I3" i="15" s="1"/>
  <c r="E3" i="15"/>
  <c r="H3" i="15" s="1"/>
  <c r="C32" i="14"/>
  <c r="B32" i="14"/>
  <c r="C31" i="14"/>
  <c r="B31" i="14"/>
  <c r="C30" i="14"/>
  <c r="B30" i="14"/>
  <c r="C29" i="14"/>
  <c r="B29" i="14"/>
  <c r="C28" i="14"/>
  <c r="B28" i="14"/>
  <c r="C27" i="14"/>
  <c r="B27" i="14"/>
  <c r="C26" i="14"/>
  <c r="B26" i="14"/>
  <c r="C25" i="14"/>
  <c r="B25" i="14"/>
  <c r="C24" i="14"/>
  <c r="B24" i="14"/>
  <c r="C23" i="14"/>
  <c r="B23" i="14"/>
  <c r="C22" i="14"/>
  <c r="D22" i="14" s="1"/>
  <c r="D23" i="14" s="1"/>
  <c r="B22" i="14"/>
  <c r="B21" i="14"/>
  <c r="E21" i="14" s="1"/>
  <c r="B5" i="14"/>
  <c r="C5" i="14"/>
  <c r="B6" i="14"/>
  <c r="C6" i="14"/>
  <c r="B7" i="14"/>
  <c r="C7" i="14"/>
  <c r="B8" i="14"/>
  <c r="C8" i="14"/>
  <c r="B9" i="14"/>
  <c r="C9" i="14"/>
  <c r="B10" i="14"/>
  <c r="C10" i="14"/>
  <c r="B11" i="14"/>
  <c r="C11" i="14"/>
  <c r="B12" i="14"/>
  <c r="C12" i="14"/>
  <c r="B13" i="14"/>
  <c r="C13" i="14"/>
  <c r="B14" i="14"/>
  <c r="C14" i="14"/>
  <c r="C4" i="14"/>
  <c r="B4" i="14"/>
  <c r="B3" i="14"/>
  <c r="J125" i="15"/>
  <c r="J127" i="15"/>
  <c r="J131" i="15"/>
  <c r="J126" i="15"/>
  <c r="J130" i="15"/>
  <c r="J129" i="15"/>
  <c r="D125" i="15"/>
  <c r="E36" i="14"/>
  <c r="F16" i="14"/>
  <c r="J5" i="15"/>
  <c r="D130" i="15"/>
  <c r="F15" i="14"/>
  <c r="H22" i="14"/>
  <c r="D131" i="15"/>
  <c r="B36" i="14"/>
  <c r="D126" i="15"/>
  <c r="F3" i="14"/>
  <c r="J4" i="15"/>
  <c r="D129" i="15"/>
  <c r="D127" i="15"/>
  <c r="G4" i="15"/>
  <c r="H21" i="14"/>
  <c r="F4" i="14"/>
  <c r="H34" i="14"/>
  <c r="G5" i="15"/>
  <c r="H33" i="14"/>
  <c r="I126" i="15" l="1"/>
  <c r="I130" i="15" s="1"/>
  <c r="D24" i="14"/>
  <c r="D25" i="14" s="1"/>
  <c r="D26" i="14" s="1"/>
  <c r="D27" i="14" s="1"/>
  <c r="D28" i="14" s="1"/>
  <c r="D29" i="14" s="1"/>
  <c r="D30" i="14" s="1"/>
  <c r="D31" i="14" s="1"/>
  <c r="D32" i="14" s="1"/>
  <c r="H127" i="15"/>
  <c r="H131" i="15" s="1"/>
  <c r="I127" i="15"/>
  <c r="I131" i="15" s="1"/>
  <c r="H126" i="15"/>
  <c r="H130" i="15" s="1"/>
  <c r="H125" i="15"/>
  <c r="H129" i="15" s="1"/>
  <c r="I125" i="15"/>
  <c r="I129" i="15" s="1"/>
  <c r="F125" i="15"/>
  <c r="F129" i="15" s="1"/>
  <c r="E125" i="15"/>
  <c r="E129" i="15" s="1"/>
  <c r="E126" i="15"/>
  <c r="E130" i="15" s="1"/>
  <c r="F126" i="15"/>
  <c r="F130" i="15" s="1"/>
  <c r="E127" i="15"/>
  <c r="E131" i="15" s="1"/>
  <c r="F127" i="15"/>
  <c r="F131" i="15" s="1"/>
  <c r="E22" i="14"/>
  <c r="E14" i="14"/>
  <c r="E6" i="14"/>
  <c r="E4" i="14"/>
  <c r="D7" i="14"/>
  <c r="D10" i="14"/>
  <c r="E13" i="14"/>
  <c r="D8" i="14"/>
  <c r="E7" i="14"/>
  <c r="D6" i="14"/>
  <c r="D11" i="14"/>
  <c r="D4" i="14"/>
  <c r="D13" i="14"/>
  <c r="D5" i="14"/>
  <c r="D12" i="14"/>
  <c r="D9" i="14"/>
  <c r="E10" i="14"/>
  <c r="E9" i="14"/>
  <c r="E12" i="14"/>
  <c r="E5" i="14"/>
  <c r="D14" i="14"/>
  <c r="E8" i="14"/>
  <c r="E11" i="14"/>
  <c r="A31" i="13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J7" i="13"/>
  <c r="J6" i="13"/>
  <c r="J5" i="13"/>
  <c r="J4" i="13"/>
  <c r="C14" i="13"/>
  <c r="B14" i="13"/>
  <c r="E11" i="13"/>
  <c r="C16" i="13" s="1" a="1"/>
  <c r="C16" i="13" s="1"/>
  <c r="C17" i="13" s="1"/>
  <c r="E10" i="13"/>
  <c r="B16" i="13" s="1" a="1"/>
  <c r="B16" i="13" s="1"/>
  <c r="C14" i="7"/>
  <c r="B14" i="7"/>
  <c r="E11" i="7"/>
  <c r="E10" i="7"/>
  <c r="C2" i="11"/>
  <c r="B2" i="11"/>
  <c r="D16" i="6"/>
  <c r="D39" i="11"/>
  <c r="D25" i="13"/>
  <c r="D24" i="13"/>
  <c r="D23" i="13"/>
  <c r="D15" i="7"/>
  <c r="C18" i="11"/>
  <c r="F11" i="7"/>
  <c r="C11" i="11"/>
  <c r="C17" i="11"/>
  <c r="C19" i="13"/>
  <c r="F10" i="13"/>
  <c r="K5" i="13"/>
  <c r="F11" i="13"/>
  <c r="F10" i="7"/>
  <c r="D17" i="13"/>
  <c r="D15" i="13"/>
  <c r="K6" i="13"/>
  <c r="K4" i="13"/>
  <c r="C16" i="11"/>
  <c r="D29" i="7"/>
  <c r="C18" i="13"/>
  <c r="C18" i="7"/>
  <c r="K7" i="13"/>
  <c r="C13" i="11"/>
  <c r="D16" i="7"/>
  <c r="C19" i="11"/>
  <c r="D17" i="7"/>
  <c r="C12" i="11"/>
  <c r="C19" i="7"/>
  <c r="D29" i="13"/>
  <c r="D16" i="13"/>
  <c r="C15" i="13" l="1" a="1"/>
  <c r="C15" i="13" s="1"/>
  <c r="E23" i="14"/>
  <c r="G22" i="14"/>
  <c r="F22" i="14"/>
  <c r="D15" i="14"/>
  <c r="D16" i="14"/>
  <c r="E16" i="14"/>
  <c r="E15" i="14"/>
  <c r="B17" i="13"/>
  <c r="B18" i="13" a="1"/>
  <c r="B18" i="13" s="1"/>
  <c r="B19" i="13" s="1"/>
  <c r="B15" i="13" a="1"/>
  <c r="B15" i="13" s="1"/>
  <c r="C23" i="13" s="1"/>
  <c r="C29" i="13" s="1"/>
  <c r="C2" i="6"/>
  <c r="B2" i="6"/>
  <c r="C126" i="5"/>
  <c r="B126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" i="5"/>
  <c r="C11" i="6"/>
  <c r="E7" i="5"/>
  <c r="D127" i="5"/>
  <c r="C138" i="5"/>
  <c r="D129" i="5"/>
  <c r="C130" i="5"/>
  <c r="D128" i="5"/>
  <c r="C133" i="5"/>
  <c r="C134" i="5"/>
  <c r="C10" i="6"/>
  <c r="C12" i="6"/>
  <c r="E6" i="5"/>
  <c r="C141" i="5"/>
  <c r="C142" i="5"/>
  <c r="C137" i="5"/>
  <c r="F23" i="14" l="1"/>
  <c r="G23" i="14"/>
  <c r="E24" i="14"/>
  <c r="C24" i="13"/>
  <c r="C25" i="13" s="1"/>
  <c r="B29" i="13" s="1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C6" i="4"/>
  <c r="C7" i="4"/>
  <c r="C10" i="4"/>
  <c r="C11" i="4"/>
  <c r="C14" i="4"/>
  <c r="C15" i="4"/>
  <c r="C18" i="4"/>
  <c r="C19" i="4"/>
  <c r="C22" i="4"/>
  <c r="C23" i="4"/>
  <c r="C26" i="4"/>
  <c r="C27" i="4"/>
  <c r="C30" i="4"/>
  <c r="C31" i="4"/>
  <c r="C34" i="4"/>
  <c r="C35" i="4"/>
  <c r="C38" i="4"/>
  <c r="C39" i="4"/>
  <c r="C42" i="4"/>
  <c r="C43" i="4"/>
  <c r="C46" i="4"/>
  <c r="C47" i="4"/>
  <c r="C50" i="4"/>
  <c r="C51" i="4"/>
  <c r="C54" i="4"/>
  <c r="C55" i="4"/>
  <c r="C58" i="4"/>
  <c r="C59" i="4"/>
  <c r="C62" i="4"/>
  <c r="C63" i="4"/>
  <c r="C66" i="4"/>
  <c r="C67" i="4"/>
  <c r="C70" i="4"/>
  <c r="C71" i="4"/>
  <c r="C74" i="4"/>
  <c r="C75" i="4"/>
  <c r="C78" i="4"/>
  <c r="C79" i="4"/>
  <c r="C82" i="4"/>
  <c r="C83" i="4"/>
  <c r="C86" i="4"/>
  <c r="C87" i="4"/>
  <c r="C90" i="4"/>
  <c r="C91" i="4"/>
  <c r="C94" i="4"/>
  <c r="C95" i="4"/>
  <c r="C98" i="4"/>
  <c r="C99" i="4"/>
  <c r="C102" i="4"/>
  <c r="C103" i="4"/>
  <c r="C106" i="4"/>
  <c r="C107" i="4"/>
  <c r="C110" i="4"/>
  <c r="C111" i="4"/>
  <c r="C119" i="4"/>
  <c r="C122" i="4"/>
  <c r="B4" i="4"/>
  <c r="A4" i="4"/>
  <c r="B66" i="3"/>
  <c r="B67" i="3"/>
  <c r="B70" i="3"/>
  <c r="B71" i="3"/>
  <c r="B74" i="3"/>
  <c r="B75" i="3"/>
  <c r="B78" i="3"/>
  <c r="B79" i="3"/>
  <c r="B82" i="3"/>
  <c r="B83" i="3"/>
  <c r="B86" i="3"/>
  <c r="B87" i="3"/>
  <c r="B90" i="3"/>
  <c r="B91" i="3"/>
  <c r="B94" i="3"/>
  <c r="B95" i="3"/>
  <c r="B98" i="3"/>
  <c r="B99" i="3"/>
  <c r="B102" i="3"/>
  <c r="B103" i="3"/>
  <c r="B106" i="3"/>
  <c r="B107" i="3"/>
  <c r="B110" i="3"/>
  <c r="B111" i="3"/>
  <c r="B122" i="3"/>
  <c r="F2" i="2"/>
  <c r="C3" i="3" s="1"/>
  <c r="F3" i="3" s="1"/>
  <c r="E2" i="2"/>
  <c r="B3" i="3" s="1"/>
  <c r="E3" i="3" s="1"/>
  <c r="A111" i="3"/>
  <c r="A112" i="3"/>
  <c r="A113" i="3"/>
  <c r="A114" i="3"/>
  <c r="A115" i="3"/>
  <c r="A116" i="3"/>
  <c r="A117" i="3"/>
  <c r="A118" i="3"/>
  <c r="A119" i="3"/>
  <c r="A120" i="3"/>
  <c r="A121" i="3"/>
  <c r="A122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84" i="3"/>
  <c r="A85" i="3"/>
  <c r="A86" i="3"/>
  <c r="A87" i="3"/>
  <c r="A88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64" i="3"/>
  <c r="A65" i="3"/>
  <c r="A66" i="3"/>
  <c r="A67" i="3"/>
  <c r="A68" i="3"/>
  <c r="A69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4" i="3"/>
  <c r="E65" i="2"/>
  <c r="B68" i="5" s="1"/>
  <c r="F65" i="2"/>
  <c r="C68" i="5" s="1"/>
  <c r="E66" i="2"/>
  <c r="B69" i="5" s="1"/>
  <c r="F66" i="2"/>
  <c r="C69" i="5" s="1"/>
  <c r="E67" i="2"/>
  <c r="B70" i="5" s="1"/>
  <c r="F67" i="2"/>
  <c r="C70" i="5" s="1"/>
  <c r="E68" i="2"/>
  <c r="B71" i="5" s="1"/>
  <c r="F68" i="2"/>
  <c r="C71" i="5" s="1"/>
  <c r="E69" i="2"/>
  <c r="B72" i="5" s="1"/>
  <c r="F69" i="2"/>
  <c r="C72" i="5" s="1"/>
  <c r="E70" i="2"/>
  <c r="B73" i="5" s="1"/>
  <c r="F70" i="2"/>
  <c r="C73" i="5" s="1"/>
  <c r="E71" i="2"/>
  <c r="B74" i="5" s="1"/>
  <c r="F71" i="2"/>
  <c r="C74" i="5" s="1"/>
  <c r="E72" i="2"/>
  <c r="B75" i="5" s="1"/>
  <c r="F72" i="2"/>
  <c r="C75" i="5" s="1"/>
  <c r="E73" i="2"/>
  <c r="B76" i="5" s="1"/>
  <c r="F73" i="2"/>
  <c r="C76" i="5" s="1"/>
  <c r="E74" i="2"/>
  <c r="B77" i="5" s="1"/>
  <c r="F74" i="2"/>
  <c r="C77" i="5" s="1"/>
  <c r="E75" i="2"/>
  <c r="B78" i="5" s="1"/>
  <c r="F75" i="2"/>
  <c r="C78" i="5" s="1"/>
  <c r="E76" i="2"/>
  <c r="B79" i="5" s="1"/>
  <c r="F76" i="2"/>
  <c r="C79" i="5" s="1"/>
  <c r="E77" i="2"/>
  <c r="B80" i="5" s="1"/>
  <c r="F77" i="2"/>
  <c r="C80" i="5" s="1"/>
  <c r="E78" i="2"/>
  <c r="B81" i="5" s="1"/>
  <c r="F78" i="2"/>
  <c r="C81" i="5" s="1"/>
  <c r="E79" i="2"/>
  <c r="B82" i="5" s="1"/>
  <c r="F79" i="2"/>
  <c r="C82" i="5" s="1"/>
  <c r="E80" i="2"/>
  <c r="B83" i="5" s="1"/>
  <c r="F80" i="2"/>
  <c r="C83" i="5" s="1"/>
  <c r="E81" i="2"/>
  <c r="B84" i="5" s="1"/>
  <c r="F81" i="2"/>
  <c r="C84" i="5" s="1"/>
  <c r="E82" i="2"/>
  <c r="B85" i="5" s="1"/>
  <c r="F82" i="2"/>
  <c r="C85" i="5" s="1"/>
  <c r="E83" i="2"/>
  <c r="B86" i="5" s="1"/>
  <c r="F83" i="2"/>
  <c r="C86" i="5" s="1"/>
  <c r="E84" i="2"/>
  <c r="B87" i="5" s="1"/>
  <c r="F84" i="2"/>
  <c r="C87" i="5" s="1"/>
  <c r="E85" i="2"/>
  <c r="B88" i="5" s="1"/>
  <c r="F85" i="2"/>
  <c r="C88" i="5" s="1"/>
  <c r="E86" i="2"/>
  <c r="B89" i="5" s="1"/>
  <c r="F86" i="2"/>
  <c r="C89" i="5" s="1"/>
  <c r="E87" i="2"/>
  <c r="B90" i="5" s="1"/>
  <c r="F87" i="2"/>
  <c r="C90" i="5" s="1"/>
  <c r="E88" i="2"/>
  <c r="B91" i="5" s="1"/>
  <c r="F88" i="2"/>
  <c r="C91" i="5" s="1"/>
  <c r="E89" i="2"/>
  <c r="B92" i="5" s="1"/>
  <c r="F89" i="2"/>
  <c r="C92" i="5" s="1"/>
  <c r="E90" i="2"/>
  <c r="B93" i="5" s="1"/>
  <c r="F90" i="2"/>
  <c r="C93" i="5" s="1"/>
  <c r="E91" i="2"/>
  <c r="B94" i="5" s="1"/>
  <c r="F91" i="2"/>
  <c r="C94" i="5" s="1"/>
  <c r="E92" i="2"/>
  <c r="B95" i="5" s="1"/>
  <c r="F92" i="2"/>
  <c r="C95" i="5" s="1"/>
  <c r="E93" i="2"/>
  <c r="B96" i="5" s="1"/>
  <c r="F93" i="2"/>
  <c r="C96" i="5" s="1"/>
  <c r="E94" i="2"/>
  <c r="B97" i="5" s="1"/>
  <c r="F94" i="2"/>
  <c r="C97" i="5" s="1"/>
  <c r="E95" i="2"/>
  <c r="B98" i="5" s="1"/>
  <c r="F95" i="2"/>
  <c r="C98" i="5" s="1"/>
  <c r="E96" i="2"/>
  <c r="B99" i="5" s="1"/>
  <c r="F96" i="2"/>
  <c r="C99" i="5" s="1"/>
  <c r="E97" i="2"/>
  <c r="B100" i="5" s="1"/>
  <c r="F97" i="2"/>
  <c r="C100" i="5" s="1"/>
  <c r="E98" i="2"/>
  <c r="B101" i="5" s="1"/>
  <c r="F98" i="2"/>
  <c r="C101" i="5" s="1"/>
  <c r="E99" i="2"/>
  <c r="B102" i="5" s="1"/>
  <c r="F99" i="2"/>
  <c r="C102" i="5" s="1"/>
  <c r="E100" i="2"/>
  <c r="B103" i="5" s="1"/>
  <c r="F100" i="2"/>
  <c r="C103" i="5" s="1"/>
  <c r="E101" i="2"/>
  <c r="B104" i="5" s="1"/>
  <c r="F101" i="2"/>
  <c r="C104" i="5" s="1"/>
  <c r="E102" i="2"/>
  <c r="B105" i="5" s="1"/>
  <c r="F102" i="2"/>
  <c r="C105" i="5" s="1"/>
  <c r="E103" i="2"/>
  <c r="B106" i="5" s="1"/>
  <c r="F103" i="2"/>
  <c r="C106" i="5" s="1"/>
  <c r="E104" i="2"/>
  <c r="B107" i="5" s="1"/>
  <c r="F104" i="2"/>
  <c r="C107" i="5" s="1"/>
  <c r="E105" i="2"/>
  <c r="B108" i="5" s="1"/>
  <c r="F105" i="2"/>
  <c r="C108" i="5" s="1"/>
  <c r="E106" i="2"/>
  <c r="B109" i="5" s="1"/>
  <c r="F106" i="2"/>
  <c r="C109" i="5" s="1"/>
  <c r="E107" i="2"/>
  <c r="B110" i="5" s="1"/>
  <c r="F107" i="2"/>
  <c r="C110" i="5" s="1"/>
  <c r="E108" i="2"/>
  <c r="B111" i="5" s="1"/>
  <c r="F108" i="2"/>
  <c r="C111" i="5" s="1"/>
  <c r="E109" i="2"/>
  <c r="B112" i="5" s="1"/>
  <c r="F109" i="2"/>
  <c r="C112" i="5" s="1"/>
  <c r="E110" i="2"/>
  <c r="B113" i="5" s="1"/>
  <c r="F110" i="2"/>
  <c r="C113" i="5" s="1"/>
  <c r="E111" i="2"/>
  <c r="B114" i="5" s="1"/>
  <c r="F111" i="2"/>
  <c r="C114" i="5" s="1"/>
  <c r="E112" i="2"/>
  <c r="B115" i="5" s="1"/>
  <c r="F112" i="2"/>
  <c r="C115" i="5" s="1"/>
  <c r="E113" i="2"/>
  <c r="B116" i="5" s="1"/>
  <c r="F113" i="2"/>
  <c r="C116" i="5" s="1"/>
  <c r="E114" i="2"/>
  <c r="B117" i="5" s="1"/>
  <c r="F114" i="2"/>
  <c r="C117" i="5" s="1"/>
  <c r="E115" i="2"/>
  <c r="B118" i="5" s="1"/>
  <c r="F115" i="2"/>
  <c r="C118" i="5" s="1"/>
  <c r="E116" i="2"/>
  <c r="B119" i="5" s="1"/>
  <c r="F116" i="2"/>
  <c r="C119" i="5" s="1"/>
  <c r="E117" i="2"/>
  <c r="B120" i="5" s="1"/>
  <c r="F117" i="2"/>
  <c r="C120" i="5" s="1"/>
  <c r="E118" i="2"/>
  <c r="B121" i="5" s="1"/>
  <c r="F118" i="2"/>
  <c r="C121" i="5" s="1"/>
  <c r="E119" i="2"/>
  <c r="B122" i="5" s="1"/>
  <c r="F119" i="2"/>
  <c r="C122" i="5" s="1"/>
  <c r="E120" i="2"/>
  <c r="B123" i="5" s="1"/>
  <c r="F120" i="2"/>
  <c r="C123" i="5" s="1"/>
  <c r="E121" i="2"/>
  <c r="B124" i="5" s="1"/>
  <c r="F121" i="2"/>
  <c r="C124" i="5" s="1"/>
  <c r="E4" i="2"/>
  <c r="B7" i="5" s="1"/>
  <c r="F4" i="2"/>
  <c r="C7" i="5" s="1"/>
  <c r="E5" i="2"/>
  <c r="B8" i="5" s="1"/>
  <c r="F5" i="2"/>
  <c r="C8" i="5" s="1"/>
  <c r="E6" i="2"/>
  <c r="B9" i="5" s="1"/>
  <c r="F6" i="2"/>
  <c r="C9" i="5" s="1"/>
  <c r="E7" i="2"/>
  <c r="B10" i="5" s="1"/>
  <c r="F7" i="2"/>
  <c r="C10" i="5" s="1"/>
  <c r="E8" i="2"/>
  <c r="B11" i="5" s="1"/>
  <c r="F8" i="2"/>
  <c r="C11" i="5" s="1"/>
  <c r="E9" i="2"/>
  <c r="B12" i="5" s="1"/>
  <c r="F9" i="2"/>
  <c r="C12" i="5" s="1"/>
  <c r="E10" i="2"/>
  <c r="B13" i="5" s="1"/>
  <c r="F10" i="2"/>
  <c r="C13" i="5" s="1"/>
  <c r="E11" i="2"/>
  <c r="B14" i="5" s="1"/>
  <c r="F11" i="2"/>
  <c r="C14" i="5" s="1"/>
  <c r="E12" i="2"/>
  <c r="B15" i="5" s="1"/>
  <c r="F12" i="2"/>
  <c r="C15" i="5" s="1"/>
  <c r="E13" i="2"/>
  <c r="B16" i="5" s="1"/>
  <c r="F13" i="2"/>
  <c r="C16" i="5" s="1"/>
  <c r="E14" i="2"/>
  <c r="B17" i="5" s="1"/>
  <c r="F14" i="2"/>
  <c r="C17" i="5" s="1"/>
  <c r="E15" i="2"/>
  <c r="B18" i="5" s="1"/>
  <c r="F15" i="2"/>
  <c r="C18" i="5" s="1"/>
  <c r="E16" i="2"/>
  <c r="B19" i="5" s="1"/>
  <c r="F16" i="2"/>
  <c r="C19" i="5" s="1"/>
  <c r="E17" i="2"/>
  <c r="B20" i="5" s="1"/>
  <c r="F17" i="2"/>
  <c r="C20" i="5" s="1"/>
  <c r="E18" i="2"/>
  <c r="B21" i="5" s="1"/>
  <c r="F18" i="2"/>
  <c r="C21" i="5" s="1"/>
  <c r="E19" i="2"/>
  <c r="B22" i="5" s="1"/>
  <c r="F19" i="2"/>
  <c r="C22" i="5" s="1"/>
  <c r="E20" i="2"/>
  <c r="B23" i="5" s="1"/>
  <c r="F20" i="2"/>
  <c r="C23" i="5" s="1"/>
  <c r="E21" i="2"/>
  <c r="B24" i="5" s="1"/>
  <c r="F21" i="2"/>
  <c r="C24" i="5" s="1"/>
  <c r="E22" i="2"/>
  <c r="B25" i="5" s="1"/>
  <c r="F22" i="2"/>
  <c r="C25" i="5" s="1"/>
  <c r="E23" i="2"/>
  <c r="B26" i="5" s="1"/>
  <c r="F23" i="2"/>
  <c r="C26" i="5" s="1"/>
  <c r="E24" i="2"/>
  <c r="B27" i="5" s="1"/>
  <c r="F24" i="2"/>
  <c r="C27" i="5" s="1"/>
  <c r="E25" i="2"/>
  <c r="B28" i="5" s="1"/>
  <c r="F25" i="2"/>
  <c r="C28" i="5" s="1"/>
  <c r="E26" i="2"/>
  <c r="B29" i="5" s="1"/>
  <c r="F26" i="2"/>
  <c r="C29" i="5" s="1"/>
  <c r="E27" i="2"/>
  <c r="B30" i="5" s="1"/>
  <c r="F27" i="2"/>
  <c r="C30" i="5" s="1"/>
  <c r="E28" i="2"/>
  <c r="B31" i="5" s="1"/>
  <c r="F28" i="2"/>
  <c r="C31" i="5" s="1"/>
  <c r="E29" i="2"/>
  <c r="B32" i="5" s="1"/>
  <c r="F29" i="2"/>
  <c r="C32" i="5" s="1"/>
  <c r="E30" i="2"/>
  <c r="B33" i="5" s="1"/>
  <c r="F30" i="2"/>
  <c r="C33" i="5" s="1"/>
  <c r="E31" i="2"/>
  <c r="B34" i="5" s="1"/>
  <c r="F31" i="2"/>
  <c r="C34" i="5" s="1"/>
  <c r="E32" i="2"/>
  <c r="B35" i="5" s="1"/>
  <c r="F32" i="2"/>
  <c r="C35" i="5" s="1"/>
  <c r="E33" i="2"/>
  <c r="B36" i="5" s="1"/>
  <c r="F33" i="2"/>
  <c r="C36" i="5" s="1"/>
  <c r="E34" i="2"/>
  <c r="B37" i="5" s="1"/>
  <c r="F34" i="2"/>
  <c r="C37" i="5" s="1"/>
  <c r="E35" i="2"/>
  <c r="B38" i="5" s="1"/>
  <c r="F35" i="2"/>
  <c r="C38" i="5" s="1"/>
  <c r="E36" i="2"/>
  <c r="B39" i="5" s="1"/>
  <c r="F36" i="2"/>
  <c r="C39" i="5" s="1"/>
  <c r="E37" i="2"/>
  <c r="B40" i="5" s="1"/>
  <c r="F37" i="2"/>
  <c r="C40" i="5" s="1"/>
  <c r="E38" i="2"/>
  <c r="B41" i="5" s="1"/>
  <c r="F38" i="2"/>
  <c r="C41" i="5" s="1"/>
  <c r="E39" i="2"/>
  <c r="B42" i="5" s="1"/>
  <c r="F39" i="2"/>
  <c r="C42" i="5" s="1"/>
  <c r="E40" i="2"/>
  <c r="B43" i="5" s="1"/>
  <c r="F40" i="2"/>
  <c r="C43" i="5" s="1"/>
  <c r="E41" i="2"/>
  <c r="B44" i="5" s="1"/>
  <c r="F41" i="2"/>
  <c r="C44" i="5" s="1"/>
  <c r="E42" i="2"/>
  <c r="B45" i="5" s="1"/>
  <c r="F42" i="2"/>
  <c r="C45" i="5" s="1"/>
  <c r="E43" i="2"/>
  <c r="B46" i="5" s="1"/>
  <c r="F43" i="2"/>
  <c r="C46" i="5" s="1"/>
  <c r="E44" i="2"/>
  <c r="B47" i="5" s="1"/>
  <c r="F44" i="2"/>
  <c r="C47" i="5" s="1"/>
  <c r="E45" i="2"/>
  <c r="B48" i="5" s="1"/>
  <c r="F45" i="2"/>
  <c r="C48" i="5" s="1"/>
  <c r="E46" i="2"/>
  <c r="B49" i="5" s="1"/>
  <c r="F46" i="2"/>
  <c r="C49" i="5" s="1"/>
  <c r="E47" i="2"/>
  <c r="B50" i="5" s="1"/>
  <c r="F47" i="2"/>
  <c r="C50" i="5" s="1"/>
  <c r="E48" i="2"/>
  <c r="B51" i="5" s="1"/>
  <c r="F48" i="2"/>
  <c r="C51" i="5" s="1"/>
  <c r="E49" i="2"/>
  <c r="B52" i="5" s="1"/>
  <c r="F49" i="2"/>
  <c r="C52" i="5" s="1"/>
  <c r="E50" i="2"/>
  <c r="B53" i="5" s="1"/>
  <c r="F50" i="2"/>
  <c r="C53" i="5" s="1"/>
  <c r="E51" i="2"/>
  <c r="B54" i="5" s="1"/>
  <c r="F51" i="2"/>
  <c r="C54" i="5" s="1"/>
  <c r="E52" i="2"/>
  <c r="B55" i="5" s="1"/>
  <c r="F52" i="2"/>
  <c r="C55" i="5" s="1"/>
  <c r="E53" i="2"/>
  <c r="B56" i="5" s="1"/>
  <c r="F53" i="2"/>
  <c r="C56" i="5" s="1"/>
  <c r="E54" i="2"/>
  <c r="B57" i="5" s="1"/>
  <c r="F54" i="2"/>
  <c r="C57" i="5" s="1"/>
  <c r="E55" i="2"/>
  <c r="B58" i="5" s="1"/>
  <c r="F55" i="2"/>
  <c r="C58" i="5" s="1"/>
  <c r="E56" i="2"/>
  <c r="B59" i="5" s="1"/>
  <c r="F56" i="2"/>
  <c r="C59" i="5" s="1"/>
  <c r="E57" i="2"/>
  <c r="B60" i="5" s="1"/>
  <c r="F57" i="2"/>
  <c r="C60" i="5" s="1"/>
  <c r="E58" i="2"/>
  <c r="B61" i="5" s="1"/>
  <c r="F58" i="2"/>
  <c r="C61" i="5" s="1"/>
  <c r="E59" i="2"/>
  <c r="B62" i="5" s="1"/>
  <c r="F59" i="2"/>
  <c r="C62" i="5" s="1"/>
  <c r="E60" i="2"/>
  <c r="B63" i="5" s="1"/>
  <c r="F60" i="2"/>
  <c r="C63" i="5" s="1"/>
  <c r="E61" i="2"/>
  <c r="B64" i="5" s="1"/>
  <c r="F61" i="2"/>
  <c r="C64" i="5" s="1"/>
  <c r="E62" i="2"/>
  <c r="B65" i="5" s="1"/>
  <c r="F62" i="2"/>
  <c r="C65" i="5" s="1"/>
  <c r="E63" i="2"/>
  <c r="B66" i="5" s="1"/>
  <c r="F63" i="2"/>
  <c r="C66" i="5" s="1"/>
  <c r="E64" i="2"/>
  <c r="B67" i="5" s="1"/>
  <c r="F64" i="2"/>
  <c r="C67" i="5" s="1"/>
  <c r="F3" i="2"/>
  <c r="C6" i="5" s="1"/>
  <c r="E3" i="2"/>
  <c r="B6" i="5" s="1"/>
  <c r="C131" i="3"/>
  <c r="D4" i="3"/>
  <c r="D5" i="3"/>
  <c r="G4" i="2"/>
  <c r="H4" i="3"/>
  <c r="D124" i="3"/>
  <c r="C130" i="3"/>
  <c r="C3" i="5"/>
  <c r="H5" i="3"/>
  <c r="G3" i="2"/>
  <c r="B130" i="5" l="1"/>
  <c r="B6" i="11" s="1"/>
  <c r="B114" i="3"/>
  <c r="C114" i="4"/>
  <c r="B115" i="3"/>
  <c r="C115" i="4"/>
  <c r="B128" i="5"/>
  <c r="C118" i="4"/>
  <c r="B119" i="3"/>
  <c r="C127" i="5"/>
  <c r="B127" i="5"/>
  <c r="B118" i="3"/>
  <c r="B63" i="3"/>
  <c r="B59" i="3"/>
  <c r="B55" i="3"/>
  <c r="B51" i="3"/>
  <c r="B47" i="3"/>
  <c r="B43" i="3"/>
  <c r="B39" i="3"/>
  <c r="B35" i="3"/>
  <c r="B31" i="3"/>
  <c r="B27" i="3"/>
  <c r="B23" i="3"/>
  <c r="B7" i="3"/>
  <c r="C122" i="3"/>
  <c r="C118" i="3"/>
  <c r="C114" i="3"/>
  <c r="C110" i="3"/>
  <c r="C106" i="3"/>
  <c r="C102" i="3"/>
  <c r="C98" i="3"/>
  <c r="C94" i="3"/>
  <c r="C90" i="3"/>
  <c r="C86" i="3"/>
  <c r="C82" i="3"/>
  <c r="C78" i="3"/>
  <c r="C74" i="3"/>
  <c r="C70" i="3"/>
  <c r="C66" i="3"/>
  <c r="C62" i="3"/>
  <c r="C58" i="3"/>
  <c r="C54" i="3"/>
  <c r="C50" i="3"/>
  <c r="C46" i="3"/>
  <c r="C42" i="3"/>
  <c r="C38" i="3"/>
  <c r="C34" i="3"/>
  <c r="C30" i="3"/>
  <c r="C26" i="3"/>
  <c r="C22" i="3"/>
  <c r="C18" i="3"/>
  <c r="C14" i="3"/>
  <c r="C10" i="3"/>
  <c r="C6" i="3"/>
  <c r="C4" i="4"/>
  <c r="B119" i="4"/>
  <c r="B115" i="4"/>
  <c r="B111" i="4"/>
  <c r="B107" i="4"/>
  <c r="B103" i="4"/>
  <c r="B99" i="4"/>
  <c r="B95" i="4"/>
  <c r="B91" i="4"/>
  <c r="B87" i="4"/>
  <c r="B83" i="4"/>
  <c r="B79" i="4"/>
  <c r="B75" i="4"/>
  <c r="B71" i="4"/>
  <c r="B67" i="4"/>
  <c r="B63" i="4"/>
  <c r="B59" i="4"/>
  <c r="B55" i="4"/>
  <c r="B51" i="4"/>
  <c r="B47" i="4"/>
  <c r="B43" i="4"/>
  <c r="B39" i="4"/>
  <c r="B35" i="4"/>
  <c r="B31" i="4"/>
  <c r="B27" i="4"/>
  <c r="B23" i="4"/>
  <c r="B19" i="4"/>
  <c r="B15" i="4"/>
  <c r="B11" i="4"/>
  <c r="B7" i="4"/>
  <c r="C129" i="5"/>
  <c r="C121" i="3"/>
  <c r="C117" i="3"/>
  <c r="C113" i="3"/>
  <c r="C109" i="3"/>
  <c r="C105" i="3"/>
  <c r="C101" i="3"/>
  <c r="C97" i="3"/>
  <c r="C93" i="3"/>
  <c r="C89" i="3"/>
  <c r="C85" i="3"/>
  <c r="C81" i="3"/>
  <c r="C77" i="3"/>
  <c r="C73" i="3"/>
  <c r="C69" i="3"/>
  <c r="C65" i="3"/>
  <c r="C61" i="3"/>
  <c r="C57" i="3"/>
  <c r="C53" i="3"/>
  <c r="C49" i="3"/>
  <c r="C45" i="3"/>
  <c r="C41" i="3"/>
  <c r="C37" i="3"/>
  <c r="C33" i="3"/>
  <c r="C29" i="3"/>
  <c r="C25" i="3"/>
  <c r="C21" i="3"/>
  <c r="C17" i="3"/>
  <c r="C13" i="3"/>
  <c r="C9" i="3"/>
  <c r="C5" i="3"/>
  <c r="B122" i="4"/>
  <c r="B118" i="4"/>
  <c r="B114" i="4"/>
  <c r="B110" i="4"/>
  <c r="B106" i="4"/>
  <c r="B102" i="4"/>
  <c r="B98" i="4"/>
  <c r="B94" i="4"/>
  <c r="B90" i="4"/>
  <c r="B86" i="4"/>
  <c r="B82" i="4"/>
  <c r="B78" i="4"/>
  <c r="B74" i="4"/>
  <c r="B70" i="4"/>
  <c r="B66" i="4"/>
  <c r="B62" i="4"/>
  <c r="B58" i="4"/>
  <c r="B54" i="4"/>
  <c r="B50" i="4"/>
  <c r="B46" i="4"/>
  <c r="B42" i="4"/>
  <c r="B38" i="4"/>
  <c r="B34" i="4"/>
  <c r="B30" i="4"/>
  <c r="B26" i="4"/>
  <c r="B22" i="4"/>
  <c r="B18" i="4"/>
  <c r="B14" i="4"/>
  <c r="B10" i="4"/>
  <c r="B6" i="4"/>
  <c r="B19" i="3"/>
  <c r="B58" i="3"/>
  <c r="B50" i="3"/>
  <c r="B34" i="3"/>
  <c r="B22" i="3"/>
  <c r="B14" i="3"/>
  <c r="B121" i="3"/>
  <c r="B117" i="3"/>
  <c r="B113" i="3"/>
  <c r="B109" i="3"/>
  <c r="B105" i="3"/>
  <c r="B101" i="3"/>
  <c r="B97" i="3"/>
  <c r="B93" i="3"/>
  <c r="B89" i="3"/>
  <c r="B85" i="3"/>
  <c r="B81" i="3"/>
  <c r="B77" i="3"/>
  <c r="B73" i="3"/>
  <c r="B69" i="3"/>
  <c r="B65" i="3"/>
  <c r="B61" i="3"/>
  <c r="B57" i="3"/>
  <c r="B53" i="3"/>
  <c r="B49" i="3"/>
  <c r="B45" i="3"/>
  <c r="B41" i="3"/>
  <c r="B37" i="3"/>
  <c r="B33" i="3"/>
  <c r="B29" i="3"/>
  <c r="B25" i="3"/>
  <c r="B21" i="3"/>
  <c r="B17" i="3"/>
  <c r="B13" i="3"/>
  <c r="B9" i="3"/>
  <c r="B5" i="3"/>
  <c r="C121" i="4"/>
  <c r="C117" i="4"/>
  <c r="C113" i="4"/>
  <c r="C109" i="4"/>
  <c r="C105" i="4"/>
  <c r="C101" i="4"/>
  <c r="C97" i="4"/>
  <c r="C93" i="4"/>
  <c r="C89" i="4"/>
  <c r="C85" i="4"/>
  <c r="C81" i="4"/>
  <c r="C77" i="4"/>
  <c r="C73" i="4"/>
  <c r="C69" i="4"/>
  <c r="C65" i="4"/>
  <c r="C61" i="4"/>
  <c r="C57" i="4"/>
  <c r="C53" i="4"/>
  <c r="C49" i="4"/>
  <c r="C45" i="4"/>
  <c r="C41" i="4"/>
  <c r="C37" i="4"/>
  <c r="C33" i="4"/>
  <c r="C29" i="4"/>
  <c r="C25" i="4"/>
  <c r="C21" i="4"/>
  <c r="C17" i="4"/>
  <c r="C13" i="4"/>
  <c r="C9" i="4"/>
  <c r="C5" i="4"/>
  <c r="B129" i="5"/>
  <c r="B15" i="3"/>
  <c r="B54" i="3"/>
  <c r="B46" i="3"/>
  <c r="B38" i="3"/>
  <c r="B26" i="3"/>
  <c r="B18" i="3"/>
  <c r="B6" i="3"/>
  <c r="C120" i="3"/>
  <c r="C116" i="3"/>
  <c r="C112" i="3"/>
  <c r="C108" i="3"/>
  <c r="C104" i="3"/>
  <c r="C100" i="3"/>
  <c r="C96" i="3"/>
  <c r="C92" i="3"/>
  <c r="C88" i="3"/>
  <c r="C84" i="3"/>
  <c r="C80" i="3"/>
  <c r="C76" i="3"/>
  <c r="C72" i="3"/>
  <c r="C68" i="3"/>
  <c r="C64" i="3"/>
  <c r="C60" i="3"/>
  <c r="C56" i="3"/>
  <c r="C52" i="3"/>
  <c r="C48" i="3"/>
  <c r="C44" i="3"/>
  <c r="C40" i="3"/>
  <c r="C36" i="3"/>
  <c r="C32" i="3"/>
  <c r="C28" i="3"/>
  <c r="C24" i="3"/>
  <c r="C20" i="3"/>
  <c r="C16" i="3"/>
  <c r="C12" i="3"/>
  <c r="C8" i="3"/>
  <c r="C4" i="3"/>
  <c r="B121" i="4"/>
  <c r="B117" i="4"/>
  <c r="B113" i="4"/>
  <c r="B109" i="4"/>
  <c r="B105" i="4"/>
  <c r="B101" i="4"/>
  <c r="B97" i="4"/>
  <c r="B93" i="4"/>
  <c r="B89" i="4"/>
  <c r="B85" i="4"/>
  <c r="B81" i="4"/>
  <c r="B77" i="4"/>
  <c r="B73" i="4"/>
  <c r="B69" i="4"/>
  <c r="B65" i="4"/>
  <c r="B61" i="4"/>
  <c r="B57" i="4"/>
  <c r="B53" i="4"/>
  <c r="B49" i="4"/>
  <c r="B45" i="4"/>
  <c r="B41" i="4"/>
  <c r="B37" i="4"/>
  <c r="B33" i="4"/>
  <c r="B29" i="4"/>
  <c r="B25" i="4"/>
  <c r="B21" i="4"/>
  <c r="B17" i="4"/>
  <c r="B13" i="4"/>
  <c r="B9" i="4"/>
  <c r="B5" i="4"/>
  <c r="C128" i="5"/>
  <c r="B11" i="3"/>
  <c r="B42" i="3"/>
  <c r="B10" i="3"/>
  <c r="B120" i="3"/>
  <c r="B116" i="3"/>
  <c r="B112" i="3"/>
  <c r="B108" i="3"/>
  <c r="B104" i="3"/>
  <c r="B100" i="3"/>
  <c r="B96" i="3"/>
  <c r="B92" i="3"/>
  <c r="B88" i="3"/>
  <c r="B84" i="3"/>
  <c r="B80" i="3"/>
  <c r="B76" i="3"/>
  <c r="B72" i="3"/>
  <c r="B68" i="3"/>
  <c r="B64" i="3"/>
  <c r="B60" i="3"/>
  <c r="B56" i="3"/>
  <c r="B52" i="3"/>
  <c r="B48" i="3"/>
  <c r="B44" i="3"/>
  <c r="B40" i="3"/>
  <c r="B36" i="3"/>
  <c r="B32" i="3"/>
  <c r="B28" i="3"/>
  <c r="B24" i="3"/>
  <c r="B20" i="3"/>
  <c r="B16" i="3"/>
  <c r="B12" i="3"/>
  <c r="B8" i="3"/>
  <c r="B4" i="3"/>
  <c r="C120" i="4"/>
  <c r="C116" i="4"/>
  <c r="C112" i="4"/>
  <c r="C108" i="4"/>
  <c r="C104" i="4"/>
  <c r="C100" i="4"/>
  <c r="C96" i="4"/>
  <c r="C92" i="4"/>
  <c r="C88" i="4"/>
  <c r="C84" i="4"/>
  <c r="C80" i="4"/>
  <c r="C76" i="4"/>
  <c r="C72" i="4"/>
  <c r="C68" i="4"/>
  <c r="C64" i="4"/>
  <c r="C60" i="4"/>
  <c r="C56" i="4"/>
  <c r="C52" i="4"/>
  <c r="C48" i="4"/>
  <c r="C44" i="4"/>
  <c r="C40" i="4"/>
  <c r="C36" i="4"/>
  <c r="C32" i="4"/>
  <c r="C28" i="4"/>
  <c r="C24" i="4"/>
  <c r="C20" i="4"/>
  <c r="C16" i="4"/>
  <c r="C12" i="4"/>
  <c r="C8" i="4"/>
  <c r="B62" i="3"/>
  <c r="B30" i="3"/>
  <c r="C119" i="3"/>
  <c r="C115" i="3"/>
  <c r="C111" i="3"/>
  <c r="C107" i="3"/>
  <c r="C103" i="3"/>
  <c r="C99" i="3"/>
  <c r="C95" i="3"/>
  <c r="C91" i="3"/>
  <c r="C87" i="3"/>
  <c r="C83" i="3"/>
  <c r="C79" i="3"/>
  <c r="C75" i="3"/>
  <c r="C71" i="3"/>
  <c r="C67" i="3"/>
  <c r="C63" i="3"/>
  <c r="C59" i="3"/>
  <c r="C55" i="3"/>
  <c r="C51" i="3"/>
  <c r="C47" i="3"/>
  <c r="C43" i="3"/>
  <c r="C39" i="3"/>
  <c r="C35" i="3"/>
  <c r="C31" i="3"/>
  <c r="C27" i="3"/>
  <c r="C23" i="3"/>
  <c r="C19" i="3"/>
  <c r="C15" i="3"/>
  <c r="C11" i="3"/>
  <c r="C7" i="3"/>
  <c r="B120" i="4"/>
  <c r="B116" i="4"/>
  <c r="B112" i="4"/>
  <c r="B108" i="4"/>
  <c r="B104" i="4"/>
  <c r="B100" i="4"/>
  <c r="B96" i="4"/>
  <c r="B92" i="4"/>
  <c r="B88" i="4"/>
  <c r="B84" i="4"/>
  <c r="B80" i="4"/>
  <c r="B76" i="4"/>
  <c r="B72" i="4"/>
  <c r="B68" i="4"/>
  <c r="B64" i="4"/>
  <c r="B60" i="4"/>
  <c r="B56" i="4"/>
  <c r="B52" i="4"/>
  <c r="B48" i="4"/>
  <c r="B44" i="4"/>
  <c r="B40" i="4"/>
  <c r="B36" i="4"/>
  <c r="B32" i="4"/>
  <c r="B28" i="4"/>
  <c r="B24" i="4"/>
  <c r="B20" i="4"/>
  <c r="B16" i="4"/>
  <c r="B12" i="4"/>
  <c r="B8" i="4"/>
  <c r="F24" i="14"/>
  <c r="G24" i="14"/>
  <c r="E25" i="14"/>
  <c r="B127" i="2"/>
  <c r="B5" i="11" s="1"/>
  <c r="C126" i="2"/>
  <c r="C4" i="11" s="1"/>
  <c r="B125" i="2"/>
  <c r="B3" i="11" s="1"/>
  <c r="C127" i="2"/>
  <c r="C5" i="11" s="1"/>
  <c r="B126" i="2"/>
  <c r="B4" i="11" s="1"/>
  <c r="C125" i="2"/>
  <c r="C3" i="11" s="1"/>
  <c r="G6" i="10"/>
  <c r="H6" i="10"/>
  <c r="G7" i="10"/>
  <c r="H7" i="10"/>
  <c r="G8" i="10"/>
  <c r="H8" i="10"/>
  <c r="G9" i="10"/>
  <c r="H9" i="10"/>
  <c r="G10" i="10"/>
  <c r="H10" i="10"/>
  <c r="G11" i="10"/>
  <c r="H11" i="10"/>
  <c r="G12" i="10"/>
  <c r="H12" i="10"/>
  <c r="G13" i="10"/>
  <c r="H13" i="10"/>
  <c r="G14" i="10"/>
  <c r="H14" i="10"/>
  <c r="G15" i="10"/>
  <c r="H15" i="10"/>
  <c r="G16" i="10"/>
  <c r="H16" i="10"/>
  <c r="G17" i="10"/>
  <c r="H17" i="10"/>
  <c r="G18" i="10"/>
  <c r="H18" i="10"/>
  <c r="G19" i="10"/>
  <c r="H19" i="10"/>
  <c r="G20" i="10"/>
  <c r="H20" i="10"/>
  <c r="G21" i="10"/>
  <c r="H21" i="10"/>
  <c r="G22" i="10"/>
  <c r="H22" i="10"/>
  <c r="G23" i="10"/>
  <c r="H23" i="10"/>
  <c r="G24" i="10"/>
  <c r="H24" i="10"/>
  <c r="G25" i="10"/>
  <c r="H25" i="10"/>
  <c r="G26" i="10"/>
  <c r="H26" i="10"/>
  <c r="G27" i="10"/>
  <c r="H27" i="10"/>
  <c r="G28" i="10"/>
  <c r="H28" i="10"/>
  <c r="G29" i="10"/>
  <c r="H29" i="10"/>
  <c r="G30" i="10"/>
  <c r="H30" i="10"/>
  <c r="G31" i="10"/>
  <c r="H31" i="10"/>
  <c r="G32" i="10"/>
  <c r="H32" i="10"/>
  <c r="G33" i="10"/>
  <c r="H33" i="10"/>
  <c r="G34" i="10"/>
  <c r="H34" i="10"/>
  <c r="G35" i="10"/>
  <c r="H35" i="10"/>
  <c r="G36" i="10"/>
  <c r="H36" i="10"/>
  <c r="G37" i="10"/>
  <c r="H37" i="10"/>
  <c r="G38" i="10"/>
  <c r="H38" i="10"/>
  <c r="G39" i="10"/>
  <c r="H39" i="10"/>
  <c r="G40" i="10"/>
  <c r="H40" i="10"/>
  <c r="G41" i="10"/>
  <c r="H41" i="10"/>
  <c r="G42" i="10"/>
  <c r="H42" i="10"/>
  <c r="G43" i="10"/>
  <c r="H43" i="10"/>
  <c r="G44" i="10"/>
  <c r="H44" i="10"/>
  <c r="G45" i="10"/>
  <c r="H45" i="10"/>
  <c r="G46" i="10"/>
  <c r="H46" i="10"/>
  <c r="G47" i="10"/>
  <c r="H47" i="10"/>
  <c r="G48" i="10"/>
  <c r="H48" i="10"/>
  <c r="G49" i="10"/>
  <c r="H49" i="10"/>
  <c r="G50" i="10"/>
  <c r="H50" i="10"/>
  <c r="G51" i="10"/>
  <c r="H51" i="10"/>
  <c r="G52" i="10"/>
  <c r="H52" i="10"/>
  <c r="G53" i="10"/>
  <c r="H53" i="10"/>
  <c r="G54" i="10"/>
  <c r="H54" i="10"/>
  <c r="G55" i="10"/>
  <c r="H55" i="10"/>
  <c r="G56" i="10"/>
  <c r="H56" i="10"/>
  <c r="G57" i="10"/>
  <c r="H57" i="10"/>
  <c r="G58" i="10"/>
  <c r="H58" i="10"/>
  <c r="G59" i="10"/>
  <c r="H59" i="10"/>
  <c r="G60" i="10"/>
  <c r="H60" i="10"/>
  <c r="G61" i="10"/>
  <c r="H61" i="10"/>
  <c r="G62" i="10"/>
  <c r="H62" i="10"/>
  <c r="G63" i="10"/>
  <c r="H63" i="10"/>
  <c r="G64" i="10"/>
  <c r="H64" i="10"/>
  <c r="C6" i="10"/>
  <c r="D6" i="10"/>
  <c r="D67" i="10" s="1"/>
  <c r="C7" i="10"/>
  <c r="D7" i="10"/>
  <c r="C8" i="10"/>
  <c r="D8" i="10"/>
  <c r="C9" i="10"/>
  <c r="D9" i="10"/>
  <c r="C10" i="10"/>
  <c r="D10" i="10"/>
  <c r="C11" i="10"/>
  <c r="D11" i="10"/>
  <c r="C12" i="10"/>
  <c r="D12" i="10"/>
  <c r="C13" i="10"/>
  <c r="D13" i="10"/>
  <c r="C14" i="10"/>
  <c r="D14" i="10"/>
  <c r="C15" i="10"/>
  <c r="D15" i="10"/>
  <c r="C16" i="10"/>
  <c r="D16" i="10"/>
  <c r="C17" i="10"/>
  <c r="D17" i="10"/>
  <c r="C18" i="10"/>
  <c r="D18" i="10"/>
  <c r="C19" i="10"/>
  <c r="D19" i="10"/>
  <c r="C20" i="10"/>
  <c r="D20" i="10"/>
  <c r="C21" i="10"/>
  <c r="D21" i="10"/>
  <c r="C22" i="10"/>
  <c r="D22" i="10"/>
  <c r="C23" i="10"/>
  <c r="D23" i="10"/>
  <c r="C24" i="10"/>
  <c r="D24" i="10"/>
  <c r="C25" i="10"/>
  <c r="D25" i="10"/>
  <c r="C26" i="10"/>
  <c r="D26" i="10"/>
  <c r="C27" i="10"/>
  <c r="D27" i="10"/>
  <c r="C28" i="10"/>
  <c r="D28" i="10"/>
  <c r="C29" i="10"/>
  <c r="D29" i="10"/>
  <c r="C30" i="10"/>
  <c r="D30" i="10"/>
  <c r="C31" i="10"/>
  <c r="D31" i="10"/>
  <c r="C32" i="10"/>
  <c r="D32" i="10"/>
  <c r="C33" i="10"/>
  <c r="D33" i="10"/>
  <c r="C34" i="10"/>
  <c r="D34" i="10"/>
  <c r="C35" i="10"/>
  <c r="D35" i="10"/>
  <c r="C36" i="10"/>
  <c r="D36" i="10"/>
  <c r="C37" i="10"/>
  <c r="D37" i="10"/>
  <c r="C38" i="10"/>
  <c r="D38" i="10"/>
  <c r="C39" i="10"/>
  <c r="D39" i="10"/>
  <c r="C40" i="10"/>
  <c r="D40" i="10"/>
  <c r="C41" i="10"/>
  <c r="D41" i="10"/>
  <c r="C42" i="10"/>
  <c r="D42" i="10"/>
  <c r="C43" i="10"/>
  <c r="D43" i="10"/>
  <c r="C44" i="10"/>
  <c r="D44" i="10"/>
  <c r="C45" i="10"/>
  <c r="D45" i="10"/>
  <c r="C46" i="10"/>
  <c r="D46" i="10"/>
  <c r="C47" i="10"/>
  <c r="D47" i="10"/>
  <c r="C48" i="10"/>
  <c r="D48" i="10"/>
  <c r="C49" i="10"/>
  <c r="D49" i="10"/>
  <c r="C50" i="10"/>
  <c r="D50" i="10"/>
  <c r="C51" i="10"/>
  <c r="D51" i="10"/>
  <c r="C52" i="10"/>
  <c r="D52" i="10"/>
  <c r="C53" i="10"/>
  <c r="D53" i="10"/>
  <c r="C54" i="10"/>
  <c r="D54" i="10"/>
  <c r="C55" i="10"/>
  <c r="D55" i="10"/>
  <c r="C56" i="10"/>
  <c r="D56" i="10"/>
  <c r="C57" i="10"/>
  <c r="D57" i="10"/>
  <c r="C58" i="10"/>
  <c r="D58" i="10"/>
  <c r="C59" i="10"/>
  <c r="D59" i="10"/>
  <c r="C60" i="10"/>
  <c r="D60" i="10"/>
  <c r="C61" i="10"/>
  <c r="D61" i="10"/>
  <c r="C62" i="10"/>
  <c r="D62" i="10"/>
  <c r="C63" i="10"/>
  <c r="D63" i="10"/>
  <c r="C64" i="10"/>
  <c r="D64" i="10"/>
  <c r="H5" i="10"/>
  <c r="G5" i="10"/>
  <c r="D5" i="10"/>
  <c r="C5" i="10"/>
  <c r="C66" i="10" s="1"/>
  <c r="C69" i="10" s="1"/>
  <c r="E69" i="10"/>
  <c r="E5" i="10"/>
  <c r="E70" i="10"/>
  <c r="E66" i="10"/>
  <c r="E67" i="10"/>
  <c r="E71" i="10"/>
  <c r="B126" i="3" l="1"/>
  <c r="C126" i="3"/>
  <c r="B12" i="11"/>
  <c r="B13" i="11" s="1"/>
  <c r="B39" i="11" s="1"/>
  <c r="B124" i="3"/>
  <c r="E121" i="3" s="1"/>
  <c r="C124" i="3"/>
  <c r="F35" i="3" s="1"/>
  <c r="H66" i="10"/>
  <c r="B125" i="3"/>
  <c r="D66" i="10"/>
  <c r="B131" i="3"/>
  <c r="G66" i="10"/>
  <c r="G69" i="10" s="1"/>
  <c r="B11" i="11"/>
  <c r="C39" i="11" s="1"/>
  <c r="G67" i="10"/>
  <c r="G70" i="10" s="1"/>
  <c r="G71" i="10" s="1"/>
  <c r="B16" i="11"/>
  <c r="C125" i="3"/>
  <c r="B135" i="3"/>
  <c r="C67" i="10"/>
  <c r="C70" i="10" s="1"/>
  <c r="C71" i="10" s="1"/>
  <c r="G25" i="14"/>
  <c r="F25" i="14"/>
  <c r="E26" i="14"/>
  <c r="H67" i="10"/>
  <c r="B18" i="7" a="1"/>
  <c r="B18" i="7" s="1"/>
  <c r="C16" i="7" a="1"/>
  <c r="C16" i="7" s="1"/>
  <c r="C17" i="7" s="1"/>
  <c r="B16" i="7" a="1"/>
  <c r="B16" i="7" s="1"/>
  <c r="B17" i="7" s="1"/>
  <c r="C15" i="7" a="1"/>
  <c r="C15" i="7" s="1"/>
  <c r="B15" i="7" a="1"/>
  <c r="B15" i="7" s="1"/>
  <c r="B3" i="5"/>
  <c r="D24" i="7"/>
  <c r="D126" i="3"/>
  <c r="C135" i="3"/>
  <c r="D23" i="7"/>
  <c r="D125" i="3"/>
  <c r="D127" i="3"/>
  <c r="D25" i="7"/>
  <c r="C134" i="3"/>
  <c r="F6" i="3" l="1"/>
  <c r="F113" i="3"/>
  <c r="F104" i="3"/>
  <c r="F44" i="3"/>
  <c r="F42" i="3"/>
  <c r="F101" i="3"/>
  <c r="F99" i="3"/>
  <c r="F83" i="3"/>
  <c r="F70" i="3"/>
  <c r="F49" i="3"/>
  <c r="F77" i="3"/>
  <c r="F75" i="3"/>
  <c r="F50" i="3"/>
  <c r="F68" i="3"/>
  <c r="F26" i="3"/>
  <c r="F64" i="3"/>
  <c r="F106" i="3"/>
  <c r="F97" i="3"/>
  <c r="F102" i="3"/>
  <c r="F118" i="3"/>
  <c r="F95" i="3"/>
  <c r="F59" i="3"/>
  <c r="F19" i="3"/>
  <c r="F88" i="3"/>
  <c r="F9" i="3"/>
  <c r="F87" i="3"/>
  <c r="F57" i="3"/>
  <c r="F32" i="3"/>
  <c r="F103" i="3"/>
  <c r="F58" i="3"/>
  <c r="F85" i="3"/>
  <c r="F5" i="3"/>
  <c r="F60" i="3"/>
  <c r="F40" i="3"/>
  <c r="F25" i="3"/>
  <c r="F78" i="3"/>
  <c r="F55" i="3"/>
  <c r="F74" i="3"/>
  <c r="F116" i="3"/>
  <c r="G116" i="3" s="1"/>
  <c r="F43" i="3"/>
  <c r="F94" i="3"/>
  <c r="F14" i="3"/>
  <c r="F71" i="3"/>
  <c r="F92" i="3"/>
  <c r="F30" i="3"/>
  <c r="F119" i="3"/>
  <c r="F72" i="3"/>
  <c r="F39" i="3"/>
  <c r="F28" i="3"/>
  <c r="G28" i="3" s="1"/>
  <c r="F48" i="3"/>
  <c r="F61" i="3"/>
  <c r="F112" i="3"/>
  <c r="F29" i="3"/>
  <c r="F63" i="3"/>
  <c r="F114" i="3"/>
  <c r="E53" i="3"/>
  <c r="F38" i="3"/>
  <c r="F34" i="3"/>
  <c r="F105" i="3"/>
  <c r="F8" i="3"/>
  <c r="F56" i="3"/>
  <c r="F93" i="3"/>
  <c r="G93" i="3" s="1"/>
  <c r="E107" i="3"/>
  <c r="G107" i="3" s="1"/>
  <c r="F31" i="3"/>
  <c r="F27" i="3"/>
  <c r="F98" i="3"/>
  <c r="F122" i="3"/>
  <c r="F46" i="3"/>
  <c r="F89" i="3"/>
  <c r="F17" i="3"/>
  <c r="F20" i="3"/>
  <c r="F84" i="3"/>
  <c r="F108" i="3"/>
  <c r="F18" i="3"/>
  <c r="F82" i="3"/>
  <c r="F52" i="3"/>
  <c r="F24" i="3"/>
  <c r="F81" i="3"/>
  <c r="F54" i="3"/>
  <c r="F91" i="3"/>
  <c r="F53" i="3"/>
  <c r="G53" i="3" s="1"/>
  <c r="F90" i="3"/>
  <c r="F36" i="3"/>
  <c r="F21" i="3"/>
  <c r="F7" i="3"/>
  <c r="F13" i="3"/>
  <c r="G13" i="3" s="1"/>
  <c r="F67" i="3"/>
  <c r="F37" i="3"/>
  <c r="F80" i="3"/>
  <c r="F33" i="3"/>
  <c r="F76" i="3"/>
  <c r="F11" i="3"/>
  <c r="F121" i="3"/>
  <c r="G121" i="3" s="1"/>
  <c r="F45" i="3"/>
  <c r="F23" i="3"/>
  <c r="F22" i="3"/>
  <c r="F111" i="3"/>
  <c r="F10" i="3"/>
  <c r="F120" i="3"/>
  <c r="F51" i="3"/>
  <c r="F73" i="3"/>
  <c r="F69" i="3"/>
  <c r="F107" i="3"/>
  <c r="F117" i="3"/>
  <c r="F41" i="3"/>
  <c r="F16" i="3"/>
  <c r="F66" i="3"/>
  <c r="F15" i="3"/>
  <c r="F65" i="3"/>
  <c r="F86" i="3"/>
  <c r="F96" i="3"/>
  <c r="F110" i="3"/>
  <c r="F62" i="3"/>
  <c r="B134" i="3"/>
  <c r="F109" i="3"/>
  <c r="F12" i="3"/>
  <c r="F115" i="3"/>
  <c r="F47" i="3"/>
  <c r="F79" i="3"/>
  <c r="F100" i="3"/>
  <c r="E62" i="3"/>
  <c r="E48" i="3"/>
  <c r="G48" i="3" s="1"/>
  <c r="E92" i="3"/>
  <c r="G92" i="3" s="1"/>
  <c r="E102" i="3"/>
  <c r="G102" i="3" s="1"/>
  <c r="E57" i="3"/>
  <c r="E9" i="3"/>
  <c r="E22" i="3"/>
  <c r="E69" i="3"/>
  <c r="E49" i="3"/>
  <c r="E93" i="3"/>
  <c r="E113" i="3"/>
  <c r="E87" i="3"/>
  <c r="E58" i="3"/>
  <c r="G58" i="3" s="1"/>
  <c r="E106" i="3"/>
  <c r="E27" i="3"/>
  <c r="E105" i="3"/>
  <c r="E23" i="3"/>
  <c r="E43" i="3"/>
  <c r="E76" i="3"/>
  <c r="G76" i="3" s="1"/>
  <c r="E100" i="3"/>
  <c r="E55" i="3"/>
  <c r="E99" i="3"/>
  <c r="E20" i="3"/>
  <c r="G20" i="3" s="1"/>
  <c r="E98" i="3"/>
  <c r="G98" i="3" s="1"/>
  <c r="E16" i="3"/>
  <c r="G16" i="3" s="1"/>
  <c r="E29" i="3"/>
  <c r="E72" i="3"/>
  <c r="G72" i="3" s="1"/>
  <c r="E59" i="3"/>
  <c r="E96" i="3"/>
  <c r="E52" i="3"/>
  <c r="E38" i="3"/>
  <c r="E95" i="3"/>
  <c r="E50" i="3"/>
  <c r="E116" i="3"/>
  <c r="E15" i="3"/>
  <c r="E65" i="3"/>
  <c r="E42" i="3"/>
  <c r="E89" i="3"/>
  <c r="G89" i="3" s="1"/>
  <c r="E45" i="3"/>
  <c r="G45" i="3" s="1"/>
  <c r="E31" i="3"/>
  <c r="G31" i="3" s="1"/>
  <c r="E85" i="3"/>
  <c r="E70" i="3"/>
  <c r="E47" i="3"/>
  <c r="E109" i="3"/>
  <c r="E8" i="3"/>
  <c r="E63" i="3"/>
  <c r="E39" i="3"/>
  <c r="E82" i="3"/>
  <c r="E34" i="3"/>
  <c r="G34" i="3" s="1"/>
  <c r="E79" i="3"/>
  <c r="G79" i="3" s="1"/>
  <c r="E88" i="3"/>
  <c r="G88" i="3" s="1"/>
  <c r="E35" i="3"/>
  <c r="G35" i="3" s="1"/>
  <c r="E24" i="3"/>
  <c r="E81" i="3"/>
  <c r="G81" i="3" s="1"/>
  <c r="E30" i="3"/>
  <c r="E40" i="3"/>
  <c r="E91" i="3"/>
  <c r="E122" i="3"/>
  <c r="E46" i="3"/>
  <c r="E32" i="3"/>
  <c r="E75" i="3"/>
  <c r="G75" i="3" s="1"/>
  <c r="E71" i="3"/>
  <c r="G71" i="3" s="1"/>
  <c r="E112" i="3"/>
  <c r="G112" i="3" s="1"/>
  <c r="E90" i="3"/>
  <c r="E56" i="3"/>
  <c r="E28" i="3"/>
  <c r="E17" i="3"/>
  <c r="E74" i="3"/>
  <c r="E5" i="3"/>
  <c r="E26" i="3"/>
  <c r="E84" i="3"/>
  <c r="E115" i="3"/>
  <c r="E36" i="3"/>
  <c r="G36" i="3" s="1"/>
  <c r="E25" i="3"/>
  <c r="G25" i="3" s="1"/>
  <c r="E68" i="3"/>
  <c r="G68" i="3" s="1"/>
  <c r="E10" i="3"/>
  <c r="E13" i="3"/>
  <c r="E67" i="3"/>
  <c r="E80" i="3"/>
  <c r="E19" i="3"/>
  <c r="E77" i="3"/>
  <c r="E108" i="3"/>
  <c r="E18" i="3"/>
  <c r="E21" i="3"/>
  <c r="E64" i="3"/>
  <c r="E110" i="3"/>
  <c r="E6" i="3"/>
  <c r="G6" i="3" s="1"/>
  <c r="E61" i="3"/>
  <c r="E54" i="3"/>
  <c r="E12" i="3"/>
  <c r="E73" i="3"/>
  <c r="E104" i="3"/>
  <c r="E11" i="3"/>
  <c r="E14" i="3"/>
  <c r="E103" i="3"/>
  <c r="E120" i="3"/>
  <c r="E51" i="3"/>
  <c r="E44" i="3"/>
  <c r="E119" i="3"/>
  <c r="G119" i="3" s="1"/>
  <c r="E66" i="3"/>
  <c r="E101" i="3"/>
  <c r="E118" i="3"/>
  <c r="E7" i="3"/>
  <c r="E78" i="3"/>
  <c r="E117" i="3"/>
  <c r="E41" i="3"/>
  <c r="E37" i="3"/>
  <c r="E94" i="3"/>
  <c r="E60" i="3"/>
  <c r="G60" i="3" s="1"/>
  <c r="E97" i="3"/>
  <c r="G97" i="3" s="1"/>
  <c r="E111" i="3"/>
  <c r="G111" i="3" s="1"/>
  <c r="E114" i="3"/>
  <c r="G114" i="3" s="1"/>
  <c r="E33" i="3"/>
  <c r="E83" i="3"/>
  <c r="E86" i="3"/>
  <c r="B17" i="11"/>
  <c r="B18" i="11"/>
  <c r="B19" i="11" s="1"/>
  <c r="G26" i="14"/>
  <c r="F26" i="14"/>
  <c r="E27" i="14"/>
  <c r="B19" i="7"/>
  <c r="C24" i="7"/>
  <c r="C25" i="7" s="1"/>
  <c r="B29" i="7" s="1"/>
  <c r="D36" i="5"/>
  <c r="D16" i="5"/>
  <c r="D32" i="5"/>
  <c r="D123" i="5"/>
  <c r="D69" i="5"/>
  <c r="D85" i="5"/>
  <c r="D117" i="5"/>
  <c r="D64" i="5"/>
  <c r="D101" i="5"/>
  <c r="D52" i="5"/>
  <c r="D71" i="5"/>
  <c r="D87" i="5"/>
  <c r="D103" i="5"/>
  <c r="D119" i="5"/>
  <c r="D8" i="5"/>
  <c r="D22" i="5"/>
  <c r="D38" i="5"/>
  <c r="D54" i="5"/>
  <c r="D20" i="5"/>
  <c r="D67" i="5"/>
  <c r="D99" i="5"/>
  <c r="D97" i="5"/>
  <c r="D113" i="5"/>
  <c r="D48" i="5"/>
  <c r="D111" i="5"/>
  <c r="D89" i="5"/>
  <c r="D40" i="5"/>
  <c r="D24" i="5"/>
  <c r="D12" i="5"/>
  <c r="D23" i="5"/>
  <c r="D41" i="5"/>
  <c r="D92" i="5"/>
  <c r="D94" i="5"/>
  <c r="D96" i="5"/>
  <c r="D10" i="5"/>
  <c r="D35" i="5"/>
  <c r="D14" i="5"/>
  <c r="D11" i="5"/>
  <c r="D49" i="5"/>
  <c r="D79" i="5"/>
  <c r="D81" i="5"/>
  <c r="D115" i="5"/>
  <c r="D58" i="5"/>
  <c r="D21" i="5"/>
  <c r="D9" i="5"/>
  <c r="D90" i="5"/>
  <c r="D76" i="5"/>
  <c r="D78" i="5"/>
  <c r="D80" i="5"/>
  <c r="D114" i="5"/>
  <c r="D19" i="5"/>
  <c r="D93" i="5"/>
  <c r="D62" i="5"/>
  <c r="D73" i="5"/>
  <c r="D50" i="5"/>
  <c r="D42" i="5"/>
  <c r="D7" i="5"/>
  <c r="D120" i="5"/>
  <c r="D59" i="5"/>
  <c r="D122" i="5"/>
  <c r="D106" i="5"/>
  <c r="D53" i="5"/>
  <c r="D98" i="5"/>
  <c r="D116" i="5"/>
  <c r="D60" i="5"/>
  <c r="D72" i="5"/>
  <c r="D29" i="5"/>
  <c r="D118" i="5"/>
  <c r="D46" i="5"/>
  <c r="D56" i="5"/>
  <c r="D34" i="5"/>
  <c r="D26" i="5"/>
  <c r="D102" i="5"/>
  <c r="D104" i="5"/>
  <c r="D43" i="5"/>
  <c r="D61" i="5"/>
  <c r="D63" i="5"/>
  <c r="D25" i="5"/>
  <c r="D82" i="5"/>
  <c r="D100" i="5"/>
  <c r="D91" i="5"/>
  <c r="D70" i="5"/>
  <c r="D31" i="5"/>
  <c r="D68" i="5"/>
  <c r="D30" i="5"/>
  <c r="D107" i="5"/>
  <c r="D109" i="5"/>
  <c r="D18" i="5"/>
  <c r="D86" i="5"/>
  <c r="D88" i="5"/>
  <c r="D27" i="5"/>
  <c r="D45" i="5"/>
  <c r="D47" i="5"/>
  <c r="D65" i="5"/>
  <c r="D66" i="5"/>
  <c r="D84" i="5"/>
  <c r="D121" i="5"/>
  <c r="D83" i="5"/>
  <c r="D77" i="5"/>
  <c r="D44" i="5"/>
  <c r="D55" i="5"/>
  <c r="D37" i="5"/>
  <c r="D124" i="5"/>
  <c r="D13" i="5"/>
  <c r="D15" i="5"/>
  <c r="D33" i="5"/>
  <c r="D74" i="5"/>
  <c r="D105" i="5"/>
  <c r="D75" i="5"/>
  <c r="D95" i="5"/>
  <c r="D28" i="5"/>
  <c r="D39" i="5"/>
  <c r="D57" i="5"/>
  <c r="D108" i="5"/>
  <c r="D110" i="5"/>
  <c r="D112" i="5"/>
  <c r="D17" i="5"/>
  <c r="D51" i="5"/>
  <c r="G65" i="3"/>
  <c r="G99" i="3"/>
  <c r="G101" i="3"/>
  <c r="C23" i="7"/>
  <c r="C29" i="7" s="1"/>
  <c r="D125" i="2"/>
  <c r="D127" i="2"/>
  <c r="D131" i="2"/>
  <c r="D129" i="2"/>
  <c r="D126" i="2"/>
  <c r="D130" i="2"/>
  <c r="G77" i="3" l="1"/>
  <c r="G50" i="3"/>
  <c r="G49" i="3"/>
  <c r="G19" i="3"/>
  <c r="G9" i="3"/>
  <c r="G66" i="3"/>
  <c r="G90" i="3"/>
  <c r="G59" i="3"/>
  <c r="G8" i="3"/>
  <c r="G84" i="3"/>
  <c r="G46" i="3"/>
  <c r="G39" i="3"/>
  <c r="G113" i="3"/>
  <c r="G41" i="3"/>
  <c r="G14" i="3"/>
  <c r="G63" i="3"/>
  <c r="G30" i="3"/>
  <c r="G38" i="3"/>
  <c r="G104" i="3"/>
  <c r="G95" i="3"/>
  <c r="G33" i="3"/>
  <c r="G96" i="3"/>
  <c r="G23" i="3"/>
  <c r="G57" i="3"/>
  <c r="G80" i="3"/>
  <c r="G24" i="3"/>
  <c r="G106" i="3"/>
  <c r="G70" i="3"/>
  <c r="G61" i="3"/>
  <c r="G10" i="3"/>
  <c r="G105" i="3"/>
  <c r="G29" i="3"/>
  <c r="G21" i="3"/>
  <c r="G42" i="3"/>
  <c r="G7" i="3"/>
  <c r="G64" i="3"/>
  <c r="G26" i="3"/>
  <c r="G15" i="3"/>
  <c r="G5" i="3"/>
  <c r="G27" i="3"/>
  <c r="G83" i="3"/>
  <c r="G118" i="3"/>
  <c r="G22" i="3"/>
  <c r="G122" i="3"/>
  <c r="G44" i="3"/>
  <c r="G54" i="3"/>
  <c r="G120" i="3"/>
  <c r="G82" i="3"/>
  <c r="G78" i="3"/>
  <c r="G74" i="3"/>
  <c r="G40" i="3"/>
  <c r="G55" i="3"/>
  <c r="G94" i="3"/>
  <c r="G32" i="3"/>
  <c r="G18" i="3"/>
  <c r="G108" i="3"/>
  <c r="G86" i="3"/>
  <c r="G17" i="3"/>
  <c r="G69" i="3"/>
  <c r="G56" i="3"/>
  <c r="G85" i="3"/>
  <c r="G52" i="3"/>
  <c r="G43" i="3"/>
  <c r="G103" i="3"/>
  <c r="G87" i="3"/>
  <c r="G51" i="3"/>
  <c r="G37" i="3"/>
  <c r="G62" i="3"/>
  <c r="G117" i="3"/>
  <c r="G11" i="3"/>
  <c r="G91" i="3"/>
  <c r="G110" i="3"/>
  <c r="G109" i="3"/>
  <c r="G73" i="3"/>
  <c r="G67" i="3"/>
  <c r="G47" i="3"/>
  <c r="G100" i="3"/>
  <c r="G115" i="3"/>
  <c r="G12" i="3"/>
  <c r="F27" i="14"/>
  <c r="G27" i="14"/>
  <c r="E28" i="14"/>
  <c r="D6" i="5"/>
  <c r="G28" i="14" l="1"/>
  <c r="F28" i="14"/>
  <c r="E29" i="14"/>
  <c r="B133" i="5"/>
  <c r="B141" i="5"/>
  <c r="B137" i="5"/>
  <c r="C129" i="2"/>
  <c r="C3" i="6"/>
  <c r="B127" i="3"/>
  <c r="B6" i="6"/>
  <c r="B130" i="2"/>
  <c r="B4" i="6"/>
  <c r="C131" i="2"/>
  <c r="C5" i="6"/>
  <c r="C130" i="2"/>
  <c r="C4" i="6"/>
  <c r="C127" i="3"/>
  <c r="B129" i="2"/>
  <c r="B3" i="6"/>
  <c r="B131" i="2"/>
  <c r="B5" i="6"/>
  <c r="B134" i="5"/>
  <c r="B10" i="6" l="1"/>
  <c r="C16" i="6" s="1"/>
  <c r="F29" i="14"/>
  <c r="G29" i="14"/>
  <c r="E30" i="14"/>
  <c r="B11" i="6"/>
  <c r="B12" i="6" s="1"/>
  <c r="B16" i="6" s="1"/>
  <c r="B138" i="5"/>
  <c r="B142" i="5" s="1"/>
  <c r="F4" i="3"/>
  <c r="E4" i="3"/>
  <c r="E32" i="14" l="1"/>
  <c r="E31" i="14"/>
  <c r="F30" i="14"/>
  <c r="G30" i="14"/>
  <c r="G4" i="3"/>
  <c r="B130" i="3" s="1"/>
  <c r="G31" i="14" l="1"/>
  <c r="F31" i="14"/>
  <c r="F34" i="14" s="1"/>
  <c r="F32" i="14"/>
  <c r="F33" i="14" s="1"/>
  <c r="G32" i="14"/>
  <c r="G34" i="14" l="1"/>
  <c r="G33" i="14"/>
</calcChain>
</file>

<file path=xl/sharedStrings.xml><?xml version="1.0" encoding="utf-8"?>
<sst xmlns="http://schemas.openxmlformats.org/spreadsheetml/2006/main" count="205" uniqueCount="95">
  <si>
    <t>Monthly mean</t>
  </si>
  <si>
    <t>Monthly variance</t>
  </si>
  <si>
    <t>Monthly standard deviation</t>
  </si>
  <si>
    <t>Annual mean</t>
  </si>
  <si>
    <t>Annual variance</t>
  </si>
  <si>
    <t>Annual standard deviation</t>
  </si>
  <si>
    <t>Date</t>
  </si>
  <si>
    <t>AAPL</t>
  </si>
  <si>
    <t>COMPUTING COVARIANCE AND CORRELATION</t>
  </si>
  <si>
    <t>Stock returns</t>
  </si>
  <si>
    <t>Average</t>
  </si>
  <si>
    <t>Return minus average</t>
  </si>
  <si>
    <t>Product</t>
  </si>
  <si>
    <t>Covariance computation</t>
  </si>
  <si>
    <t>Correlation computation</t>
  </si>
  <si>
    <t>Variance</t>
  </si>
  <si>
    <t>Standard deviation</t>
  </si>
  <si>
    <t>CALCULATING THE MEAN AND STANDARD DEVIATION OF A PORTFOLIO</t>
  </si>
  <si>
    <t>Proportion of AAPL</t>
  </si>
  <si>
    <t>AAPL
return</t>
  </si>
  <si>
    <t>Portfolio 
return</t>
  </si>
  <si>
    <t>Asset returns</t>
  </si>
  <si>
    <t>Mean return</t>
  </si>
  <si>
    <t>Covariance</t>
  </si>
  <si>
    <t>Portfolio mean return</t>
  </si>
  <si>
    <t>Portfolio return variance</t>
  </si>
  <si>
    <t>Portfolio return standard deviation</t>
  </si>
  <si>
    <t>Portfolio standard deviation</t>
  </si>
  <si>
    <t>A FOUR-ASSET PORTFOLIO PROBLEM</t>
  </si>
  <si>
    <t>Variance-covariance, S</t>
  </si>
  <si>
    <t>Mean returns E(r)</t>
  </si>
  <si>
    <t>Portfolio x</t>
  </si>
  <si>
    <t>Portfolio y</t>
  </si>
  <si>
    <t>Portfolio x and y statistics:  Mean, variance, covariance, correlation</t>
  </si>
  <si>
    <t>Covariance(x,y)</t>
  </si>
  <si>
    <r>
      <t xml:space="preserve">Correlation </t>
    </r>
    <r>
      <rPr>
        <sz val="11"/>
        <color theme="1"/>
        <rFont val="Symbol"/>
        <family val="1"/>
        <charset val="2"/>
      </rPr>
      <t>r</t>
    </r>
    <r>
      <rPr>
        <vertAlign val="subscript"/>
        <sz val="11"/>
        <color theme="1"/>
        <rFont val="Arial"/>
        <family val="2"/>
      </rPr>
      <t>xy</t>
    </r>
  </si>
  <si>
    <t>Calculating returns of combinations of Portfolio x and Portfolio y</t>
  </si>
  <si>
    <t>Proportion of x</t>
  </si>
  <si>
    <r>
      <t>Mean portfolio return, E(r</t>
    </r>
    <r>
      <rPr>
        <vertAlign val="subscript"/>
        <sz val="11"/>
        <color theme="1"/>
        <rFont val="Arial"/>
        <family val="2"/>
      </rPr>
      <t>p</t>
    </r>
    <r>
      <rPr>
        <sz val="11"/>
        <color theme="1"/>
        <rFont val="Arial"/>
        <family val="2"/>
      </rPr>
      <t>)</t>
    </r>
  </si>
  <si>
    <r>
      <t xml:space="preserve">Portfolio variance </t>
    </r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Arial"/>
        <family val="2"/>
      </rPr>
      <t>p</t>
    </r>
    <r>
      <rPr>
        <vertAlign val="superscript"/>
        <sz val="11"/>
        <color theme="1"/>
        <rFont val="Arial"/>
        <family val="2"/>
      </rPr>
      <t>2</t>
    </r>
  </si>
  <si>
    <t>Table of returns (using Data Table)</t>
  </si>
  <si>
    <t>Mean</t>
  </si>
  <si>
    <t>AAPL
price</t>
  </si>
  <si>
    <t>Google
price</t>
  </si>
  <si>
    <t>Continuous return</t>
  </si>
  <si>
    <t>Discrete return</t>
  </si>
  <si>
    <t>APPLE AND GOOGLE
COMPARING CONTINUOUS AND DISCRETE RETURNS</t>
  </si>
  <si>
    <t>Monthly average</t>
  </si>
  <si>
    <t>Annual average</t>
  </si>
  <si>
    <t>K</t>
  </si>
  <si>
    <t>Kellogg</t>
  </si>
  <si>
    <t>PRICES AND RETURNS FOR APPLE AND KELLOGG
Jan 2009 - Jan 2019</t>
  </si>
  <si>
    <t>Method 1</t>
  </si>
  <si>
    <t>Method 2</t>
  </si>
  <si>
    <t>USING TRENDLINE ON APPL AND KELLOGG RETURNS</t>
  </si>
  <si>
    <t>Proportion of K</t>
  </si>
  <si>
    <t>K
return</t>
  </si>
  <si>
    <t>Method 1:</t>
  </si>
  <si>
    <t>Method 2:</t>
  </si>
  <si>
    <t>Data table, varying the proportion of AAPL</t>
  </si>
  <si>
    <t>&lt;-- solved using solver</t>
  </si>
  <si>
    <t>The global minimum variance portfolio (GMVP), two approaches</t>
  </si>
  <si>
    <t>Math approach</t>
  </si>
  <si>
    <t>CALCULATING THE GLOBAL MINIMUM VARIANCE PORTFOLIO</t>
  </si>
  <si>
    <t>Asset 1</t>
  </si>
  <si>
    <t>Asset 2</t>
  </si>
  <si>
    <t>Asset 3</t>
  </si>
  <si>
    <t>Asset 4</t>
  </si>
  <si>
    <r>
      <t>Mean, E(r</t>
    </r>
    <r>
      <rPr>
        <vertAlign val="subscript"/>
        <sz val="11"/>
        <color theme="1"/>
        <rFont val="Arial"/>
        <family val="2"/>
      </rPr>
      <t>p</t>
    </r>
    <r>
      <rPr>
        <sz val="11"/>
        <color theme="1"/>
        <rFont val="Arial"/>
        <family val="2"/>
      </rPr>
      <t>)</t>
    </r>
  </si>
  <si>
    <r>
      <t xml:space="preserve">Variance </t>
    </r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  <scheme val="minor"/>
      </rPr>
      <t>p</t>
    </r>
    <r>
      <rPr>
        <vertAlign val="superscript"/>
        <sz val="11"/>
        <color theme="1"/>
        <rFont val="Arial"/>
        <family val="2"/>
      </rPr>
      <t>2</t>
    </r>
  </si>
  <si>
    <r>
      <t xml:space="preserve">Std-dev </t>
    </r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  <scheme val="minor"/>
      </rPr>
      <t>p</t>
    </r>
  </si>
  <si>
    <t>Proportion of portfolio x</t>
  </si>
  <si>
    <r>
      <t xml:space="preserve">Portfolio std-dev </t>
    </r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Arial"/>
        <family val="2"/>
      </rPr>
      <t>p</t>
    </r>
  </si>
  <si>
    <t>Sigma</t>
  </si>
  <si>
    <t>Open</t>
  </si>
  <si>
    <t>High</t>
  </si>
  <si>
    <t>Low</t>
  </si>
  <si>
    <t>Close</t>
  </si>
  <si>
    <t>Adj Close</t>
  </si>
  <si>
    <t>Volume</t>
  </si>
  <si>
    <t>Dividends</t>
  </si>
  <si>
    <t>KELLOGG (K) STOCK ADJUSTING FOR DIVIDENDS</t>
  </si>
  <si>
    <t>Year</t>
  </si>
  <si>
    <t>Share price at year end</t>
  </si>
  <si>
    <t>Dividend per share</t>
  </si>
  <si>
    <t>Discretely compounded return</t>
  </si>
  <si>
    <t>Continuously compounded return</t>
  </si>
  <si>
    <t>Average return</t>
  </si>
  <si>
    <t>Standard deviaiton of returns</t>
  </si>
  <si>
    <t>KELLOGG (K) REINVESTING THE DIVIDENDS IN SHARES</t>
  </si>
  <si>
    <t>Effective shares held at year end</t>
  </si>
  <si>
    <t>Value of shares at end of year</t>
  </si>
  <si>
    <r>
      <t xml:space="preserve">APPLE AND KELLOGG CONTINUOUS AND DISCRETE RETURNS
</t>
    </r>
    <r>
      <rPr>
        <b/>
        <sz val="10"/>
        <color theme="1"/>
        <rFont val="Arial"/>
        <family val="2"/>
      </rPr>
      <t>Jan 2009 - Jan 2019</t>
    </r>
  </si>
  <si>
    <t>Adjusted close price</t>
  </si>
  <si>
    <t>Brute-force approach (using Solver)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</si>
</sst>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0"/>
    <numFmt numFmtId="165" formatCode="[$-409]d/mmm/yy;@"/>
    <numFmt numFmtId="166" formatCode="0.0"/>
    <numFmt numFmtId="167" formatCode="0.000000"/>
    <numFmt numFmtId="168" formatCode="#,##0.00000"/>
    <numFmt numFmtId="169" formatCode="#,##0.000000"/>
    <numFmt numFmtId="170" formatCode="#,##0.000"/>
    <numFmt numFmtId="171" formatCode="0.0%"/>
  </numFmts>
  <fonts count="12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4"/>
      <color theme="1"/>
      <name val="Arial"/>
      <family val="2"/>
    </font>
    <font>
      <vertAlign val="subscript"/>
      <sz val="11"/>
      <color theme="1"/>
      <name val="Arial"/>
      <family val="2"/>
    </font>
    <font>
      <sz val="11"/>
      <color theme="1"/>
      <name val="Symbol"/>
      <family val="1"/>
      <charset val="2"/>
    </font>
    <font>
      <vertAlign val="superscript"/>
      <sz val="11"/>
      <color theme="1"/>
      <name val="Arial"/>
      <family val="2"/>
    </font>
    <font>
      <u/>
      <sz val="11"/>
      <color theme="1"/>
      <name val="Arial"/>
      <family val="2"/>
    </font>
    <font>
      <vertAlign val="subscript"/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0"/>
      <color theme="1"/>
      <name val="Arial"/>
      <family val="2"/>
    </font>
    <font>
      <b/>
      <u/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0">
    <xf numFmtId="0" fontId="0" fillId="0" borderId="0" xfId="0"/>
    <xf numFmtId="10" fontId="0" fillId="0" borderId="0" xfId="1" applyNumberFormat="1" applyFont="1"/>
    <xf numFmtId="164" fontId="0" fillId="0" borderId="0" xfId="0" applyNumberFormat="1"/>
    <xf numFmtId="10" fontId="0" fillId="0" borderId="0" xfId="0" applyNumberFormat="1"/>
    <xf numFmtId="0" fontId="2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4" fontId="0" fillId="0" borderId="0" xfId="0" applyNumberFormat="1"/>
    <xf numFmtId="0" fontId="2" fillId="0" borderId="0" xfId="0" applyFont="1"/>
    <xf numFmtId="0" fontId="0" fillId="0" borderId="0" xfId="0" applyAlignment="1">
      <alignment wrapText="1"/>
    </xf>
    <xf numFmtId="10" fontId="0" fillId="0" borderId="0" xfId="1" applyNumberFormat="1" applyFont="1" applyAlignment="1">
      <alignment horizont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0" fontId="0" fillId="0" borderId="0" xfId="0" applyAlignment="1">
      <alignment horizontal="center" wrapText="1"/>
    </xf>
    <xf numFmtId="2" fontId="0" fillId="0" borderId="0" xfId="0" applyNumberFormat="1"/>
    <xf numFmtId="0" fontId="2" fillId="0" borderId="0" xfId="0" applyFont="1" applyAlignment="1">
      <alignment horizontal="center" wrapText="1"/>
    </xf>
    <xf numFmtId="9" fontId="0" fillId="0" borderId="0" xfId="0" applyNumberFormat="1"/>
    <xf numFmtId="16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167" fontId="0" fillId="0" borderId="0" xfId="0" applyNumberFormat="1"/>
    <xf numFmtId="0" fontId="3" fillId="0" borderId="0" xfId="0" applyFont="1" applyAlignment="1"/>
    <xf numFmtId="10" fontId="0" fillId="3" borderId="0" xfId="0" applyNumberFormat="1" applyFill="1"/>
    <xf numFmtId="10" fontId="0" fillId="3" borderId="0" xfId="1" applyNumberFormat="1" applyFont="1" applyFill="1"/>
    <xf numFmtId="0" fontId="0" fillId="0" borderId="0" xfId="0" applyAlignment="1">
      <alignment horizontal="right"/>
    </xf>
    <xf numFmtId="0" fontId="2" fillId="0" borderId="0" xfId="0" applyFont="1" applyAlignment="1">
      <alignment horizontal="center" vertical="center"/>
    </xf>
    <xf numFmtId="15" fontId="0" fillId="0" borderId="0" xfId="0" applyNumberFormat="1"/>
    <xf numFmtId="10" fontId="2" fillId="0" borderId="0" xfId="1" applyNumberFormat="1" applyFont="1" applyAlignment="1">
      <alignment horizontal="center"/>
    </xf>
    <xf numFmtId="0" fontId="2" fillId="0" borderId="0" xfId="0" applyFont="1" applyAlignment="1">
      <alignment horizontal="left"/>
    </xf>
    <xf numFmtId="15" fontId="0" fillId="0" borderId="0" xfId="1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0" fontId="2" fillId="0" borderId="0" xfId="0" applyNumberFormat="1" applyFont="1" applyAlignment="1">
      <alignment horizontal="center"/>
    </xf>
    <xf numFmtId="168" fontId="0" fillId="0" borderId="0" xfId="0" applyNumberFormat="1"/>
    <xf numFmtId="169" fontId="0" fillId="0" borderId="0" xfId="0" applyNumberFormat="1"/>
    <xf numFmtId="9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0" fillId="0" borderId="0" xfId="0" quotePrefix="1"/>
    <xf numFmtId="0" fontId="7" fillId="0" borderId="0" xfId="0" applyFont="1" applyAlignment="1">
      <alignment horizontal="left"/>
    </xf>
    <xf numFmtId="0" fontId="0" fillId="2" borderId="0" xfId="0" applyFill="1" applyAlignment="1">
      <alignment horizontal="left"/>
    </xf>
    <xf numFmtId="10" fontId="0" fillId="2" borderId="0" xfId="0" applyNumberFormat="1" applyFill="1"/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 vertical="center"/>
    </xf>
    <xf numFmtId="166" fontId="0" fillId="0" borderId="0" xfId="0" applyNumberFormat="1"/>
    <xf numFmtId="2" fontId="0" fillId="0" borderId="0" xfId="0" applyNumberFormat="1" applyFont="1"/>
    <xf numFmtId="0" fontId="0" fillId="0" borderId="0" xfId="0" applyAlignment="1"/>
    <xf numFmtId="15" fontId="0" fillId="0" borderId="0" xfId="0" applyNumberFormat="1" applyAlignment="1">
      <alignment wrapText="1"/>
    </xf>
    <xf numFmtId="4" fontId="0" fillId="0" borderId="0" xfId="0" applyNumberFormat="1" applyAlignment="1">
      <alignment wrapText="1"/>
    </xf>
    <xf numFmtId="170" fontId="0" fillId="0" borderId="0" xfId="0" applyNumberFormat="1"/>
    <xf numFmtId="170" fontId="0" fillId="0" borderId="0" xfId="0" applyNumberFormat="1" applyAlignment="1">
      <alignment wrapText="1"/>
    </xf>
    <xf numFmtId="171" fontId="0" fillId="0" borderId="0" xfId="0" applyNumberFormat="1"/>
    <xf numFmtId="170" fontId="2" fillId="0" borderId="0" xfId="0" applyNumberFormat="1" applyFont="1"/>
    <xf numFmtId="0" fontId="2" fillId="0" borderId="0" xfId="0" applyFont="1" applyAlignment="1">
      <alignment horizontal="right"/>
    </xf>
    <xf numFmtId="171" fontId="2" fillId="0" borderId="0" xfId="0" applyNumberFormat="1" applyFont="1"/>
    <xf numFmtId="10" fontId="2" fillId="0" borderId="0" xfId="0" applyNumberFormat="1" applyFont="1"/>
    <xf numFmtId="0" fontId="2" fillId="0" borderId="0" xfId="0" applyFont="1" applyAlignment="1">
      <alignment horizontal="center" vertical="center" wrapText="1"/>
    </xf>
    <xf numFmtId="4" fontId="2" fillId="0" borderId="0" xfId="0" applyNumberFormat="1" applyFont="1"/>
    <xf numFmtId="3" fontId="0" fillId="0" borderId="0" xfId="0" applyNumberFormat="1"/>
    <xf numFmtId="3" fontId="2" fillId="0" borderId="0" xfId="0" applyNumberFormat="1" applyFont="1"/>
    <xf numFmtId="3" fontId="0" fillId="0" borderId="0" xfId="0" applyNumberFormat="1" applyAlignment="1">
      <alignment wrapText="1"/>
    </xf>
    <xf numFmtId="10" fontId="2" fillId="0" borderId="0" xfId="1" applyNumberFormat="1" applyFont="1"/>
    <xf numFmtId="164" fontId="2" fillId="0" borderId="0" xfId="0" applyNumberFormat="1" applyFont="1"/>
    <xf numFmtId="15" fontId="0" fillId="0" borderId="0" xfId="0" applyNumberFormat="1" applyAlignment="1">
      <alignment horizontal="center"/>
    </xf>
    <xf numFmtId="0" fontId="3" fillId="0" borderId="0" xfId="0" applyFont="1" applyAlignment="1">
      <alignment horizontal="center" wrapText="1"/>
    </xf>
    <xf numFmtId="0" fontId="0" fillId="2" borderId="0" xfId="0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wrapText="1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Graphing K (y-axis) against AAPL (x-axis) and using Trendline
Note that R</a:t>
            </a:r>
            <a:r>
              <a:rPr lang="en-US" sz="1200" baseline="30000"/>
              <a:t>2</a:t>
            </a:r>
            <a:r>
              <a:rPr lang="en-US" sz="1200"/>
              <a:t> = correlation</a:t>
            </a:r>
            <a:r>
              <a:rPr lang="en-US" sz="1200" baseline="30000"/>
              <a:t>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454652403380026E-2"/>
          <c:y val="0.23086388026561955"/>
          <c:w val="0.89227222756351743"/>
          <c:h val="0.72082228298486184"/>
        </c:manualLayout>
      </c:layout>
      <c:scatterChart>
        <c:scatterStyle val="lineMarker"/>
        <c:varyColors val="0"/>
        <c:ser>
          <c:idx val="0"/>
          <c:order val="0"/>
          <c:tx>
            <c:strRef>
              <c:f>Trendline!$C$3</c:f>
              <c:strCache>
                <c:ptCount val="1"/>
                <c:pt idx="0">
                  <c:v>K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-0.60603007717277879"/>
                  <c:y val="-0.27142138844867786"/>
                </c:manualLayout>
              </c:layout>
              <c:numFmt formatCode="General" sourceLinked="0"/>
              <c:spPr>
                <a:solidFill>
                  <a:schemeClr val="accent1">
                    <a:lumMod val="20000"/>
                    <a:lumOff val="80000"/>
                  </a:schemeClr>
                </a:solidFill>
              </c:spPr>
              <c:txPr>
                <a:bodyPr/>
                <a:lstStyle/>
                <a:p>
                  <a:pPr>
                    <a:defRPr b="1"/>
                  </a:pPr>
                  <a:endParaRPr lang="en-US"/>
                </a:p>
              </c:txPr>
            </c:trendlineLbl>
          </c:trendline>
          <c:xVal>
            <c:numRef>
              <c:f>Trendline!$B$4:$B$122</c:f>
              <c:numCache>
                <c:formatCode>0.00%</c:formatCode>
                <c:ptCount val="119"/>
                <c:pt idx="0">
                  <c:v>-0.12060544914787433</c:v>
                </c:pt>
                <c:pt idx="1">
                  <c:v>-0.20339554632600876</c:v>
                </c:pt>
                <c:pt idx="2">
                  <c:v>-3.0951701391631649E-2</c:v>
                </c:pt>
                <c:pt idx="3">
                  <c:v>-4.8366106134015195E-3</c:v>
                </c:pt>
                <c:pt idx="4">
                  <c:v>0.17917233187127421</c:v>
                </c:pt>
                <c:pt idx="5">
                  <c:v>2.7598887839150311E-2</c:v>
                </c:pt>
                <c:pt idx="6">
                  <c:v>-5.6142405580539871E-3</c:v>
                </c:pt>
                <c:pt idx="7">
                  <c:v>0.12289326386661924</c:v>
                </c:pt>
                <c:pt idx="8">
                  <c:v>-1.5133636467927848E-2</c:v>
                </c:pt>
                <c:pt idx="9">
                  <c:v>-5.5735023670836853E-2</c:v>
                </c:pt>
                <c:pt idx="10">
                  <c:v>6.1892137187384975E-2</c:v>
                </c:pt>
                <c:pt idx="11">
                  <c:v>-1.0693511068397676E-2</c:v>
                </c:pt>
                <c:pt idx="12">
                  <c:v>-1.1774756619693866E-2</c:v>
                </c:pt>
                <c:pt idx="13">
                  <c:v>1.6486598492966249E-2</c:v>
                </c:pt>
                <c:pt idx="14">
                  <c:v>9.2403994893137831E-2</c:v>
                </c:pt>
                <c:pt idx="15">
                  <c:v>-5.8215744133111216E-2</c:v>
                </c:pt>
                <c:pt idx="16">
                  <c:v>9.7734009206961375E-2</c:v>
                </c:pt>
                <c:pt idx="17">
                  <c:v>3.2180259892837251E-2</c:v>
                </c:pt>
                <c:pt idx="18">
                  <c:v>-5.4796785860792403E-2</c:v>
                </c:pt>
                <c:pt idx="19">
                  <c:v>6.1488392155418861E-2</c:v>
                </c:pt>
                <c:pt idx="20">
                  <c:v>-6.9779089266844212E-5</c:v>
                </c:pt>
                <c:pt idx="21">
                  <c:v>5.186772067849077E-2</c:v>
                </c:pt>
                <c:pt idx="22">
                  <c:v>0.12122896059991176</c:v>
                </c:pt>
                <c:pt idx="23">
                  <c:v>4.6641729923096294E-2</c:v>
                </c:pt>
                <c:pt idx="24">
                  <c:v>5.1961893797766889E-2</c:v>
                </c:pt>
                <c:pt idx="25">
                  <c:v>-2.6958815702871286E-2</c:v>
                </c:pt>
                <c:pt idx="26">
                  <c:v>4.3249837686929271E-3</c:v>
                </c:pt>
                <c:pt idx="27">
                  <c:v>6.8850853926348474E-2</c:v>
                </c:pt>
                <c:pt idx="28">
                  <c:v>1.7973893476060612E-2</c:v>
                </c:pt>
                <c:pt idx="29">
                  <c:v>8.6235254938462166E-2</c:v>
                </c:pt>
                <c:pt idx="30">
                  <c:v>-3.7526417648364709E-2</c:v>
                </c:pt>
                <c:pt idx="31">
                  <c:v>6.3244347576697169E-2</c:v>
                </c:pt>
                <c:pt idx="32">
                  <c:v>-0.15073127149063728</c:v>
                </c:pt>
                <c:pt idx="33">
                  <c:v>0.12515770247534916</c:v>
                </c:pt>
                <c:pt idx="34">
                  <c:v>-6.6999269060085574E-3</c:v>
                </c:pt>
                <c:pt idx="35">
                  <c:v>-7.8223471566607181E-2</c:v>
                </c:pt>
                <c:pt idx="36">
                  <c:v>-0.11251880068259988</c:v>
                </c:pt>
                <c:pt idx="37">
                  <c:v>-1.0092751987705661E-2</c:v>
                </c:pt>
                <c:pt idx="38">
                  <c:v>8.0112422362387081E-2</c:v>
                </c:pt>
                <c:pt idx="39">
                  <c:v>-1.8959506852724829E-2</c:v>
                </c:pt>
                <c:pt idx="40">
                  <c:v>-7.1587104068490684E-2</c:v>
                </c:pt>
                <c:pt idx="41">
                  <c:v>-3.348093898422045E-2</c:v>
                </c:pt>
                <c:pt idx="42">
                  <c:v>-3.3769804060179459E-2</c:v>
                </c:pt>
                <c:pt idx="43">
                  <c:v>4.0172822193584826E-2</c:v>
                </c:pt>
                <c:pt idx="44">
                  <c:v>5.769885673670077E-3</c:v>
                </c:pt>
                <c:pt idx="45">
                  <c:v>-2.7935606365857572E-2</c:v>
                </c:pt>
                <c:pt idx="46">
                  <c:v>9.2077105043209415E-2</c:v>
                </c:pt>
                <c:pt idx="47">
                  <c:v>5.9611590767431326E-2</c:v>
                </c:pt>
                <c:pt idx="48">
                  <c:v>-7.0279312581139133E-2</c:v>
                </c:pt>
                <c:pt idx="49">
                  <c:v>9.640398815914436E-2</c:v>
                </c:pt>
                <c:pt idx="50">
                  <c:v>6.9489005002121809E-2</c:v>
                </c:pt>
                <c:pt idx="51">
                  <c:v>-1.2258742758189969E-2</c:v>
                </c:pt>
                <c:pt idx="52">
                  <c:v>6.9689915730000301E-2</c:v>
                </c:pt>
                <c:pt idx="53">
                  <c:v>2.8326287757557078E-2</c:v>
                </c:pt>
                <c:pt idx="54">
                  <c:v>6.6942249910657281E-2</c:v>
                </c:pt>
                <c:pt idx="55">
                  <c:v>7.0195609177416365E-2</c:v>
                </c:pt>
                <c:pt idx="56">
                  <c:v>9.4761408163302557E-2</c:v>
                </c:pt>
                <c:pt idx="57">
                  <c:v>6.2299784568121873E-2</c:v>
                </c:pt>
                <c:pt idx="58">
                  <c:v>4.9950146236972089E-2</c:v>
                </c:pt>
                <c:pt idx="59">
                  <c:v>-0.11394935387957596</c:v>
                </c:pt>
                <c:pt idx="60">
                  <c:v>5.03427966552496E-2</c:v>
                </c:pt>
                <c:pt idx="61">
                  <c:v>6.1886721555747294E-2</c:v>
                </c:pt>
                <c:pt idx="62">
                  <c:v>9.2015184988865406E-2</c:v>
                </c:pt>
                <c:pt idx="63">
                  <c:v>2.528008176933963E-2</c:v>
                </c:pt>
                <c:pt idx="64">
                  <c:v>7.3861726107924061E-2</c:v>
                </c:pt>
                <c:pt idx="65">
                  <c:v>0.13210205184677712</c:v>
                </c:pt>
                <c:pt idx="66">
                  <c:v>-7.877377903156231E-2</c:v>
                </c:pt>
                <c:pt idx="67">
                  <c:v>1.5574579732374539E-2</c:v>
                </c:pt>
                <c:pt idx="68">
                  <c:v>2.7093593488165661E-4</c:v>
                </c:pt>
                <c:pt idx="69">
                  <c:v>4.425549471421529E-2</c:v>
                </c:pt>
                <c:pt idx="70">
                  <c:v>-3.14221629752853E-2</c:v>
                </c:pt>
                <c:pt idx="71">
                  <c:v>-0.15558907021766993</c:v>
                </c:pt>
                <c:pt idx="72">
                  <c:v>-6.278341324704087E-2</c:v>
                </c:pt>
                <c:pt idx="73">
                  <c:v>-1.7009228134492078E-2</c:v>
                </c:pt>
                <c:pt idx="74">
                  <c:v>-0.11384054355176348</c:v>
                </c:pt>
                <c:pt idx="75">
                  <c:v>3.3175234820611556E-2</c:v>
                </c:pt>
                <c:pt idx="76">
                  <c:v>8.5443927510820875E-2</c:v>
                </c:pt>
                <c:pt idx="77">
                  <c:v>4.4803079652886366E-2</c:v>
                </c:pt>
                <c:pt idx="78">
                  <c:v>1.0794044610391084E-2</c:v>
                </c:pt>
                <c:pt idx="79">
                  <c:v>-1.0760105764054529E-2</c:v>
                </c:pt>
                <c:pt idx="80">
                  <c:v>-2.6312522384197522E-2</c:v>
                </c:pt>
                <c:pt idx="81">
                  <c:v>0.1001018723259286</c:v>
                </c:pt>
                <c:pt idx="82">
                  <c:v>0.17253272365200584</c:v>
                </c:pt>
                <c:pt idx="83">
                  <c:v>0.11965778366501913</c:v>
                </c:pt>
                <c:pt idx="84">
                  <c:v>5.7942882909883787E-2</c:v>
                </c:pt>
                <c:pt idx="85">
                  <c:v>-5.7399698294657964E-2</c:v>
                </c:pt>
                <c:pt idx="86">
                  <c:v>5.9704656309112342E-2</c:v>
                </c:pt>
                <c:pt idx="87">
                  <c:v>-9.1623742544899751E-3</c:v>
                </c:pt>
                <c:pt idx="88">
                  <c:v>-1.4575148075378373E-2</c:v>
                </c:pt>
                <c:pt idx="89">
                  <c:v>0.15124817703954213</c:v>
                </c:pt>
                <c:pt idx="90">
                  <c:v>-3.5585106846870038E-2</c:v>
                </c:pt>
                <c:pt idx="91">
                  <c:v>-6.5907083685697943E-3</c:v>
                </c:pt>
                <c:pt idx="92">
                  <c:v>4.637462170940054E-3</c:v>
                </c:pt>
                <c:pt idx="93">
                  <c:v>-1.3396018114221324E-2</c:v>
                </c:pt>
                <c:pt idx="94">
                  <c:v>4.0119263967248533E-2</c:v>
                </c:pt>
                <c:pt idx="95">
                  <c:v>5.0654093457427614E-2</c:v>
                </c:pt>
                <c:pt idx="96">
                  <c:v>3.6014516448256047E-2</c:v>
                </c:pt>
                <c:pt idx="97">
                  <c:v>3.3230999815200966E-2</c:v>
                </c:pt>
                <c:pt idx="98">
                  <c:v>5.8950422157251561E-2</c:v>
                </c:pt>
                <c:pt idx="99">
                  <c:v>0.15462062541137916</c:v>
                </c:pt>
                <c:pt idx="100">
                  <c:v>-5.6575420975125419E-2</c:v>
                </c:pt>
                <c:pt idx="101">
                  <c:v>2.2486219627365481E-2</c:v>
                </c:pt>
                <c:pt idx="102">
                  <c:v>-2.1047152257473754E-2</c:v>
                </c:pt>
                <c:pt idx="103">
                  <c:v>-1.6255864688260405E-2</c:v>
                </c:pt>
                <c:pt idx="104">
                  <c:v>0.10527979060113814</c:v>
                </c:pt>
                <c:pt idx="105">
                  <c:v>0.13843072261054745</c:v>
                </c:pt>
                <c:pt idx="106">
                  <c:v>6.3346820771750079E-2</c:v>
                </c:pt>
                <c:pt idx="107">
                  <c:v>-9.2769972651683186E-2</c:v>
                </c:pt>
                <c:pt idx="108">
                  <c:v>5.271094910580109E-2</c:v>
                </c:pt>
                <c:pt idx="109">
                  <c:v>5.8768730172218744E-2</c:v>
                </c:pt>
                <c:pt idx="110">
                  <c:v>1.6852054831431509E-2</c:v>
                </c:pt>
                <c:pt idx="111">
                  <c:v>9.7032976419659439E-2</c:v>
                </c:pt>
                <c:pt idx="112">
                  <c:v>2.9073316510300224E-2</c:v>
                </c:pt>
                <c:pt idx="113">
                  <c:v>0.13728922955037989</c:v>
                </c:pt>
                <c:pt idx="114">
                  <c:v>4.7593717264136394E-2</c:v>
                </c:pt>
                <c:pt idx="115">
                  <c:v>7.6324928749680512E-2</c:v>
                </c:pt>
                <c:pt idx="116">
                  <c:v>0.17982937483629954</c:v>
                </c:pt>
                <c:pt idx="117">
                  <c:v>0.16298894786765122</c:v>
                </c:pt>
                <c:pt idx="118">
                  <c:v>-9.1395831936074562E-3</c:v>
                </c:pt>
              </c:numCache>
            </c:numRef>
          </c:xVal>
          <c:yVal>
            <c:numRef>
              <c:f>Trendline!$C$4:$C$122</c:f>
              <c:numCache>
                <c:formatCode>0.00%</c:formatCode>
                <c:ptCount val="119"/>
                <c:pt idx="0">
                  <c:v>-0.10127955443263523</c:v>
                </c:pt>
                <c:pt idx="1">
                  <c:v>-2.8345446386111743E-2</c:v>
                </c:pt>
                <c:pt idx="2">
                  <c:v>-6.7036101839614837E-2</c:v>
                </c:pt>
                <c:pt idx="3">
                  <c:v>-1.7128780322179672E-2</c:v>
                </c:pt>
                <c:pt idx="4">
                  <c:v>1.0642976109089951E-2</c:v>
                </c:pt>
                <c:pt idx="5">
                  <c:v>1.646583209338915E-2</c:v>
                </c:pt>
                <c:pt idx="6">
                  <c:v>8.9897280865844614E-2</c:v>
                </c:pt>
                <c:pt idx="7">
                  <c:v>8.9117209341012499E-2</c:v>
                </c:pt>
                <c:pt idx="8">
                  <c:v>-9.0596719136717449E-2</c:v>
                </c:pt>
                <c:pt idx="9">
                  <c:v>-1.8139248304434259E-2</c:v>
                </c:pt>
                <c:pt idx="10">
                  <c:v>-2.844367511200694E-2</c:v>
                </c:pt>
                <c:pt idx="11">
                  <c:v>1.9105097893157086E-3</c:v>
                </c:pt>
                <c:pt idx="12">
                  <c:v>4.8644400540017625E-2</c:v>
                </c:pt>
                <c:pt idx="13">
                  <c:v>4.3039395618039149E-2</c:v>
                </c:pt>
                <c:pt idx="14">
                  <c:v>2.5619986777041764E-3</c:v>
                </c:pt>
                <c:pt idx="15">
                  <c:v>-4.0176705273349524E-2</c:v>
                </c:pt>
                <c:pt idx="16">
                  <c:v>-3.8068472802024099E-2</c:v>
                </c:pt>
                <c:pt idx="17">
                  <c:v>-2.124338932319263E-2</c:v>
                </c:pt>
                <c:pt idx="18">
                  <c:v>-2.3157594131138274E-2</c:v>
                </c:pt>
                <c:pt idx="19">
                  <c:v>8.4151498773705272E-3</c:v>
                </c:pt>
                <c:pt idx="20">
                  <c:v>-2.2422634199798841E-2</c:v>
                </c:pt>
                <c:pt idx="21">
                  <c:v>-1.2972030708049111E-2</c:v>
                </c:pt>
                <c:pt idx="22">
                  <c:v>1.8531722154569764E-2</c:v>
                </c:pt>
                <c:pt idx="23">
                  <c:v>-1.3659367215252205E-2</c:v>
                </c:pt>
                <c:pt idx="24">
                  <c:v>3.0534592450257136E-2</c:v>
                </c:pt>
                <c:pt idx="25">
                  <c:v>-4.2553949775697097E-2</c:v>
                </c:pt>
                <c:pt idx="26">
                  <c:v>-3.0670877482395959E-2</c:v>
                </c:pt>
                <c:pt idx="27">
                  <c:v>-5.3109529125624423E-2</c:v>
                </c:pt>
                <c:pt idx="28">
                  <c:v>-6.0637724807484673E-3</c:v>
                </c:pt>
                <c:pt idx="29">
                  <c:v>1.2898796747206988E-2</c:v>
                </c:pt>
                <c:pt idx="30">
                  <c:v>0.10004862617064693</c:v>
                </c:pt>
                <c:pt idx="31">
                  <c:v>-3.228212308558543E-2</c:v>
                </c:pt>
                <c:pt idx="32">
                  <c:v>3.39062910569403E-3</c:v>
                </c:pt>
                <c:pt idx="33">
                  <c:v>4.0305900937300021E-2</c:v>
                </c:pt>
                <c:pt idx="34">
                  <c:v>7.8664799627023961E-3</c:v>
                </c:pt>
                <c:pt idx="35">
                  <c:v>1.6059912097553433E-2</c:v>
                </c:pt>
                <c:pt idx="36">
                  <c:v>5.6895312000143583E-2</c:v>
                </c:pt>
                <c:pt idx="37">
                  <c:v>-2.5128821564664408E-2</c:v>
                </c:pt>
                <c:pt idx="38">
                  <c:v>5.7942558993461672E-2</c:v>
                </c:pt>
                <c:pt idx="39">
                  <c:v>1.1516169301347825E-2</c:v>
                </c:pt>
                <c:pt idx="40">
                  <c:v>1.6608028265237701E-3</c:v>
                </c:pt>
                <c:pt idx="41">
                  <c:v>5.3865707695234903E-2</c:v>
                </c:pt>
                <c:pt idx="42">
                  <c:v>6.6626039142650478E-3</c:v>
                </c:pt>
                <c:pt idx="43">
                  <c:v>-8.8818126508505551E-3</c:v>
                </c:pt>
                <c:pt idx="44">
                  <c:v>-3.2942430486370675E-2</c:v>
                </c:pt>
                <c:pt idx="45">
                  <c:v>2.2541764870257896E-2</c:v>
                </c:pt>
                <c:pt idx="46">
                  <c:v>-1.6915811747022877E-2</c:v>
                </c:pt>
                <c:pt idx="47">
                  <c:v>2.1369778230634936E-3</c:v>
                </c:pt>
                <c:pt idx="48">
                  <c:v>-4.7511008252483283E-3</c:v>
                </c:pt>
                <c:pt idx="49">
                  <c:v>3.5177810436369653E-2</c:v>
                </c:pt>
                <c:pt idx="50">
                  <c:v>3.7595884789121473E-2</c:v>
                </c:pt>
                <c:pt idx="51">
                  <c:v>-4.5729328184746572E-2</c:v>
                </c:pt>
                <c:pt idx="52">
                  <c:v>8.241863193198376E-2</c:v>
                </c:pt>
                <c:pt idx="53">
                  <c:v>-9.3591907020372775E-2</c:v>
                </c:pt>
                <c:pt idx="54">
                  <c:v>-4.1932136438268985E-2</c:v>
                </c:pt>
                <c:pt idx="55">
                  <c:v>3.1664750172367459E-2</c:v>
                </c:pt>
                <c:pt idx="56">
                  <c:v>7.1241974157682339E-2</c:v>
                </c:pt>
                <c:pt idx="57">
                  <c:v>3.2741924695456226E-2</c:v>
                </c:pt>
                <c:pt idx="58">
                  <c:v>4.5681031959037381E-2</c:v>
                </c:pt>
                <c:pt idx="59">
                  <c:v>-5.1922852667961435E-2</c:v>
                </c:pt>
                <c:pt idx="60">
                  <c:v>1.454589436375049E-2</c:v>
                </c:pt>
                <c:pt idx="61">
                  <c:v>-4.2140314756534507E-2</c:v>
                </c:pt>
                <c:pt idx="62">
                  <c:v>7.4144329652407942E-2</c:v>
                </c:pt>
                <c:pt idx="63">
                  <c:v>-2.5598030418524428E-2</c:v>
                </c:pt>
                <c:pt idx="64">
                  <c:v>-8.7176190915463553E-2</c:v>
                </c:pt>
                <c:pt idx="65">
                  <c:v>3.0814137045351003E-2</c:v>
                </c:pt>
                <c:pt idx="66">
                  <c:v>4.147113237600298E-2</c:v>
                </c:pt>
                <c:pt idx="67">
                  <c:v>-4.7061905590419478E-2</c:v>
                </c:pt>
                <c:pt idx="68">
                  <c:v>9.4230338982560311E-3</c:v>
                </c:pt>
                <c:pt idx="69">
                  <c:v>7.0236559325180206E-2</c:v>
                </c:pt>
                <c:pt idx="70">
                  <c:v>3.3616583495417483E-2</c:v>
                </c:pt>
                <c:pt idx="71">
                  <c:v>4.635711167231342E-2</c:v>
                </c:pt>
                <c:pt idx="72">
                  <c:v>1.4927001401711633E-2</c:v>
                </c:pt>
                <c:pt idx="73">
                  <c:v>5.8283357022854705E-2</c:v>
                </c:pt>
                <c:pt idx="74">
                  <c:v>1.2694903426794076E-2</c:v>
                </c:pt>
                <c:pt idx="75">
                  <c:v>2.833847675805343E-2</c:v>
                </c:pt>
                <c:pt idx="76">
                  <c:v>6.0007829877709876E-2</c:v>
                </c:pt>
                <c:pt idx="77">
                  <c:v>-3.3601340670216528E-2</c:v>
                </c:pt>
                <c:pt idx="78">
                  <c:v>1.9766929913424238E-2</c:v>
                </c:pt>
                <c:pt idx="79">
                  <c:v>-3.603809909189918E-2</c:v>
                </c:pt>
                <c:pt idx="80">
                  <c:v>-5.8750062326359903E-2</c:v>
                </c:pt>
                <c:pt idx="81">
                  <c:v>3.2318489923243605E-2</c:v>
                </c:pt>
                <c:pt idx="82">
                  <c:v>5.5575139189848612E-2</c:v>
                </c:pt>
                <c:pt idx="83">
                  <c:v>-2.0981974039671596E-2</c:v>
                </c:pt>
                <c:pt idx="84">
                  <c:v>3.7161599108149042E-2</c:v>
                </c:pt>
                <c:pt idx="85">
                  <c:v>-9.7784798880145074E-2</c:v>
                </c:pt>
                <c:pt idx="86">
                  <c:v>1.8995125155575675E-2</c:v>
                </c:pt>
                <c:pt idx="87">
                  <c:v>-1.3051258179502197E-2</c:v>
                </c:pt>
                <c:pt idx="88">
                  <c:v>-2.652293211084138E-2</c:v>
                </c:pt>
                <c:pt idx="89">
                  <c:v>8.2811146004195119E-3</c:v>
                </c:pt>
                <c:pt idx="90">
                  <c:v>-2.2583147116158272E-2</c:v>
                </c:pt>
                <c:pt idx="91">
                  <c:v>-4.9011169559721466E-3</c:v>
                </c:pt>
                <c:pt idx="92">
                  <c:v>5.9163503688842087E-2</c:v>
                </c:pt>
                <c:pt idx="93">
                  <c:v>1.5467028061682707E-2</c:v>
                </c:pt>
                <c:pt idx="94">
                  <c:v>6.2797663392619454E-2</c:v>
                </c:pt>
                <c:pt idx="95">
                  <c:v>-1.5388182553408857E-2</c:v>
                </c:pt>
                <c:pt idx="96">
                  <c:v>4.5109042294686735E-2</c:v>
                </c:pt>
                <c:pt idx="97">
                  <c:v>-2.0706576155375384E-2</c:v>
                </c:pt>
                <c:pt idx="98">
                  <c:v>-4.9615651172647381E-3</c:v>
                </c:pt>
                <c:pt idx="99">
                  <c:v>2.4622627812122235E-2</c:v>
                </c:pt>
                <c:pt idx="100">
                  <c:v>-7.4204705417428851E-3</c:v>
                </c:pt>
                <c:pt idx="101">
                  <c:v>-4.9821746845733709E-3</c:v>
                </c:pt>
                <c:pt idx="102">
                  <c:v>-5.3254588882322713E-2</c:v>
                </c:pt>
                <c:pt idx="103">
                  <c:v>-2.7869342827523631E-2</c:v>
                </c:pt>
                <c:pt idx="104">
                  <c:v>2.7869342827523579E-2</c:v>
                </c:pt>
                <c:pt idx="105">
                  <c:v>3.1442883779947424E-2</c:v>
                </c:pt>
                <c:pt idx="106">
                  <c:v>-4.260778800395406E-2</c:v>
                </c:pt>
                <c:pt idx="107">
                  <c:v>2.2673225895911069E-2</c:v>
                </c:pt>
                <c:pt idx="108">
                  <c:v>1.8827577427685521E-2</c:v>
                </c:pt>
                <c:pt idx="109">
                  <c:v>1.997787119485684E-2</c:v>
                </c:pt>
                <c:pt idx="110">
                  <c:v>4.5854840830725919E-2</c:v>
                </c:pt>
                <c:pt idx="111">
                  <c:v>5.2459933479165811E-2</c:v>
                </c:pt>
                <c:pt idx="112">
                  <c:v>-8.6692925354493293E-3</c:v>
                </c:pt>
                <c:pt idx="113">
                  <c:v>1.9773470388389794E-2</c:v>
                </c:pt>
                <c:pt idx="114">
                  <c:v>8.1855323308452549E-2</c:v>
                </c:pt>
                <c:pt idx="115">
                  <c:v>2.6711765312306745E-2</c:v>
                </c:pt>
                <c:pt idx="116">
                  <c:v>0.13941774256888045</c:v>
                </c:pt>
                <c:pt idx="117">
                  <c:v>-5.1818552970314548E-2</c:v>
                </c:pt>
                <c:pt idx="118">
                  <c:v>-0.11561085485906979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B3-4BBF-BBF2-D44196EB0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601896"/>
        <c:axId val="317875912"/>
      </c:scatterChart>
      <c:valAx>
        <c:axId val="475601896"/>
        <c:scaling>
          <c:orientation val="minMax"/>
        </c:scaling>
        <c:delete val="0"/>
        <c:axPos val="b"/>
        <c:numFmt formatCode="0%" sourceLinked="0"/>
        <c:majorTickMark val="out"/>
        <c:minorTickMark val="none"/>
        <c:tickLblPos val="nextTo"/>
        <c:crossAx val="317875912"/>
        <c:crosses val="autoZero"/>
        <c:crossBetween val="midCat"/>
      </c:valAx>
      <c:valAx>
        <c:axId val="317875912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crossAx val="475601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Portfolio E(r</a:t>
            </a:r>
            <a:r>
              <a:rPr lang="en-US" b="1" baseline="-25000"/>
              <a:t>p</a:t>
            </a:r>
            <a:r>
              <a:rPr lang="en-US" b="1"/>
              <a:t>) and </a:t>
            </a:r>
            <a:r>
              <a:rPr lang="el-GR" b="1"/>
              <a:t>σ</a:t>
            </a:r>
            <a:r>
              <a:rPr lang="en-US" b="1" baseline="-25000"/>
              <a:t>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'Portfolio mean and sigma2'!$B$17:$B$37</c:f>
              <c:numCache>
                <c:formatCode>0.00%</c:formatCode>
                <c:ptCount val="21"/>
                <c:pt idx="0">
                  <c:v>6.8530405622918164E-2</c:v>
                </c:pt>
                <c:pt idx="1">
                  <c:v>6.2767898633917255E-2</c:v>
                </c:pt>
                <c:pt idx="2">
                  <c:v>5.7425741317117779E-2</c:v>
                </c:pt>
                <c:pt idx="3">
                  <c:v>5.2632086178966329E-2</c:v>
                </c:pt>
                <c:pt idx="4">
                  <c:v>4.8549678558220608E-2</c:v>
                </c:pt>
                <c:pt idx="5">
                  <c:v>4.5370917375448204E-2</c:v>
                </c:pt>
                <c:pt idx="6">
                  <c:v>4.3295300688408964E-2</c:v>
                </c:pt>
                <c:pt idx="7">
                  <c:v>4.2484821321697237E-2</c:v>
                </c:pt>
                <c:pt idx="8">
                  <c:v>4.301105772473085E-2</c:v>
                </c:pt>
                <c:pt idx="9">
                  <c:v>4.482695833190687E-2</c:v>
                </c:pt>
                <c:pt idx="10">
                  <c:v>4.7785723420365793E-2</c:v>
                </c:pt>
                <c:pt idx="11">
                  <c:v>5.1691475072314128E-2</c:v>
                </c:pt>
                <c:pt idx="12">
                  <c:v>5.634763429215503E-2</c:v>
                </c:pt>
                <c:pt idx="13">
                  <c:v>6.158422889279376E-2</c:v>
                </c:pt>
                <c:pt idx="14">
                  <c:v>6.7265835824320053E-2</c:v>
                </c:pt>
                <c:pt idx="15">
                  <c:v>7.328903159952066E-2</c:v>
                </c:pt>
                <c:pt idx="16">
                  <c:v>7.9576288549249988E-2</c:v>
                </c:pt>
                <c:pt idx="17">
                  <c:v>8.6069758385731762E-2</c:v>
                </c:pt>
                <c:pt idx="18">
                  <c:v>9.2726128899624588E-2</c:v>
                </c:pt>
                <c:pt idx="19">
                  <c:v>9.9512716351570538E-2</c:v>
                </c:pt>
                <c:pt idx="20">
                  <c:v>0.10640460757623832</c:v>
                </c:pt>
              </c:numCache>
            </c:numRef>
          </c:xVal>
          <c:yVal>
            <c:numRef>
              <c:f>'Portfolio mean and sigma2'!$C$17:$C$37</c:f>
              <c:numCache>
                <c:formatCode>0.00%</c:formatCode>
                <c:ptCount val="21"/>
                <c:pt idx="0">
                  <c:v>-4.9970274997592464E-3</c:v>
                </c:pt>
                <c:pt idx="1">
                  <c:v>-3.0355527970014774E-3</c:v>
                </c:pt>
                <c:pt idx="2">
                  <c:v>-1.0740780942437049E-3</c:v>
                </c:pt>
                <c:pt idx="3">
                  <c:v>8.8739660851406416E-4</c:v>
                </c:pt>
                <c:pt idx="4">
                  <c:v>2.8488713112718358E-3</c:v>
                </c:pt>
                <c:pt idx="5">
                  <c:v>4.8103460140296057E-3</c:v>
                </c:pt>
                <c:pt idx="6">
                  <c:v>6.7718207167873764E-3</c:v>
                </c:pt>
                <c:pt idx="7">
                  <c:v>8.7332954195451472E-3</c:v>
                </c:pt>
                <c:pt idx="8">
                  <c:v>1.0694770122302917E-2</c:v>
                </c:pt>
                <c:pt idx="9">
                  <c:v>1.2656244825060687E-2</c:v>
                </c:pt>
                <c:pt idx="10">
                  <c:v>1.4617719527818457E-2</c:v>
                </c:pt>
                <c:pt idx="11">
                  <c:v>1.6579194230576227E-2</c:v>
                </c:pt>
                <c:pt idx="12">
                  <c:v>1.8540668933333997E-2</c:v>
                </c:pt>
                <c:pt idx="13">
                  <c:v>2.050214363609177E-2</c:v>
                </c:pt>
                <c:pt idx="14">
                  <c:v>2.246361833884954E-2</c:v>
                </c:pt>
                <c:pt idx="15">
                  <c:v>2.442509304160731E-2</c:v>
                </c:pt>
                <c:pt idx="16">
                  <c:v>2.6386567744365083E-2</c:v>
                </c:pt>
                <c:pt idx="17">
                  <c:v>2.834804244712285E-2</c:v>
                </c:pt>
                <c:pt idx="18">
                  <c:v>3.0309517149880623E-2</c:v>
                </c:pt>
                <c:pt idx="19">
                  <c:v>3.2270991852638389E-2</c:v>
                </c:pt>
                <c:pt idx="20">
                  <c:v>3.4232466555396163E-2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F3-48BE-B2AB-07EB20476409}"/>
            </c:ext>
          </c:extLst>
        </c:ser>
        <c:ser>
          <c:idx val="1"/>
          <c:order val="1"/>
          <c:tx>
            <c:strRef>
              <c:f>'Portfolio mean and sigma2'!$B$2</c:f>
              <c:strCache>
                <c:ptCount val="1"/>
                <c:pt idx="0">
                  <c:v>AAPL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'Portfolio mean and sigma2'!$B$5</c:f>
              <c:numCache>
                <c:formatCode>0.00%</c:formatCode>
                <c:ptCount val="1"/>
                <c:pt idx="0">
                  <c:v>7.328903159952066E-2</c:v>
                </c:pt>
              </c:numCache>
            </c:numRef>
          </c:xVal>
          <c:yVal>
            <c:numRef>
              <c:f>'Portfolio mean and sigma2'!$B$3</c:f>
              <c:numCache>
                <c:formatCode>0.00%</c:formatCode>
                <c:ptCount val="1"/>
                <c:pt idx="0">
                  <c:v>2.442509304160731E-2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96-4D11-8378-73BDEF61A117}"/>
            </c:ext>
          </c:extLst>
        </c:ser>
        <c:ser>
          <c:idx val="2"/>
          <c:order val="2"/>
          <c:tx>
            <c:strRef>
              <c:f>'Portfolio mean and sigma2'!$C$2</c:f>
              <c:strCache>
                <c:ptCount val="1"/>
                <c:pt idx="0">
                  <c:v>Kellogg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'Portfolio mean and sigma2'!$C$5</c:f>
              <c:numCache>
                <c:formatCode>0.00%</c:formatCode>
                <c:ptCount val="1"/>
                <c:pt idx="0">
                  <c:v>4.5370917375448204E-2</c:v>
                </c:pt>
              </c:numCache>
            </c:numRef>
          </c:xVal>
          <c:yVal>
            <c:numRef>
              <c:f>'Portfolio mean and sigma2'!$C$3</c:f>
              <c:numCache>
                <c:formatCode>0.00%</c:formatCode>
                <c:ptCount val="1"/>
                <c:pt idx="0">
                  <c:v>4.8103460140296057E-3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96-4D11-8378-73BDEF61A1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885520"/>
        <c:axId val="476885912"/>
      </c:scatterChart>
      <c:valAx>
        <c:axId val="476885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Portfolio standard deviation </a:t>
                </a:r>
                <a:r>
                  <a:rPr lang="el-GR"/>
                  <a:t>σ</a:t>
                </a:r>
                <a:r>
                  <a:rPr lang="en-US" baseline="-25000"/>
                  <a:t>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85912"/>
        <c:crosses val="autoZero"/>
        <c:crossBetween val="midCat"/>
        <c:majorUnit val="1.0000000000000002E-2"/>
      </c:valAx>
      <c:valAx>
        <c:axId val="4768859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Portfolio mean return E(r</a:t>
                </a:r>
                <a:r>
                  <a:rPr lang="en-US" baseline="-25000"/>
                  <a:t>p</a:t>
                </a:r>
                <a:r>
                  <a:rPr lang="en-US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8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baseline="0"/>
              <a:t>The Global Minimum Variance Portfoolio (GMVP)</a:t>
            </a:r>
            <a:endParaRPr lang="en-US" b="1" baseline="-25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'GMVP 2 stocks'!$B$40:$B$60</c:f>
              <c:numCache>
                <c:formatCode>0.00%</c:formatCode>
                <c:ptCount val="21"/>
                <c:pt idx="0">
                  <c:v>6.8530405622918164E-2</c:v>
                </c:pt>
                <c:pt idx="1">
                  <c:v>6.2767898633917255E-2</c:v>
                </c:pt>
                <c:pt idx="2">
                  <c:v>5.7425741317117779E-2</c:v>
                </c:pt>
                <c:pt idx="3">
                  <c:v>5.2632086178966329E-2</c:v>
                </c:pt>
                <c:pt idx="4">
                  <c:v>4.8549678558220608E-2</c:v>
                </c:pt>
                <c:pt idx="5">
                  <c:v>4.5370917375448204E-2</c:v>
                </c:pt>
                <c:pt idx="6">
                  <c:v>4.3295300688408964E-2</c:v>
                </c:pt>
                <c:pt idx="7">
                  <c:v>4.2484821321697237E-2</c:v>
                </c:pt>
                <c:pt idx="8">
                  <c:v>4.301105772473085E-2</c:v>
                </c:pt>
                <c:pt idx="9">
                  <c:v>4.482695833190687E-2</c:v>
                </c:pt>
                <c:pt idx="10">
                  <c:v>4.7785723420365793E-2</c:v>
                </c:pt>
                <c:pt idx="11">
                  <c:v>5.1691475072314128E-2</c:v>
                </c:pt>
                <c:pt idx="12">
                  <c:v>5.634763429215503E-2</c:v>
                </c:pt>
                <c:pt idx="13">
                  <c:v>6.158422889279376E-2</c:v>
                </c:pt>
                <c:pt idx="14">
                  <c:v>6.7265835824320053E-2</c:v>
                </c:pt>
                <c:pt idx="15">
                  <c:v>7.328903159952066E-2</c:v>
                </c:pt>
                <c:pt idx="16">
                  <c:v>7.9576288549249988E-2</c:v>
                </c:pt>
                <c:pt idx="17">
                  <c:v>8.6069758385731762E-2</c:v>
                </c:pt>
                <c:pt idx="18">
                  <c:v>9.2726128899624588E-2</c:v>
                </c:pt>
                <c:pt idx="19">
                  <c:v>9.9512716351570538E-2</c:v>
                </c:pt>
                <c:pt idx="20">
                  <c:v>0.10640460757623832</c:v>
                </c:pt>
              </c:numCache>
            </c:numRef>
          </c:xVal>
          <c:yVal>
            <c:numRef>
              <c:f>'GMVP 2 stocks'!$C$40:$C$60</c:f>
              <c:numCache>
                <c:formatCode>0.00%</c:formatCode>
                <c:ptCount val="21"/>
                <c:pt idx="0">
                  <c:v>-4.9970274997592464E-3</c:v>
                </c:pt>
                <c:pt idx="1">
                  <c:v>-3.0355527970014774E-3</c:v>
                </c:pt>
                <c:pt idx="2">
                  <c:v>-1.0740780942437049E-3</c:v>
                </c:pt>
                <c:pt idx="3">
                  <c:v>8.8739660851406416E-4</c:v>
                </c:pt>
                <c:pt idx="4">
                  <c:v>2.8488713112718358E-3</c:v>
                </c:pt>
                <c:pt idx="5">
                  <c:v>4.8103460140296057E-3</c:v>
                </c:pt>
                <c:pt idx="6">
                  <c:v>6.7718207167873764E-3</c:v>
                </c:pt>
                <c:pt idx="7">
                  <c:v>8.7332954195451472E-3</c:v>
                </c:pt>
                <c:pt idx="8">
                  <c:v>1.0694770122302917E-2</c:v>
                </c:pt>
                <c:pt idx="9">
                  <c:v>1.2656244825060687E-2</c:v>
                </c:pt>
                <c:pt idx="10">
                  <c:v>1.4617719527818457E-2</c:v>
                </c:pt>
                <c:pt idx="11">
                  <c:v>1.6579194230576227E-2</c:v>
                </c:pt>
                <c:pt idx="12">
                  <c:v>1.8540668933333997E-2</c:v>
                </c:pt>
                <c:pt idx="13">
                  <c:v>2.050214363609177E-2</c:v>
                </c:pt>
                <c:pt idx="14">
                  <c:v>2.246361833884954E-2</c:v>
                </c:pt>
                <c:pt idx="15">
                  <c:v>2.442509304160731E-2</c:v>
                </c:pt>
                <c:pt idx="16">
                  <c:v>2.6386567744365083E-2</c:v>
                </c:pt>
                <c:pt idx="17">
                  <c:v>2.834804244712285E-2</c:v>
                </c:pt>
                <c:pt idx="18">
                  <c:v>3.0309517149880623E-2</c:v>
                </c:pt>
                <c:pt idx="19">
                  <c:v>3.2270991852638389E-2</c:v>
                </c:pt>
                <c:pt idx="20">
                  <c:v>3.4232466555396163E-2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00-4F0A-98E8-188D2454E21D}"/>
            </c:ext>
          </c:extLst>
        </c:ser>
        <c:ser>
          <c:idx val="1"/>
          <c:order val="1"/>
          <c:tx>
            <c:strRef>
              <c:f>'GMVP 2 stocks'!$B$2</c:f>
              <c:strCache>
                <c:ptCount val="1"/>
                <c:pt idx="0">
                  <c:v>AAPL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'GMVP 2 stocks'!$B$5</c:f>
              <c:numCache>
                <c:formatCode>0.00%</c:formatCode>
                <c:ptCount val="1"/>
                <c:pt idx="0">
                  <c:v>7.328903159952066E-2</c:v>
                </c:pt>
              </c:numCache>
            </c:numRef>
          </c:xVal>
          <c:yVal>
            <c:numRef>
              <c:f>'GMVP 2 stocks'!$B$3</c:f>
              <c:numCache>
                <c:formatCode>0.00%</c:formatCode>
                <c:ptCount val="1"/>
                <c:pt idx="0">
                  <c:v>2.442509304160731E-2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00-4F0A-98E8-188D2454E21D}"/>
            </c:ext>
          </c:extLst>
        </c:ser>
        <c:ser>
          <c:idx val="2"/>
          <c:order val="2"/>
          <c:tx>
            <c:strRef>
              <c:f>'GMVP 2 stocks'!$C$2</c:f>
              <c:strCache>
                <c:ptCount val="1"/>
                <c:pt idx="0">
                  <c:v>Kellogg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'GMVP 2 stocks'!$C$5</c:f>
              <c:numCache>
                <c:formatCode>0.00%</c:formatCode>
                <c:ptCount val="1"/>
                <c:pt idx="0">
                  <c:v>4.5370917375448204E-2</c:v>
                </c:pt>
              </c:numCache>
            </c:numRef>
          </c:xVal>
          <c:yVal>
            <c:numRef>
              <c:f>'GMVP 2 stocks'!$C$3</c:f>
              <c:numCache>
                <c:formatCode>0.00%</c:formatCode>
                <c:ptCount val="1"/>
                <c:pt idx="0">
                  <c:v>4.8103460140296057E-3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00-4F0A-98E8-188D2454E21D}"/>
            </c:ext>
          </c:extLst>
        </c:ser>
        <c:ser>
          <c:idx val="3"/>
          <c:order val="3"/>
          <c:tx>
            <c:v>GMVP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'GMVP 2 stocks'!$B$19</c:f>
              <c:numCache>
                <c:formatCode>0.00%</c:formatCode>
                <c:ptCount val="1"/>
                <c:pt idx="0">
                  <c:v>4.2477089319836993E-2</c:v>
                </c:pt>
              </c:numCache>
            </c:numRef>
          </c:xVal>
          <c:yVal>
            <c:numRef>
              <c:f>'GMVP 2 stocks'!$B$17</c:f>
              <c:numCache>
                <c:formatCode>0.00%</c:formatCode>
                <c:ptCount val="1"/>
                <c:pt idx="0">
                  <c:v>8.9433955914312909E-3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00-4F0A-98E8-188D2454E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885520"/>
        <c:axId val="476885912"/>
      </c:scatterChart>
      <c:valAx>
        <c:axId val="476885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Portfolio standard deviation </a:t>
                </a:r>
                <a:r>
                  <a:rPr lang="el-GR"/>
                  <a:t>σ</a:t>
                </a:r>
                <a:r>
                  <a:rPr lang="en-US" baseline="-25000"/>
                  <a:t>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85912"/>
        <c:crosses val="autoZero"/>
        <c:crossBetween val="midCat"/>
        <c:majorUnit val="1.0000000000000002E-2"/>
      </c:valAx>
      <c:valAx>
        <c:axId val="4768859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Portfolio mean return E(r</a:t>
                </a:r>
                <a:r>
                  <a:rPr lang="en-US" baseline="-25000"/>
                  <a:t>p</a:t>
                </a:r>
                <a:r>
                  <a:rPr lang="en-US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8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Portfolio Means and Returns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'Porfolios of 4 assets'!$B$30:$B$49</c:f>
              <c:numCache>
                <c:formatCode>0.00%</c:formatCode>
                <c:ptCount val="20"/>
                <c:pt idx="0">
                  <c:v>0.6172114710534794</c:v>
                </c:pt>
                <c:pt idx="1">
                  <c:v>0.58150838343054012</c:v>
                </c:pt>
                <c:pt idx="2">
                  <c:v>0.54680709578424458</c:v>
                </c:pt>
                <c:pt idx="3">
                  <c:v>0.51331082201722567</c:v>
                </c:pt>
                <c:pt idx="4">
                  <c:v>0.48127123329781518</c:v>
                </c:pt>
                <c:pt idx="5">
                  <c:v>0.45099889135118726</c:v>
                </c:pt>
                <c:pt idx="6">
                  <c:v>0.42287350354449971</c:v>
                </c:pt>
                <c:pt idx="7">
                  <c:v>0.39735123002200462</c:v>
                </c:pt>
                <c:pt idx="8">
                  <c:v>0.37496399827183408</c:v>
                </c:pt>
                <c:pt idx="9">
                  <c:v>0.35630324163554844</c:v>
                </c:pt>
                <c:pt idx="10">
                  <c:v>0.3419795315512319</c:v>
                </c:pt>
                <c:pt idx="11">
                  <c:v>0.33255375505322443</c:v>
                </c:pt>
                <c:pt idx="12">
                  <c:v>0.3284478649648982</c:v>
                </c:pt>
                <c:pt idx="13">
                  <c:v>0.32986057660775409</c:v>
                </c:pt>
                <c:pt idx="14">
                  <c:v>0.33672243762481879</c:v>
                </c:pt>
                <c:pt idx="15">
                  <c:v>0.34871191548325386</c:v>
                </c:pt>
                <c:pt idx="16">
                  <c:v>0.36532451327552606</c:v>
                </c:pt>
                <c:pt idx="17">
                  <c:v>0.38596372886580932</c:v>
                </c:pt>
                <c:pt idx="18">
                  <c:v>0.41002195063191438</c:v>
                </c:pt>
                <c:pt idx="19">
                  <c:v>0.43693477774148393</c:v>
                </c:pt>
              </c:numCache>
            </c:numRef>
          </c:xVal>
          <c:yVal>
            <c:numRef>
              <c:f>'Porfolios of 4 assets'!$C$30:$C$49</c:f>
              <c:numCache>
                <c:formatCode>0.00%</c:formatCode>
                <c:ptCount val="20"/>
                <c:pt idx="0">
                  <c:v>0.13449999999999998</c:v>
                </c:pt>
                <c:pt idx="1">
                  <c:v>0.13159999999999997</c:v>
                </c:pt>
                <c:pt idx="2">
                  <c:v>0.12870000000000001</c:v>
                </c:pt>
                <c:pt idx="3">
                  <c:v>0.1258</c:v>
                </c:pt>
                <c:pt idx="4">
                  <c:v>0.12290000000000001</c:v>
                </c:pt>
                <c:pt idx="5">
                  <c:v>0.12</c:v>
                </c:pt>
                <c:pt idx="6">
                  <c:v>0.1171</c:v>
                </c:pt>
                <c:pt idx="7">
                  <c:v>0.11420000000000001</c:v>
                </c:pt>
                <c:pt idx="8">
                  <c:v>0.1113</c:v>
                </c:pt>
                <c:pt idx="9">
                  <c:v>0.1084</c:v>
                </c:pt>
                <c:pt idx="10">
                  <c:v>0.10550000000000001</c:v>
                </c:pt>
                <c:pt idx="11">
                  <c:v>0.1026</c:v>
                </c:pt>
                <c:pt idx="12">
                  <c:v>9.9700000000000011E-2</c:v>
                </c:pt>
                <c:pt idx="13">
                  <c:v>9.6800000000000011E-2</c:v>
                </c:pt>
                <c:pt idx="14">
                  <c:v>9.3900000000000011E-2</c:v>
                </c:pt>
                <c:pt idx="15">
                  <c:v>9.1000000000000011E-2</c:v>
                </c:pt>
                <c:pt idx="16">
                  <c:v>8.8100000000000012E-2</c:v>
                </c:pt>
                <c:pt idx="17">
                  <c:v>8.5200000000000012E-2</c:v>
                </c:pt>
                <c:pt idx="18">
                  <c:v>8.2300000000000012E-2</c:v>
                </c:pt>
                <c:pt idx="19">
                  <c:v>7.9400000000000026E-2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FC-44ED-9522-163864444282}"/>
            </c:ext>
          </c:extLst>
        </c:ser>
        <c:ser>
          <c:idx val="1"/>
          <c:order val="1"/>
          <c:tx>
            <c:strRef>
              <c:f>'Porfolios of 4 assets'!$B$14</c:f>
              <c:strCache>
                <c:ptCount val="1"/>
                <c:pt idx="0">
                  <c:v>Portfolio x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'Porfolios of 4 assets'!$B$17</c:f>
              <c:numCache>
                <c:formatCode>0.00%</c:formatCode>
                <c:ptCount val="1"/>
                <c:pt idx="0">
                  <c:v>0.34871191548325386</c:v>
                </c:pt>
              </c:numCache>
            </c:numRef>
          </c:xVal>
          <c:yVal>
            <c:numRef>
              <c:f>'Porfolios of 4 assets'!$B$15</c:f>
              <c:numCache>
                <c:formatCode>0.00%</c:formatCode>
                <c:ptCount val="1"/>
                <c:pt idx="0">
                  <c:v>9.1000000000000011E-2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5E-4D2F-A61F-F64765048F86}"/>
            </c:ext>
          </c:extLst>
        </c:ser>
        <c:ser>
          <c:idx val="2"/>
          <c:order val="2"/>
          <c:tx>
            <c:strRef>
              <c:f>'Porfolios of 4 assets'!$C$14</c:f>
              <c:strCache>
                <c:ptCount val="1"/>
                <c:pt idx="0">
                  <c:v>Portfolio y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'Porfolios of 4 assets'!$C$17</c:f>
              <c:numCache>
                <c:formatCode>0.00%</c:formatCode>
                <c:ptCount val="1"/>
                <c:pt idx="0">
                  <c:v>0.45099889135118726</c:v>
                </c:pt>
              </c:numCache>
            </c:numRef>
          </c:xVal>
          <c:yVal>
            <c:numRef>
              <c:f>'Porfolios of 4 assets'!$C$15</c:f>
              <c:numCache>
                <c:formatCode>0.00%</c:formatCode>
                <c:ptCount val="1"/>
                <c:pt idx="0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5E-4D2F-A61F-F64765048F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313544"/>
        <c:axId val="318314328"/>
      </c:scatterChart>
      <c:valAx>
        <c:axId val="318313544"/>
        <c:scaling>
          <c:orientation val="minMax"/>
          <c:min val="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Portfolio standard deviation </a:t>
                </a:r>
                <a:r>
                  <a:rPr lang="el-GR"/>
                  <a:t>σ</a:t>
                </a:r>
                <a:r>
                  <a:rPr lang="en-US" baseline="-25000"/>
                  <a:t>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314328"/>
        <c:crosses val="autoZero"/>
        <c:crossBetween val="midCat"/>
        <c:majorUnit val="5.000000000000001E-2"/>
      </c:valAx>
      <c:valAx>
        <c:axId val="318314328"/>
        <c:scaling>
          <c:orientation val="minMax"/>
          <c:min val="7.0000000000000007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Portfolio expected return E(r</a:t>
                </a:r>
                <a:r>
                  <a:rPr lang="en-US" baseline="-25000"/>
                  <a:t>p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2.7777777777777776E-2"/>
              <c:y val="0.208425925925925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313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Portfolios x and y</a:t>
            </a:r>
            <a:r>
              <a:rPr lang="en-US" b="1" baseline="0"/>
              <a:t> are not efficient </a:t>
            </a:r>
          </a:p>
          <a:p>
            <a:pPr>
              <a:defRPr b="1"/>
            </a:pPr>
            <a:r>
              <a:rPr lang="en-US" sz="1100" b="0"/>
              <a:t>note that asset 1</a:t>
            </a:r>
            <a:r>
              <a:rPr lang="en-US" sz="1100" b="0" baseline="0"/>
              <a:t> and asset 4 are out of the convex combination of x and y</a:t>
            </a:r>
            <a:endParaRPr lang="en-US" sz="1100" b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numRef>
              <c:f>'Porfolios of 4 assets (2)'!$B$30:$B$49</c:f>
              <c:numCache>
                <c:formatCode>0.00%</c:formatCode>
                <c:ptCount val="20"/>
                <c:pt idx="0">
                  <c:v>0.80597766718439545</c:v>
                </c:pt>
                <c:pt idx="1">
                  <c:v>0.74795688378408554</c:v>
                </c:pt>
                <c:pt idx="2">
                  <c:v>0.69099782922958586</c:v>
                </c:pt>
                <c:pt idx="3">
                  <c:v>0.6353861030900817</c:v>
                </c:pt>
                <c:pt idx="4">
                  <c:v>0.58150838343054001</c:v>
                </c:pt>
                <c:pt idx="5">
                  <c:v>0.52989385729596827</c:v>
                </c:pt>
                <c:pt idx="6">
                  <c:v>0.48127123329781507</c:v>
                </c:pt>
                <c:pt idx="7">
                  <c:v>0.43664115701568951</c:v>
                </c:pt>
                <c:pt idx="8">
                  <c:v>0.39735123002200456</c:v>
                </c:pt>
                <c:pt idx="9">
                  <c:v>0.36512942910699486</c:v>
                </c:pt>
                <c:pt idx="10">
                  <c:v>0.34197953155123184</c:v>
                </c:pt>
                <c:pt idx="11">
                  <c:v>0.32981737370854192</c:v>
                </c:pt>
                <c:pt idx="12">
                  <c:v>0.32986057660775409</c:v>
                </c:pt>
                <c:pt idx="13">
                  <c:v>0.34210451619351651</c:v>
                </c:pt>
                <c:pt idx="14">
                  <c:v>0.36532451327552606</c:v>
                </c:pt>
                <c:pt idx="15">
                  <c:v>0.39760218812275167</c:v>
                </c:pt>
                <c:pt idx="16">
                  <c:v>0.43693477774148393</c:v>
                </c:pt>
                <c:pt idx="17">
                  <c:v>0.48159682307922252</c:v>
                </c:pt>
                <c:pt idx="18">
                  <c:v>0.5302433403636484</c:v>
                </c:pt>
                <c:pt idx="19">
                  <c:v>0.58187584586404673</c:v>
                </c:pt>
              </c:numCache>
            </c:numRef>
          </c:xVal>
          <c:yVal>
            <c:numRef>
              <c:f>'Porfolios of 4 assets (2)'!$C$30:$C$49</c:f>
              <c:numCache>
                <c:formatCode>0.00%</c:formatCode>
                <c:ptCount val="20"/>
                <c:pt idx="0">
                  <c:v>0.14899999999999997</c:v>
                </c:pt>
                <c:pt idx="1">
                  <c:v>0.14465</c:v>
                </c:pt>
                <c:pt idx="2">
                  <c:v>0.14029999999999998</c:v>
                </c:pt>
                <c:pt idx="3">
                  <c:v>0.13594999999999996</c:v>
                </c:pt>
                <c:pt idx="4">
                  <c:v>0.13159999999999999</c:v>
                </c:pt>
                <c:pt idx="5">
                  <c:v>0.12725</c:v>
                </c:pt>
                <c:pt idx="6">
                  <c:v>0.12289999999999998</c:v>
                </c:pt>
                <c:pt idx="7">
                  <c:v>0.11855</c:v>
                </c:pt>
                <c:pt idx="8">
                  <c:v>0.1142</c:v>
                </c:pt>
                <c:pt idx="9">
                  <c:v>0.10985</c:v>
                </c:pt>
                <c:pt idx="10">
                  <c:v>0.1055</c:v>
                </c:pt>
                <c:pt idx="11">
                  <c:v>0.10115</c:v>
                </c:pt>
                <c:pt idx="12">
                  <c:v>9.6799999999999997E-2</c:v>
                </c:pt>
                <c:pt idx="13">
                  <c:v>9.2450000000000004E-2</c:v>
                </c:pt>
                <c:pt idx="14">
                  <c:v>8.8100000000000012E-2</c:v>
                </c:pt>
                <c:pt idx="15">
                  <c:v>8.3750000000000019E-2</c:v>
                </c:pt>
                <c:pt idx="16">
                  <c:v>7.9400000000000026E-2</c:v>
                </c:pt>
                <c:pt idx="17">
                  <c:v>7.5050000000000033E-2</c:v>
                </c:pt>
                <c:pt idx="18">
                  <c:v>7.0700000000000041E-2</c:v>
                </c:pt>
                <c:pt idx="19">
                  <c:v>6.6350000000000048E-2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B0-48CA-ACB6-A17A7249D424}"/>
            </c:ext>
          </c:extLst>
        </c:ser>
        <c:ser>
          <c:idx val="1"/>
          <c:order val="1"/>
          <c:tx>
            <c:strRef>
              <c:f>'Porfolios of 4 assets (2)'!$B$14</c:f>
              <c:strCache>
                <c:ptCount val="1"/>
                <c:pt idx="0">
                  <c:v>Portfolio x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'Porfolios of 4 assets (2)'!$B$17</c:f>
              <c:numCache>
                <c:formatCode>0.00%</c:formatCode>
                <c:ptCount val="1"/>
                <c:pt idx="0">
                  <c:v>0.34871191548325386</c:v>
                </c:pt>
              </c:numCache>
            </c:numRef>
          </c:xVal>
          <c:yVal>
            <c:numRef>
              <c:f>'Porfolios of 4 assets (2)'!$B$15</c:f>
              <c:numCache>
                <c:formatCode>0.00%</c:formatCode>
                <c:ptCount val="1"/>
                <c:pt idx="0">
                  <c:v>9.1000000000000011E-2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B0-48CA-ACB6-A17A7249D424}"/>
            </c:ext>
          </c:extLst>
        </c:ser>
        <c:ser>
          <c:idx val="2"/>
          <c:order val="2"/>
          <c:tx>
            <c:strRef>
              <c:f>'Porfolios of 4 assets (2)'!$C$14</c:f>
              <c:strCache>
                <c:ptCount val="1"/>
                <c:pt idx="0">
                  <c:v>Portfolio y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'Porfolios of 4 assets (2)'!$C$17</c:f>
              <c:numCache>
                <c:formatCode>0.00%</c:formatCode>
                <c:ptCount val="1"/>
                <c:pt idx="0">
                  <c:v>0.45099889135118726</c:v>
                </c:pt>
              </c:numCache>
            </c:numRef>
          </c:xVal>
          <c:yVal>
            <c:numRef>
              <c:f>'Porfolios of 4 assets (2)'!$C$15</c:f>
              <c:numCache>
                <c:formatCode>0.00%</c:formatCode>
                <c:ptCount val="1"/>
                <c:pt idx="0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B0-48CA-ACB6-A17A7249D424}"/>
            </c:ext>
          </c:extLst>
        </c:ser>
        <c:ser>
          <c:idx val="3"/>
          <c:order val="3"/>
          <c:tx>
            <c:strRef>
              <c:f>'Porfolios of 4 assets (2)'!$A$4</c:f>
              <c:strCache>
                <c:ptCount val="1"/>
                <c:pt idx="0">
                  <c:v>Asset 1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'Porfolios of 4 assets (2)'!$J$4</c:f>
              <c:numCache>
                <c:formatCode>0.00</c:formatCode>
                <c:ptCount val="1"/>
                <c:pt idx="0">
                  <c:v>0.31622776601683794</c:v>
                </c:pt>
              </c:numCache>
            </c:numRef>
          </c:xVal>
          <c:yVal>
            <c:numRef>
              <c:f>'Porfolios of 4 assets (2)'!$G$4</c:f>
              <c:numCache>
                <c:formatCode>0%</c:formatCode>
                <c:ptCount val="1"/>
                <c:pt idx="0">
                  <c:v>0.06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3B0-48CA-ACB6-A17A7249D424}"/>
            </c:ext>
          </c:extLst>
        </c:ser>
        <c:ser>
          <c:idx val="4"/>
          <c:order val="4"/>
          <c:tx>
            <c:strRef>
              <c:f>'Porfolios of 4 assets (2)'!$A$5</c:f>
              <c:strCache>
                <c:ptCount val="1"/>
                <c:pt idx="0">
                  <c:v>Asset 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'Porfolios of 4 assets (2)'!$J$5</c:f>
              <c:numCache>
                <c:formatCode>0.00</c:formatCode>
                <c:ptCount val="1"/>
                <c:pt idx="0">
                  <c:v>0.54772255750516607</c:v>
                </c:pt>
              </c:numCache>
            </c:numRef>
          </c:xVal>
          <c:yVal>
            <c:numRef>
              <c:f>'Porfolios of 4 assets (2)'!$G$5</c:f>
              <c:numCache>
                <c:formatCode>0%</c:formatCode>
                <c:ptCount val="1"/>
                <c:pt idx="0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3B0-48CA-ACB6-A17A7249D424}"/>
            </c:ext>
          </c:extLst>
        </c:ser>
        <c:ser>
          <c:idx val="5"/>
          <c:order val="5"/>
          <c:tx>
            <c:strRef>
              <c:f>'Porfolios of 4 assets (2)'!$A$6</c:f>
              <c:strCache>
                <c:ptCount val="1"/>
                <c:pt idx="0">
                  <c:v>Asset 3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'Porfolios of 4 assets (2)'!$J$6</c:f>
              <c:numCache>
                <c:formatCode>0.00</c:formatCode>
                <c:ptCount val="1"/>
                <c:pt idx="0">
                  <c:v>0.63245553203367588</c:v>
                </c:pt>
              </c:numCache>
            </c:numRef>
          </c:xVal>
          <c:yVal>
            <c:numRef>
              <c:f>'Porfolios of 4 assets (2)'!$G$6</c:f>
              <c:numCache>
                <c:formatCode>0%</c:formatCode>
                <c:ptCount val="1"/>
                <c:pt idx="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3B0-48CA-ACB6-A17A7249D424}"/>
            </c:ext>
          </c:extLst>
        </c:ser>
        <c:ser>
          <c:idx val="6"/>
          <c:order val="6"/>
          <c:tx>
            <c:strRef>
              <c:f>'Porfolios of 4 assets (2)'!$A$7</c:f>
              <c:strCache>
                <c:ptCount val="1"/>
                <c:pt idx="0">
                  <c:v>Asset 4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'Porfolios of 4 assets (2)'!$J$7</c:f>
              <c:numCache>
                <c:formatCode>0.00</c:formatCode>
                <c:ptCount val="1"/>
                <c:pt idx="0">
                  <c:v>0.70710678118654757</c:v>
                </c:pt>
              </c:numCache>
            </c:numRef>
          </c:xVal>
          <c:yVal>
            <c:numRef>
              <c:f>'Porfolios of 4 assets (2)'!$G$7</c:f>
              <c:numCache>
                <c:formatCode>0%</c:formatCode>
                <c:ptCount val="1"/>
                <c:pt idx="0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3B0-48CA-ACB6-A17A7249D42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18313544"/>
        <c:axId val="318314328"/>
      </c:scatterChart>
      <c:valAx>
        <c:axId val="318313544"/>
        <c:scaling>
          <c:orientation val="minMax"/>
          <c:min val="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Portfolio standard deviation </a:t>
                </a:r>
                <a:r>
                  <a:rPr lang="el-GR"/>
                  <a:t>σ</a:t>
                </a:r>
                <a:r>
                  <a:rPr lang="en-US" baseline="-25000"/>
                  <a:t>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314328"/>
        <c:crosses val="autoZero"/>
        <c:crossBetween val="midCat"/>
        <c:majorUnit val="5.000000000000001E-2"/>
      </c:valAx>
      <c:valAx>
        <c:axId val="318314328"/>
        <c:scaling>
          <c:orientation val="minMax"/>
          <c:min val="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Portfolio expected return E(r</a:t>
                </a:r>
                <a:r>
                  <a:rPr lang="en-US" baseline="-25000"/>
                  <a:t>p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2.7777777777777776E-2"/>
              <c:y val="0.208425925925925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313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114935</xdr:colOff>
      <xdr:row>2</xdr:row>
      <xdr:rowOff>36195</xdr:rowOff>
    </xdr:from>
    <xdr:to>
      <xdr:col>9</xdr:col>
      <xdr:colOff>590550</xdr:colOff>
      <xdr:row>18</xdr:row>
      <xdr:rowOff>150495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37465</xdr:colOff>
      <xdr:row>16</xdr:row>
      <xdr:rowOff>19050</xdr:rowOff>
    </xdr:from>
    <xdr:to>
      <xdr:col>9</xdr:col>
      <xdr:colOff>625475</xdr:colOff>
      <xdr:row>31</xdr:row>
      <xdr:rowOff>165100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151766</xdr:colOff>
      <xdr:row>19</xdr:row>
      <xdr:rowOff>22860</xdr:rowOff>
    </xdr:from>
    <xdr:to>
      <xdr:col>5</xdr:col>
      <xdr:colOff>198120</xdr:colOff>
      <xdr:row>33</xdr:row>
      <xdr:rowOff>106680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0969F30-B725-4C97-9670-EAA80A9C2B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283161</xdr:colOff>
      <xdr:row>5</xdr:row>
      <xdr:rowOff>69849</xdr:rowOff>
    </xdr:from>
    <xdr:to>
      <xdr:col>21</xdr:col>
      <xdr:colOff>515395</xdr:colOff>
      <xdr:row>41</xdr:row>
      <xdr:rowOff>7398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A47169B-5586-4671-A431-188FFF3F9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992186" y="1025524"/>
          <a:ext cx="6836234" cy="68209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50164</xdr:colOff>
      <xdr:row>29</xdr:row>
      <xdr:rowOff>30480</xdr:rowOff>
    </xdr:from>
    <xdr:to>
      <xdr:col>8</xdr:col>
      <xdr:colOff>631825</xdr:colOff>
      <xdr:row>46</xdr:row>
      <xdr:rowOff>165100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50164</xdr:colOff>
      <xdr:row>29</xdr:row>
      <xdr:rowOff>30480</xdr:rowOff>
    </xdr:from>
    <xdr:to>
      <xdr:col>8</xdr:col>
      <xdr:colOff>631825</xdr:colOff>
      <xdr:row>46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DEA3FB-423C-4DA1-9264-580EEE02E4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571501</xdr:colOff>
      <xdr:row>2</xdr:row>
      <xdr:rowOff>88900</xdr:rowOff>
    </xdr:from>
    <xdr:to>
      <xdr:col>5</xdr:col>
      <xdr:colOff>3176</xdr:colOff>
      <xdr:row>3</xdr:row>
      <xdr:rowOff>9525</xdr:rowOff>
    </xdr:to>
    <xdr:cxnSp macro="">
      <xdr:nvCxnSpPr>
        <xdr:cNvPr id="7" name="Connector: Elbow 6">
          <a:extLst>
            <a:ext uri="{FF2B5EF4-FFF2-40B4-BE49-F238E27FC236}">
              <a16:creationId xmlns:a16="http://schemas.microsoft.com/office/drawing/2014/main" id="{809A48CE-F746-49A0-BCA0-552D013A33CC}"/>
            </a:ext>
          </a:extLst>
        </xdr:cNvPr>
        <xdr:cNvCxnSpPr/>
      </xdr:nvCxnSpPr>
      <xdr:spPr>
        <a:xfrm rot="10800000" flipV="1">
          <a:off x="2762251" y="1050925"/>
          <a:ext cx="1450975" cy="101600"/>
        </a:xfrm>
        <a:prstGeom prst="bentConnector3">
          <a:avLst>
            <a:gd name="adj1" fmla="val 99891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571501</xdr:colOff>
      <xdr:row>20</xdr:row>
      <xdr:rowOff>88900</xdr:rowOff>
    </xdr:from>
    <xdr:to>
      <xdr:col>7</xdr:col>
      <xdr:colOff>3176</xdr:colOff>
      <xdr:row>21</xdr:row>
      <xdr:rowOff>9525</xdr:rowOff>
    </xdr:to>
    <xdr:cxnSp macro="">
      <xdr:nvCxnSpPr>
        <xdr:cNvPr id="31" name="Connector: Elbow 30">
          <a:extLst>
            <a:ext uri="{FF2B5EF4-FFF2-40B4-BE49-F238E27FC236}">
              <a16:creationId xmlns:a16="http://schemas.microsoft.com/office/drawing/2014/main" id="{46C26872-D0CE-4164-AB03-E3DBD68401AC}"/>
            </a:ext>
          </a:extLst>
        </xdr:cNvPr>
        <xdr:cNvCxnSpPr/>
      </xdr:nvCxnSpPr>
      <xdr:spPr>
        <a:xfrm rot="10800000" flipV="1">
          <a:off x="2657476" y="869950"/>
          <a:ext cx="1450975" cy="101600"/>
        </a:xfrm>
        <a:prstGeom prst="bentConnector3">
          <a:avLst>
            <a:gd name="adj1" fmla="val 99891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</xdr:colOff>
      <xdr:row>21</xdr:row>
      <xdr:rowOff>95252</xdr:rowOff>
    </xdr:from>
    <xdr:to>
      <xdr:col>3</xdr:col>
      <xdr:colOff>438152</xdr:colOff>
      <xdr:row>35</xdr:row>
      <xdr:rowOff>177800</xdr:rowOff>
    </xdr:to>
    <xdr:cxnSp macro="">
      <xdr:nvCxnSpPr>
        <xdr:cNvPr id="107" name="Connector: Elbow 106">
          <a:extLst>
            <a:ext uri="{FF2B5EF4-FFF2-40B4-BE49-F238E27FC236}">
              <a16:creationId xmlns:a16="http://schemas.microsoft.com/office/drawing/2014/main" id="{B919B157-EE3F-4575-B0B7-0609B6F557E2}"/>
            </a:ext>
          </a:extLst>
        </xdr:cNvPr>
        <xdr:cNvCxnSpPr/>
      </xdr:nvCxnSpPr>
      <xdr:spPr>
        <a:xfrm rot="5400000" flipH="1" flipV="1">
          <a:off x="989016" y="5837240"/>
          <a:ext cx="2632073" cy="438148"/>
        </a:xfrm>
        <a:prstGeom prst="bentConnector3">
          <a:avLst>
            <a:gd name="adj1" fmla="val -181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355600</xdr:colOff>
      <xdr:row>21</xdr:row>
      <xdr:rowOff>88900</xdr:rowOff>
    </xdr:from>
    <xdr:to>
      <xdr:col>4</xdr:col>
      <xdr:colOff>355600</xdr:colOff>
      <xdr:row>34</xdr:row>
      <xdr:rowOff>177800</xdr:rowOff>
    </xdr:to>
    <xdr:cxnSp macro="">
      <xdr:nvCxnSpPr>
        <xdr:cNvPr id="114" name="Straight Arrow Connector 113">
          <a:extLst>
            <a:ext uri="{FF2B5EF4-FFF2-40B4-BE49-F238E27FC236}">
              <a16:creationId xmlns:a16="http://schemas.microsoft.com/office/drawing/2014/main" id="{61CECE68-7FC1-4D6C-945E-4F97761715E4}"/>
            </a:ext>
          </a:extLst>
        </xdr:cNvPr>
        <xdr:cNvCxnSpPr/>
      </xdr:nvCxnSpPr>
      <xdr:spPr>
        <a:xfrm flipV="1">
          <a:off x="3368675" y="4733925"/>
          <a:ext cx="0" cy="24479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31"/>
  <sheetViews>
    <sheetView workbookViewId="0">
      <selection activeCell="C131" sqref="C131"/>
    </sheetView>
  </sheetViews>
  <sheetFormatPr defaultRowHeight="13.8" outlineLevelRow="1" x14ac:dyDescent="0.25"/>
  <cols>
    <col min="1" max="1" width="22.69921875" bestFit="1" customWidth="1"/>
    <col min="2" max="2" width="6.796875" bestFit="1" customWidth="1"/>
    <col min="3" max="3" width="7.296875" bestFit="1" customWidth="1"/>
    <col min="4" max="4" width="6.796875" customWidth="1"/>
    <col min="5" max="5" width="7.3984375" bestFit="1" customWidth="1"/>
    <col min="6" max="6" width="8.5" customWidth="1"/>
    <col min="7" max="7" width="14.796875" bestFit="1" customWidth="1"/>
  </cols>
  <sheetData>
    <row r="1" spans="1:7" ht="37.200000000000003" customHeight="1" x14ac:dyDescent="0.3">
      <c r="A1" s="64" t="s">
        <v>51</v>
      </c>
      <c r="B1" s="64"/>
      <c r="C1" s="64"/>
      <c r="D1" s="64"/>
      <c r="E1" s="64"/>
      <c r="F1" s="64"/>
      <c r="G1" s="64"/>
    </row>
    <row r="2" spans="1:7" x14ac:dyDescent="0.25">
      <c r="A2" s="4" t="s">
        <v>6</v>
      </c>
      <c r="B2" s="4" t="s">
        <v>7</v>
      </c>
      <c r="C2" s="4" t="s">
        <v>50</v>
      </c>
      <c r="D2" s="4"/>
      <c r="E2" s="4" t="str">
        <f>B2</f>
        <v>AAPL</v>
      </c>
      <c r="F2" s="4" t="str">
        <f>C2</f>
        <v>Kellogg</v>
      </c>
    </row>
    <row r="3" spans="1:7" x14ac:dyDescent="0.25">
      <c r="A3" s="26">
        <v>43435</v>
      </c>
      <c r="B3" s="6">
        <v>157.06637599999999</v>
      </c>
      <c r="C3" s="6">
        <v>56.448321999999997</v>
      </c>
      <c r="E3" s="3">
        <f>LN(B3/B4)</f>
        <v>-0.12060544914787433</v>
      </c>
      <c r="F3" s="3">
        <f>LN(C3/C4)</f>
        <v>-0.10127955443263523</v>
      </c>
      <c r="G3" t="str">
        <f ca="1">"&lt;--"&amp;_xlfn.FORMULATEXT(F3)</f>
        <v>&lt;--=LN(C3/C4)</v>
      </c>
    </row>
    <row r="4" spans="1:7" x14ac:dyDescent="0.25">
      <c r="A4" s="26">
        <v>43405</v>
      </c>
      <c r="B4" s="6">
        <v>177.19909699999999</v>
      </c>
      <c r="C4" s="6">
        <v>62.464919999999999</v>
      </c>
      <c r="E4" s="3">
        <f t="shared" ref="E4:E64" si="0">LN(B4/B5)</f>
        <v>-0.20339554632600876</v>
      </c>
      <c r="F4" s="3">
        <f t="shared" ref="F4:F64" si="1">LN(C4/C5)</f>
        <v>-2.8345446386111743E-2</v>
      </c>
      <c r="G4" t="str">
        <f ca="1">"&lt;--"&amp;_xlfn.FORMULATEXT(F4)</f>
        <v>&lt;--=LN(C4/C5)</v>
      </c>
    </row>
    <row r="5" spans="1:7" x14ac:dyDescent="0.25">
      <c r="A5" s="26">
        <v>43374</v>
      </c>
      <c r="B5" s="6">
        <v>217.167618</v>
      </c>
      <c r="C5" s="6">
        <v>64.260848999999993</v>
      </c>
      <c r="E5" s="3">
        <f t="shared" si="0"/>
        <v>-3.0951701391631649E-2</v>
      </c>
      <c r="F5" s="3">
        <f t="shared" si="1"/>
        <v>-6.7036101839614837E-2</v>
      </c>
    </row>
    <row r="6" spans="1:7" x14ac:dyDescent="0.25">
      <c r="A6" s="26">
        <v>43344</v>
      </c>
      <c r="B6" s="6">
        <v>223.99443099999999</v>
      </c>
      <c r="C6" s="6">
        <v>68.716316000000006</v>
      </c>
      <c r="E6" s="3">
        <f t="shared" si="0"/>
        <v>-4.8366106134015195E-3</v>
      </c>
      <c r="F6" s="3">
        <f t="shared" si="1"/>
        <v>-1.7128780322179672E-2</v>
      </c>
    </row>
    <row r="7" spans="1:7" hidden="1" outlineLevel="1" x14ac:dyDescent="0.25">
      <c r="A7" s="26">
        <v>43313</v>
      </c>
      <c r="B7" s="6">
        <v>225.08042900000001</v>
      </c>
      <c r="C7" s="6">
        <v>69.903480999999999</v>
      </c>
      <c r="E7" s="3">
        <f t="shared" si="0"/>
        <v>0.17917233187127421</v>
      </c>
      <c r="F7" s="3">
        <f t="shared" si="1"/>
        <v>1.0642976109089951E-2</v>
      </c>
    </row>
    <row r="8" spans="1:7" hidden="1" outlineLevel="1" x14ac:dyDescent="0.25">
      <c r="A8" s="26">
        <v>43282</v>
      </c>
      <c r="B8" s="6">
        <v>188.158646</v>
      </c>
      <c r="C8" s="6">
        <v>69.163444999999996</v>
      </c>
      <c r="E8" s="3">
        <f t="shared" si="0"/>
        <v>2.7598887839150311E-2</v>
      </c>
      <c r="F8" s="3">
        <f t="shared" si="1"/>
        <v>1.646583209338915E-2</v>
      </c>
    </row>
    <row r="9" spans="1:7" hidden="1" outlineLevel="1" x14ac:dyDescent="0.25">
      <c r="A9" s="26">
        <v>43252</v>
      </c>
      <c r="B9" s="6">
        <v>183.03668200000001</v>
      </c>
      <c r="C9" s="6">
        <v>68.033935999999997</v>
      </c>
      <c r="E9" s="3">
        <f t="shared" si="0"/>
        <v>-5.6142405580539871E-3</v>
      </c>
      <c r="F9" s="3">
        <f t="shared" si="1"/>
        <v>8.9897280865844614E-2</v>
      </c>
    </row>
    <row r="10" spans="1:7" hidden="1" outlineLevel="1" x14ac:dyDescent="0.25">
      <c r="A10" s="26">
        <v>43221</v>
      </c>
      <c r="B10" s="6">
        <v>184.067184</v>
      </c>
      <c r="C10" s="6">
        <v>62.184722999999998</v>
      </c>
      <c r="E10" s="3">
        <f t="shared" si="0"/>
        <v>0.12289326386661924</v>
      </c>
      <c r="F10" s="3">
        <f t="shared" si="1"/>
        <v>8.9117209341012499E-2</v>
      </c>
    </row>
    <row r="11" spans="1:7" hidden="1" outlineLevel="1" x14ac:dyDescent="0.25">
      <c r="A11" s="26">
        <v>43191</v>
      </c>
      <c r="B11" s="6">
        <v>162.781296</v>
      </c>
      <c r="C11" s="6">
        <v>56.882750999999999</v>
      </c>
      <c r="E11" s="3">
        <f t="shared" si="0"/>
        <v>-1.5133636467927848E-2</v>
      </c>
      <c r="F11" s="3">
        <f t="shared" si="1"/>
        <v>-9.0596719136717449E-2</v>
      </c>
    </row>
    <row r="12" spans="1:7" hidden="1" outlineLevel="1" x14ac:dyDescent="0.25">
      <c r="A12" s="26">
        <v>43160</v>
      </c>
      <c r="B12" s="6">
        <v>165.26350400000001</v>
      </c>
      <c r="C12" s="6">
        <v>62.276794000000002</v>
      </c>
      <c r="E12" s="3">
        <f t="shared" si="0"/>
        <v>-5.5735023670836853E-2</v>
      </c>
      <c r="F12" s="3">
        <f t="shared" si="1"/>
        <v>-1.8139248304434259E-2</v>
      </c>
    </row>
    <row r="13" spans="1:7" hidden="1" outlineLevel="1" x14ac:dyDescent="0.25">
      <c r="A13" s="26">
        <v>43132</v>
      </c>
      <c r="B13" s="6">
        <v>174.73599200000001</v>
      </c>
      <c r="C13" s="6">
        <v>63.416755999999999</v>
      </c>
      <c r="E13" s="3">
        <f t="shared" si="0"/>
        <v>6.1892137187384975E-2</v>
      </c>
      <c r="F13" s="3">
        <f t="shared" si="1"/>
        <v>-2.844367511200694E-2</v>
      </c>
    </row>
    <row r="14" spans="1:7" hidden="1" outlineLevel="1" x14ac:dyDescent="0.25">
      <c r="A14" s="26">
        <v>43101</v>
      </c>
      <c r="B14" s="6">
        <v>164.24908400000001</v>
      </c>
      <c r="C14" s="6">
        <v>65.246459999999999</v>
      </c>
      <c r="E14" s="3">
        <f t="shared" si="0"/>
        <v>-1.0693511068397676E-2</v>
      </c>
      <c r="F14" s="3">
        <f t="shared" si="1"/>
        <v>1.9105097893157086E-3</v>
      </c>
    </row>
    <row r="15" spans="1:7" hidden="1" outlineLevel="1" x14ac:dyDescent="0.25">
      <c r="A15" s="26">
        <v>43070</v>
      </c>
      <c r="B15" s="6">
        <v>166.01490799999999</v>
      </c>
      <c r="C15" s="6">
        <v>65.121925000000005</v>
      </c>
      <c r="E15" s="3">
        <f t="shared" si="0"/>
        <v>-1.1774756619693866E-2</v>
      </c>
      <c r="F15" s="3">
        <f t="shared" si="1"/>
        <v>4.8644400540017625E-2</v>
      </c>
    </row>
    <row r="16" spans="1:7" hidden="1" outlineLevel="1" x14ac:dyDescent="0.25">
      <c r="A16" s="26">
        <v>43040</v>
      </c>
      <c r="B16" s="6">
        <v>167.981247</v>
      </c>
      <c r="C16" s="6">
        <v>62.029921999999999</v>
      </c>
      <c r="E16" s="3">
        <f t="shared" si="0"/>
        <v>1.6486598492966249E-2</v>
      </c>
      <c r="F16" s="3">
        <f t="shared" si="1"/>
        <v>4.3039395618039149E-2</v>
      </c>
    </row>
    <row r="17" spans="1:6" hidden="1" outlineLevel="1" x14ac:dyDescent="0.25">
      <c r="A17" s="26">
        <v>43009</v>
      </c>
      <c r="B17" s="6">
        <v>165.234512</v>
      </c>
      <c r="C17" s="6">
        <v>59.416828000000002</v>
      </c>
      <c r="E17" s="3">
        <f t="shared" si="0"/>
        <v>9.2403994893137831E-2</v>
      </c>
      <c r="F17" s="3">
        <f t="shared" si="1"/>
        <v>2.5619986777041764E-3</v>
      </c>
    </row>
    <row r="18" spans="1:6" hidden="1" outlineLevel="1" x14ac:dyDescent="0.25">
      <c r="A18" s="26">
        <v>42979</v>
      </c>
      <c r="B18" s="6">
        <v>150.650375</v>
      </c>
      <c r="C18" s="6">
        <v>59.264797000000002</v>
      </c>
      <c r="E18" s="3">
        <f t="shared" si="0"/>
        <v>-5.8215744133111216E-2</v>
      </c>
      <c r="F18" s="3">
        <f t="shared" si="1"/>
        <v>-4.0176705273349524E-2</v>
      </c>
    </row>
    <row r="19" spans="1:6" hidden="1" outlineLevel="1" x14ac:dyDescent="0.25">
      <c r="A19" s="26">
        <v>42948</v>
      </c>
      <c r="B19" s="6">
        <v>159.68090799999999</v>
      </c>
      <c r="C19" s="6">
        <v>61.694339999999997</v>
      </c>
      <c r="E19" s="3">
        <f t="shared" si="0"/>
        <v>9.7734009206961375E-2</v>
      </c>
      <c r="F19" s="3">
        <f t="shared" si="1"/>
        <v>-3.8068472802024099E-2</v>
      </c>
    </row>
    <row r="20" spans="1:6" hidden="1" outlineLevel="1" x14ac:dyDescent="0.25">
      <c r="A20" s="26">
        <v>42917</v>
      </c>
      <c r="B20" s="6">
        <v>144.81303399999999</v>
      </c>
      <c r="C20" s="6">
        <v>64.088226000000006</v>
      </c>
      <c r="E20" s="3">
        <f t="shared" si="0"/>
        <v>3.2180259892837251E-2</v>
      </c>
      <c r="F20" s="3">
        <f t="shared" si="1"/>
        <v>-2.124338932319263E-2</v>
      </c>
    </row>
    <row r="21" spans="1:6" hidden="1" outlineLevel="1" x14ac:dyDescent="0.25">
      <c r="A21" s="26">
        <v>42887</v>
      </c>
      <c r="B21" s="6">
        <v>140.22709699999999</v>
      </c>
      <c r="C21" s="6">
        <v>65.464241000000001</v>
      </c>
      <c r="E21" s="3">
        <f t="shared" si="0"/>
        <v>-5.4796785860792403E-2</v>
      </c>
      <c r="F21" s="3">
        <f t="shared" si="1"/>
        <v>-2.3157594131138274E-2</v>
      </c>
    </row>
    <row r="22" spans="1:6" hidden="1" outlineLevel="1" x14ac:dyDescent="0.25">
      <c r="A22" s="26">
        <v>42856</v>
      </c>
      <c r="B22" s="6">
        <v>148.125519</v>
      </c>
      <c r="C22" s="6">
        <v>66.997924999999995</v>
      </c>
      <c r="E22" s="3">
        <f t="shared" si="0"/>
        <v>6.1488392155418861E-2</v>
      </c>
      <c r="F22" s="3">
        <f t="shared" si="1"/>
        <v>8.4151498773705272E-3</v>
      </c>
    </row>
    <row r="23" spans="1:6" hidden="1" outlineLevel="1" x14ac:dyDescent="0.25">
      <c r="A23" s="26">
        <v>42826</v>
      </c>
      <c r="B23" s="6">
        <v>139.29188500000001</v>
      </c>
      <c r="C23" s="6">
        <v>66.436492999999999</v>
      </c>
      <c r="E23" s="3">
        <f t="shared" si="0"/>
        <v>-6.9779089266844212E-5</v>
      </c>
      <c r="F23" s="3">
        <f t="shared" si="1"/>
        <v>-2.2422634199798841E-2</v>
      </c>
    </row>
    <row r="24" spans="1:6" hidden="1" outlineLevel="1" x14ac:dyDescent="0.25">
      <c r="A24" s="26">
        <v>42795</v>
      </c>
      <c r="B24" s="6">
        <v>139.301605</v>
      </c>
      <c r="C24" s="6">
        <v>67.943000999999995</v>
      </c>
      <c r="E24" s="3">
        <f t="shared" si="0"/>
        <v>5.186772067849077E-2</v>
      </c>
      <c r="F24" s="3">
        <f t="shared" si="1"/>
        <v>-1.2972030708049111E-2</v>
      </c>
    </row>
    <row r="25" spans="1:6" hidden="1" outlineLevel="1" x14ac:dyDescent="0.25">
      <c r="A25" s="26">
        <v>42767</v>
      </c>
      <c r="B25" s="6">
        <v>132.26052899999999</v>
      </c>
      <c r="C25" s="6">
        <v>68.830100999999999</v>
      </c>
      <c r="E25" s="3">
        <f t="shared" si="0"/>
        <v>0.12122896059991176</v>
      </c>
      <c r="F25" s="3">
        <f t="shared" si="1"/>
        <v>1.8531722154569764E-2</v>
      </c>
    </row>
    <row r="26" spans="1:6" hidden="1" outlineLevel="1" x14ac:dyDescent="0.25">
      <c r="A26" s="26">
        <v>42736</v>
      </c>
      <c r="B26" s="6">
        <v>117.160492</v>
      </c>
      <c r="C26" s="6">
        <v>67.566306999999995</v>
      </c>
      <c r="E26" s="3">
        <f t="shared" si="0"/>
        <v>4.6641729923096294E-2</v>
      </c>
      <c r="F26" s="3">
        <f t="shared" si="1"/>
        <v>-1.3659367215252205E-2</v>
      </c>
    </row>
    <row r="27" spans="1:6" hidden="1" outlineLevel="1" x14ac:dyDescent="0.25">
      <c r="A27" s="26">
        <v>42705</v>
      </c>
      <c r="B27" s="6">
        <v>111.821404</v>
      </c>
      <c r="C27" s="6">
        <v>68.495552000000004</v>
      </c>
      <c r="E27" s="3">
        <f t="shared" si="0"/>
        <v>5.1961893797766889E-2</v>
      </c>
      <c r="F27" s="3">
        <f t="shared" si="1"/>
        <v>3.0534592450257136E-2</v>
      </c>
    </row>
    <row r="28" spans="1:6" hidden="1" outlineLevel="1" x14ac:dyDescent="0.25">
      <c r="A28" s="26">
        <v>42675</v>
      </c>
      <c r="B28" s="6">
        <v>106.15933200000001</v>
      </c>
      <c r="C28" s="6">
        <v>66.435676999999998</v>
      </c>
      <c r="E28" s="3">
        <f t="shared" si="0"/>
        <v>-2.6958815702871286E-2</v>
      </c>
      <c r="F28" s="3">
        <f t="shared" si="1"/>
        <v>-4.2553949775697097E-2</v>
      </c>
    </row>
    <row r="29" spans="1:6" hidden="1" outlineLevel="1" x14ac:dyDescent="0.25">
      <c r="A29" s="26">
        <v>42644</v>
      </c>
      <c r="B29" s="6">
        <v>109.060188</v>
      </c>
      <c r="C29" s="6">
        <v>69.323791999999997</v>
      </c>
      <c r="E29" s="3">
        <f t="shared" si="0"/>
        <v>4.3249837686929271E-3</v>
      </c>
      <c r="F29" s="3">
        <f t="shared" si="1"/>
        <v>-3.0670877482395959E-2</v>
      </c>
    </row>
    <row r="30" spans="1:6" hidden="1" outlineLevel="1" x14ac:dyDescent="0.25">
      <c r="A30" s="26">
        <v>42614</v>
      </c>
      <c r="B30" s="6">
        <v>108.589523</v>
      </c>
      <c r="C30" s="6">
        <v>71.482956000000001</v>
      </c>
      <c r="E30" s="3">
        <f t="shared" si="0"/>
        <v>6.8850853926348474E-2</v>
      </c>
      <c r="F30" s="3">
        <f t="shared" si="1"/>
        <v>-5.3109529125624423E-2</v>
      </c>
    </row>
    <row r="31" spans="1:6" hidden="1" outlineLevel="1" x14ac:dyDescent="0.25">
      <c r="A31" s="26">
        <v>42583</v>
      </c>
      <c r="B31" s="6">
        <v>101.364616</v>
      </c>
      <c r="C31" s="6">
        <v>75.382003999999995</v>
      </c>
      <c r="E31" s="3">
        <f t="shared" si="0"/>
        <v>1.7973893476060612E-2</v>
      </c>
      <c r="F31" s="3">
        <f t="shared" si="1"/>
        <v>-6.0637724807484673E-3</v>
      </c>
    </row>
    <row r="32" spans="1:6" hidden="1" outlineLevel="1" x14ac:dyDescent="0.25">
      <c r="A32" s="26">
        <v>42552</v>
      </c>
      <c r="B32" s="6">
        <v>99.558975000000004</v>
      </c>
      <c r="C32" s="6">
        <v>75.840491999999998</v>
      </c>
      <c r="E32" s="3">
        <f t="shared" si="0"/>
        <v>8.6235254938462166E-2</v>
      </c>
      <c r="F32" s="3">
        <f t="shared" si="1"/>
        <v>1.2898796747206988E-2</v>
      </c>
    </row>
    <row r="33" spans="1:6" hidden="1" outlineLevel="1" x14ac:dyDescent="0.25">
      <c r="A33" s="26">
        <v>42522</v>
      </c>
      <c r="B33" s="6">
        <v>91.333252000000002</v>
      </c>
      <c r="C33" s="6">
        <v>74.868522999999996</v>
      </c>
      <c r="E33" s="3">
        <f t="shared" si="0"/>
        <v>-3.7526417648364709E-2</v>
      </c>
      <c r="F33" s="3">
        <f t="shared" si="1"/>
        <v>0.10004862617064693</v>
      </c>
    </row>
    <row r="34" spans="1:6" hidden="1" outlineLevel="1" x14ac:dyDescent="0.25">
      <c r="A34" s="26">
        <v>42491</v>
      </c>
      <c r="B34" s="6">
        <v>94.825783000000001</v>
      </c>
      <c r="C34" s="6">
        <v>67.740547000000007</v>
      </c>
      <c r="E34" s="3">
        <f t="shared" si="0"/>
        <v>6.3244347576697169E-2</v>
      </c>
      <c r="F34" s="3">
        <f t="shared" si="1"/>
        <v>-3.228212308558543E-2</v>
      </c>
    </row>
    <row r="35" spans="1:6" hidden="1" outlineLevel="1" x14ac:dyDescent="0.25">
      <c r="A35" s="26">
        <v>42461</v>
      </c>
      <c r="B35" s="6">
        <v>89.014296999999999</v>
      </c>
      <c r="C35" s="6">
        <v>69.963036000000002</v>
      </c>
      <c r="E35" s="3">
        <f t="shared" si="0"/>
        <v>-0.15073127149063728</v>
      </c>
      <c r="F35" s="3">
        <f t="shared" si="1"/>
        <v>3.39062910569403E-3</v>
      </c>
    </row>
    <row r="36" spans="1:6" hidden="1" outlineLevel="1" x14ac:dyDescent="0.25">
      <c r="A36" s="26">
        <v>42430</v>
      </c>
      <c r="B36" s="6">
        <v>103.495514</v>
      </c>
      <c r="C36" s="6">
        <v>69.726219</v>
      </c>
      <c r="E36" s="3">
        <f t="shared" si="0"/>
        <v>0.12515770247534916</v>
      </c>
      <c r="F36" s="3">
        <f t="shared" si="1"/>
        <v>4.0305900937300021E-2</v>
      </c>
    </row>
    <row r="37" spans="1:6" hidden="1" outlineLevel="1" x14ac:dyDescent="0.25">
      <c r="A37" s="26">
        <v>42401</v>
      </c>
      <c r="B37" s="6">
        <v>91.320068000000006</v>
      </c>
      <c r="C37" s="6">
        <v>66.971725000000006</v>
      </c>
      <c r="E37" s="3">
        <f t="shared" si="0"/>
        <v>-6.6999269060085574E-3</v>
      </c>
      <c r="F37" s="3">
        <f t="shared" si="1"/>
        <v>7.8664799627023961E-3</v>
      </c>
    </row>
    <row r="38" spans="1:6" hidden="1" outlineLevel="1" x14ac:dyDescent="0.25">
      <c r="A38" s="26">
        <v>42370</v>
      </c>
      <c r="B38" s="6">
        <v>91.933959999999999</v>
      </c>
      <c r="C38" s="6">
        <v>66.446960000000004</v>
      </c>
      <c r="E38" s="3">
        <f t="shared" si="0"/>
        <v>-7.8223471566607181E-2</v>
      </c>
      <c r="F38" s="3">
        <f t="shared" si="1"/>
        <v>1.6059912097553433E-2</v>
      </c>
    </row>
    <row r="39" spans="1:6" hidden="1" outlineLevel="1" x14ac:dyDescent="0.25">
      <c r="A39" s="26">
        <v>42339</v>
      </c>
      <c r="B39" s="6">
        <v>99.414101000000002</v>
      </c>
      <c r="C39" s="6">
        <v>65.388351</v>
      </c>
      <c r="E39" s="3">
        <f t="shared" si="0"/>
        <v>-0.11251880068259988</v>
      </c>
      <c r="F39" s="3">
        <f t="shared" si="1"/>
        <v>5.6895312000143583E-2</v>
      </c>
    </row>
    <row r="40" spans="1:6" hidden="1" outlineLevel="1" x14ac:dyDescent="0.25">
      <c r="A40" s="26">
        <v>42309</v>
      </c>
      <c r="B40" s="6">
        <v>111.253654</v>
      </c>
      <c r="C40" s="6">
        <v>61.771915</v>
      </c>
      <c r="E40" s="3">
        <f t="shared" si="0"/>
        <v>-1.0092751987705661E-2</v>
      </c>
      <c r="F40" s="3">
        <f t="shared" si="1"/>
        <v>-2.5128821564664408E-2</v>
      </c>
    </row>
    <row r="41" spans="1:6" hidden="1" outlineLevel="1" x14ac:dyDescent="0.25">
      <c r="A41" s="26">
        <v>42278</v>
      </c>
      <c r="B41" s="6">
        <v>112.382195</v>
      </c>
      <c r="C41" s="6">
        <v>63.343837999999998</v>
      </c>
      <c r="E41" s="3">
        <f t="shared" si="0"/>
        <v>8.0112422362387081E-2</v>
      </c>
      <c r="F41" s="3">
        <f t="shared" si="1"/>
        <v>5.7942558993461672E-2</v>
      </c>
    </row>
    <row r="42" spans="1:6" hidden="1" outlineLevel="1" x14ac:dyDescent="0.25">
      <c r="A42" s="26">
        <v>42248</v>
      </c>
      <c r="B42" s="6">
        <v>103.73017900000001</v>
      </c>
      <c r="C42" s="6">
        <v>59.777842999999997</v>
      </c>
      <c r="E42" s="3">
        <f t="shared" si="0"/>
        <v>-1.8959506852724829E-2</v>
      </c>
      <c r="F42" s="3">
        <f t="shared" si="1"/>
        <v>1.1516169301347825E-2</v>
      </c>
    </row>
    <row r="43" spans="1:6" hidden="1" outlineLevel="1" x14ac:dyDescent="0.25">
      <c r="A43" s="26">
        <v>42217</v>
      </c>
      <c r="B43" s="6">
        <v>105.715614</v>
      </c>
      <c r="C43" s="6">
        <v>59.093380000000003</v>
      </c>
      <c r="E43" s="3">
        <f t="shared" si="0"/>
        <v>-7.1587104068490684E-2</v>
      </c>
      <c r="F43" s="3">
        <f t="shared" si="1"/>
        <v>1.6608028265237701E-3</v>
      </c>
    </row>
    <row r="44" spans="1:6" hidden="1" outlineLevel="1" x14ac:dyDescent="0.25">
      <c r="A44" s="26">
        <v>42186</v>
      </c>
      <c r="B44" s="6">
        <v>113.560951</v>
      </c>
      <c r="C44" s="6">
        <v>58.995319000000002</v>
      </c>
      <c r="E44" s="3">
        <f t="shared" si="0"/>
        <v>-3.348093898422045E-2</v>
      </c>
      <c r="F44" s="3">
        <f t="shared" si="1"/>
        <v>5.3865707695234903E-2</v>
      </c>
    </row>
    <row r="45" spans="1:6" hidden="1" outlineLevel="1" x14ac:dyDescent="0.25">
      <c r="A45" s="26">
        <v>42156</v>
      </c>
      <c r="B45" s="6">
        <v>117.42744399999999</v>
      </c>
      <c r="C45" s="6">
        <v>55.901566000000003</v>
      </c>
      <c r="E45" s="3">
        <f t="shared" si="0"/>
        <v>-3.3769804060179459E-2</v>
      </c>
      <c r="F45" s="3">
        <f t="shared" si="1"/>
        <v>6.6626039142650478E-3</v>
      </c>
    </row>
    <row r="46" spans="1:6" hidden="1" outlineLevel="1" x14ac:dyDescent="0.25">
      <c r="A46" s="26">
        <v>42125</v>
      </c>
      <c r="B46" s="6">
        <v>121.460663</v>
      </c>
      <c r="C46" s="6">
        <v>55.530354000000003</v>
      </c>
      <c r="E46" s="3">
        <f t="shared" si="0"/>
        <v>4.0172822193584826E-2</v>
      </c>
      <c r="F46" s="3">
        <f t="shared" si="1"/>
        <v>-8.8818126508505551E-3</v>
      </c>
    </row>
    <row r="47" spans="1:6" hidden="1" outlineLevel="1" x14ac:dyDescent="0.25">
      <c r="A47" s="26">
        <v>42095</v>
      </c>
      <c r="B47" s="6">
        <v>116.67795599999999</v>
      </c>
      <c r="C47" s="6">
        <v>56.025761000000003</v>
      </c>
      <c r="E47" s="3">
        <f t="shared" si="0"/>
        <v>5.769885673670077E-3</v>
      </c>
      <c r="F47" s="3">
        <f t="shared" si="1"/>
        <v>-3.2942430486370675E-2</v>
      </c>
    </row>
    <row r="48" spans="1:6" hidden="1" outlineLevel="1" x14ac:dyDescent="0.25">
      <c r="A48" s="26">
        <v>42064</v>
      </c>
      <c r="B48" s="6">
        <v>116.006676</v>
      </c>
      <c r="C48" s="6">
        <v>57.902121999999999</v>
      </c>
      <c r="E48" s="3">
        <f t="shared" si="0"/>
        <v>-2.7935606365857572E-2</v>
      </c>
      <c r="F48" s="3">
        <f t="shared" si="1"/>
        <v>2.2541764870257896E-2</v>
      </c>
    </row>
    <row r="49" spans="1:6" hidden="1" outlineLevel="1" x14ac:dyDescent="0.25">
      <c r="A49" s="26">
        <v>42036</v>
      </c>
      <c r="B49" s="6">
        <v>119.293083</v>
      </c>
      <c r="C49" s="6">
        <v>56.611507000000003</v>
      </c>
      <c r="E49" s="3">
        <f t="shared" si="0"/>
        <v>9.2077105043209415E-2</v>
      </c>
      <c r="F49" s="3">
        <f t="shared" si="1"/>
        <v>-1.6915811747022877E-2</v>
      </c>
    </row>
    <row r="50" spans="1:6" hidden="1" outlineLevel="1" x14ac:dyDescent="0.25">
      <c r="A50" s="26">
        <v>42005</v>
      </c>
      <c r="B50" s="6">
        <v>108.799446</v>
      </c>
      <c r="C50" s="6">
        <v>57.577281999999997</v>
      </c>
      <c r="E50" s="3">
        <f t="shared" si="0"/>
        <v>5.9611590767431326E-2</v>
      </c>
      <c r="F50" s="3">
        <f t="shared" si="1"/>
        <v>2.1369778230634936E-3</v>
      </c>
    </row>
    <row r="51" spans="1:6" hidden="1" outlineLevel="1" x14ac:dyDescent="0.25">
      <c r="A51" s="26">
        <v>41974</v>
      </c>
      <c r="B51" s="6">
        <v>102.503265</v>
      </c>
      <c r="C51" s="6">
        <v>57.454371999999999</v>
      </c>
      <c r="E51" s="3">
        <f t="shared" si="0"/>
        <v>-7.0279312581139133E-2</v>
      </c>
      <c r="F51" s="3">
        <f t="shared" si="1"/>
        <v>-4.7511008252483283E-3</v>
      </c>
    </row>
    <row r="52" spans="1:6" hidden="1" outlineLevel="1" x14ac:dyDescent="0.25">
      <c r="A52" s="26">
        <v>41944</v>
      </c>
      <c r="B52" s="6">
        <v>109.966301</v>
      </c>
      <c r="C52" s="6">
        <v>57.727992999999998</v>
      </c>
      <c r="E52" s="3">
        <f t="shared" si="0"/>
        <v>9.640398815914436E-2</v>
      </c>
      <c r="F52" s="3">
        <f t="shared" si="1"/>
        <v>3.5177810436369653E-2</v>
      </c>
    </row>
    <row r="53" spans="1:6" hidden="1" outlineLevel="1" x14ac:dyDescent="0.25">
      <c r="A53" s="26">
        <v>41913</v>
      </c>
      <c r="B53" s="6">
        <v>99.860077000000004</v>
      </c>
      <c r="C53" s="6">
        <v>55.732551999999998</v>
      </c>
      <c r="E53" s="3">
        <f t="shared" si="0"/>
        <v>6.9489005002121809E-2</v>
      </c>
      <c r="F53" s="3">
        <f t="shared" si="1"/>
        <v>3.7595884789121473E-2</v>
      </c>
    </row>
    <row r="54" spans="1:6" hidden="1" outlineLevel="1" x14ac:dyDescent="0.25">
      <c r="A54" s="26">
        <v>41883</v>
      </c>
      <c r="B54" s="6">
        <v>93.156509</v>
      </c>
      <c r="C54" s="6">
        <v>53.676136</v>
      </c>
      <c r="E54" s="3">
        <f t="shared" si="0"/>
        <v>-1.2258742758189969E-2</v>
      </c>
      <c r="F54" s="3">
        <f t="shared" si="1"/>
        <v>-4.5729328184746572E-2</v>
      </c>
    </row>
    <row r="55" spans="1:6" hidden="1" outlineLevel="1" x14ac:dyDescent="0.25">
      <c r="A55" s="26">
        <v>41852</v>
      </c>
      <c r="B55" s="6">
        <v>94.305519000000004</v>
      </c>
      <c r="C55" s="6">
        <v>56.187697999999997</v>
      </c>
      <c r="E55" s="3">
        <f t="shared" si="0"/>
        <v>6.9689915730000301E-2</v>
      </c>
      <c r="F55" s="3">
        <f t="shared" si="1"/>
        <v>8.241863193198376E-2</v>
      </c>
    </row>
    <row r="56" spans="1:6" hidden="1" outlineLevel="1" x14ac:dyDescent="0.25">
      <c r="A56" s="26">
        <v>41821</v>
      </c>
      <c r="B56" s="6">
        <v>87.957153000000005</v>
      </c>
      <c r="C56" s="6">
        <v>51.742485000000002</v>
      </c>
      <c r="E56" s="3">
        <f t="shared" si="0"/>
        <v>2.8326287757557078E-2</v>
      </c>
      <c r="F56" s="3">
        <f t="shared" si="1"/>
        <v>-9.3591907020372775E-2</v>
      </c>
    </row>
    <row r="57" spans="1:6" hidden="1" outlineLevel="1" x14ac:dyDescent="0.25">
      <c r="A57" s="26">
        <v>41791</v>
      </c>
      <c r="B57" s="6">
        <v>85.500609999999995</v>
      </c>
      <c r="C57" s="6">
        <v>56.819018999999997</v>
      </c>
      <c r="E57" s="3">
        <f t="shared" si="0"/>
        <v>6.6942249910657281E-2</v>
      </c>
      <c r="F57" s="3">
        <f t="shared" si="1"/>
        <v>-4.1932136438268985E-2</v>
      </c>
    </row>
    <row r="58" spans="1:6" hidden="1" outlineLevel="1" x14ac:dyDescent="0.25">
      <c r="A58" s="26">
        <v>41760</v>
      </c>
      <c r="B58" s="6">
        <v>79.964377999999996</v>
      </c>
      <c r="C58" s="6">
        <v>59.252220000000001</v>
      </c>
      <c r="E58" s="3">
        <f t="shared" si="0"/>
        <v>7.0195609177416365E-2</v>
      </c>
      <c r="F58" s="3">
        <f t="shared" si="1"/>
        <v>3.1664750172367459E-2</v>
      </c>
    </row>
    <row r="59" spans="1:6" hidden="1" outlineLevel="1" x14ac:dyDescent="0.25">
      <c r="A59" s="26">
        <v>41730</v>
      </c>
      <c r="B59" s="6">
        <v>74.543709000000007</v>
      </c>
      <c r="C59" s="6">
        <v>57.405406999999997</v>
      </c>
      <c r="E59" s="3">
        <f t="shared" si="0"/>
        <v>9.4761408163302557E-2</v>
      </c>
      <c r="F59" s="3">
        <f t="shared" si="1"/>
        <v>7.1241974157682339E-2</v>
      </c>
    </row>
    <row r="60" spans="1:6" hidden="1" outlineLevel="1" x14ac:dyDescent="0.25">
      <c r="A60" s="26">
        <v>41699</v>
      </c>
      <c r="B60" s="6">
        <v>67.804207000000005</v>
      </c>
      <c r="C60" s="6">
        <v>53.458011999999997</v>
      </c>
      <c r="E60" s="3">
        <f t="shared" si="0"/>
        <v>6.2299784568121873E-2</v>
      </c>
      <c r="F60" s="3">
        <f t="shared" si="1"/>
        <v>3.2741924695456226E-2</v>
      </c>
    </row>
    <row r="61" spans="1:6" hidden="1" outlineLevel="1" x14ac:dyDescent="0.25">
      <c r="A61" s="26">
        <v>41671</v>
      </c>
      <c r="B61" s="6">
        <v>63.708911999999998</v>
      </c>
      <c r="C61" s="6">
        <v>51.736038000000001</v>
      </c>
      <c r="E61" s="3">
        <f t="shared" si="0"/>
        <v>4.9950146236972089E-2</v>
      </c>
      <c r="F61" s="3">
        <f t="shared" si="1"/>
        <v>4.5681031959037381E-2</v>
      </c>
    </row>
    <row r="62" spans="1:6" hidden="1" outlineLevel="1" x14ac:dyDescent="0.25">
      <c r="A62" s="26">
        <v>41640</v>
      </c>
      <c r="B62" s="6">
        <v>60.604813</v>
      </c>
      <c r="C62" s="6">
        <v>49.425849999999997</v>
      </c>
      <c r="E62" s="3">
        <f t="shared" si="0"/>
        <v>-0.11394935387957596</v>
      </c>
      <c r="F62" s="3">
        <f t="shared" si="1"/>
        <v>-5.1922852667961435E-2</v>
      </c>
    </row>
    <row r="63" spans="1:6" hidden="1" outlineLevel="1" x14ac:dyDescent="0.25">
      <c r="A63" s="26">
        <v>41609</v>
      </c>
      <c r="B63" s="6">
        <v>67.919533000000001</v>
      </c>
      <c r="C63" s="6">
        <v>52.059975000000001</v>
      </c>
      <c r="E63" s="3">
        <f t="shared" si="0"/>
        <v>5.03427966552496E-2</v>
      </c>
      <c r="F63" s="3">
        <f t="shared" si="1"/>
        <v>1.454589436375049E-2</v>
      </c>
    </row>
    <row r="64" spans="1:6" hidden="1" outlineLevel="1" x14ac:dyDescent="0.25">
      <c r="A64" s="26">
        <v>41579</v>
      </c>
      <c r="B64" s="6">
        <v>64.584914999999995</v>
      </c>
      <c r="C64" s="6">
        <v>51.308197</v>
      </c>
      <c r="E64" s="3">
        <f t="shared" si="0"/>
        <v>6.1886721555747294E-2</v>
      </c>
      <c r="F64" s="3">
        <f t="shared" si="1"/>
        <v>-4.2140314756534507E-2</v>
      </c>
    </row>
    <row r="65" spans="1:6" hidden="1" outlineLevel="1" x14ac:dyDescent="0.25">
      <c r="A65" s="26">
        <v>41548</v>
      </c>
      <c r="B65" s="6">
        <v>60.709133000000001</v>
      </c>
      <c r="C65" s="6">
        <v>53.516544000000003</v>
      </c>
      <c r="E65" s="3">
        <f t="shared" ref="E65:E121" si="2">LN(B65/B66)</f>
        <v>9.2015184988865406E-2</v>
      </c>
      <c r="F65" s="3">
        <f t="shared" ref="F65:F121" si="3">LN(C65/C66)</f>
        <v>7.4144329652407942E-2</v>
      </c>
    </row>
    <row r="66" spans="1:6" hidden="1" outlineLevel="1" x14ac:dyDescent="0.25">
      <c r="A66" s="26">
        <v>41518</v>
      </c>
      <c r="B66" s="6">
        <v>55.372272000000002</v>
      </c>
      <c r="C66" s="6">
        <v>49.692126999999999</v>
      </c>
      <c r="E66" s="3">
        <f t="shared" si="2"/>
        <v>2.528008176933963E-2</v>
      </c>
      <c r="F66" s="3">
        <f t="shared" si="3"/>
        <v>-2.5598030418524428E-2</v>
      </c>
    </row>
    <row r="67" spans="1:6" hidden="1" outlineLevel="1" x14ac:dyDescent="0.25">
      <c r="A67" s="26">
        <v>41487</v>
      </c>
      <c r="B67" s="6">
        <v>53.990001999999997</v>
      </c>
      <c r="C67" s="6">
        <v>50.980567999999998</v>
      </c>
      <c r="E67" s="3">
        <f t="shared" si="2"/>
        <v>7.3861726107924061E-2</v>
      </c>
      <c r="F67" s="3">
        <f t="shared" si="3"/>
        <v>-8.7176190915463553E-2</v>
      </c>
    </row>
    <row r="68" spans="1:6" hidden="1" outlineLevel="1" x14ac:dyDescent="0.25">
      <c r="A68" s="26">
        <v>41456</v>
      </c>
      <c r="B68" s="6">
        <v>50.145919999999997</v>
      </c>
      <c r="C68" s="6">
        <v>55.624332000000003</v>
      </c>
      <c r="E68" s="3">
        <f t="shared" si="2"/>
        <v>0.13210205184677712</v>
      </c>
      <c r="F68" s="3">
        <f t="shared" si="3"/>
        <v>3.0814137045351003E-2</v>
      </c>
    </row>
    <row r="69" spans="1:6" hidden="1" outlineLevel="1" x14ac:dyDescent="0.25">
      <c r="A69" s="26">
        <v>41426</v>
      </c>
      <c r="B69" s="6">
        <v>43.940441</v>
      </c>
      <c r="C69" s="6">
        <v>53.936455000000002</v>
      </c>
      <c r="E69" s="3">
        <f t="shared" si="2"/>
        <v>-7.877377903156231E-2</v>
      </c>
      <c r="F69" s="3">
        <f t="shared" si="3"/>
        <v>4.147113237600298E-2</v>
      </c>
    </row>
    <row r="70" spans="1:6" hidden="1" outlineLevel="1" x14ac:dyDescent="0.25">
      <c r="A70" s="26">
        <v>41395</v>
      </c>
      <c r="B70" s="6">
        <v>47.541778999999998</v>
      </c>
      <c r="C70" s="6">
        <v>51.745396</v>
      </c>
      <c r="E70" s="3">
        <f t="shared" si="2"/>
        <v>1.5574579732374539E-2</v>
      </c>
      <c r="F70" s="3">
        <f t="shared" si="3"/>
        <v>-4.7061905590419478E-2</v>
      </c>
    </row>
    <row r="71" spans="1:6" hidden="1" outlineLevel="1" x14ac:dyDescent="0.25">
      <c r="A71" s="26">
        <v>41365</v>
      </c>
      <c r="B71" s="6">
        <v>46.807071999999998</v>
      </c>
      <c r="C71" s="6">
        <v>54.238846000000002</v>
      </c>
      <c r="E71" s="3">
        <f t="shared" si="2"/>
        <v>2.7093593488165661E-4</v>
      </c>
      <c r="F71" s="3">
        <f t="shared" si="3"/>
        <v>9.4230338982560311E-3</v>
      </c>
    </row>
    <row r="72" spans="1:6" hidden="1" outlineLevel="1" x14ac:dyDescent="0.25">
      <c r="A72" s="26">
        <v>41334</v>
      </c>
      <c r="B72" s="6">
        <v>46.794392000000002</v>
      </c>
      <c r="C72" s="6">
        <v>53.730151999999997</v>
      </c>
      <c r="E72" s="3">
        <f t="shared" si="2"/>
        <v>4.425549471421529E-2</v>
      </c>
      <c r="F72" s="3">
        <f t="shared" si="3"/>
        <v>7.0236559325180206E-2</v>
      </c>
    </row>
    <row r="73" spans="1:6" hidden="1" outlineLevel="1" x14ac:dyDescent="0.25">
      <c r="A73" s="26">
        <v>41306</v>
      </c>
      <c r="B73" s="6">
        <v>44.768639</v>
      </c>
      <c r="C73" s="6">
        <v>50.085811999999997</v>
      </c>
      <c r="E73" s="3">
        <f t="shared" si="2"/>
        <v>-3.14221629752853E-2</v>
      </c>
      <c r="F73" s="3">
        <f t="shared" si="3"/>
        <v>3.3616583495417483E-2</v>
      </c>
    </row>
    <row r="74" spans="1:6" hidden="1" outlineLevel="1" x14ac:dyDescent="0.25">
      <c r="A74" s="26">
        <v>41275</v>
      </c>
      <c r="B74" s="6">
        <v>46.197701000000002</v>
      </c>
      <c r="C74" s="6">
        <v>48.430084000000001</v>
      </c>
      <c r="E74" s="3">
        <f t="shared" si="2"/>
        <v>-0.15558907021766993</v>
      </c>
      <c r="F74" s="3">
        <f t="shared" si="3"/>
        <v>4.635711167231342E-2</v>
      </c>
    </row>
    <row r="75" spans="1:6" hidden="1" outlineLevel="1" x14ac:dyDescent="0.25">
      <c r="A75" s="26">
        <v>41244</v>
      </c>
      <c r="B75" s="6">
        <v>53.974899000000001</v>
      </c>
      <c r="C75" s="6">
        <v>46.236248000000003</v>
      </c>
      <c r="E75" s="3">
        <f t="shared" si="2"/>
        <v>-6.278341324704087E-2</v>
      </c>
      <c r="F75" s="3">
        <f t="shared" si="3"/>
        <v>1.4927001401711633E-2</v>
      </c>
    </row>
    <row r="76" spans="1:6" hidden="1" outlineLevel="1" x14ac:dyDescent="0.25">
      <c r="A76" s="26">
        <v>41214</v>
      </c>
      <c r="B76" s="6">
        <v>57.472267000000002</v>
      </c>
      <c r="C76" s="6">
        <v>45.551205000000003</v>
      </c>
      <c r="E76" s="3">
        <f t="shared" si="2"/>
        <v>-1.7009228134492078E-2</v>
      </c>
      <c r="F76" s="3">
        <f t="shared" si="3"/>
        <v>5.8283357022854705E-2</v>
      </c>
    </row>
    <row r="77" spans="1:6" hidden="1" outlineLevel="1" x14ac:dyDescent="0.25">
      <c r="A77" s="26">
        <v>41183</v>
      </c>
      <c r="B77" s="6">
        <v>58.458187000000002</v>
      </c>
      <c r="C77" s="6">
        <v>42.972214000000001</v>
      </c>
      <c r="E77" s="3">
        <f t="shared" si="2"/>
        <v>-0.11384054355176348</v>
      </c>
      <c r="F77" s="3">
        <f t="shared" si="3"/>
        <v>1.2694903426794076E-2</v>
      </c>
    </row>
    <row r="78" spans="1:6" hidden="1" outlineLevel="1" x14ac:dyDescent="0.25">
      <c r="A78" s="26">
        <v>41153</v>
      </c>
      <c r="B78" s="6">
        <v>65.506691000000004</v>
      </c>
      <c r="C78" s="6">
        <v>42.430134000000002</v>
      </c>
      <c r="E78" s="3">
        <f t="shared" si="2"/>
        <v>3.3175234820611556E-2</v>
      </c>
      <c r="F78" s="3">
        <f t="shared" si="3"/>
        <v>2.833847675805343E-2</v>
      </c>
    </row>
    <row r="79" spans="1:6" hidden="1" outlineLevel="1" x14ac:dyDescent="0.25">
      <c r="A79" s="26">
        <v>41122</v>
      </c>
      <c r="B79" s="6">
        <v>63.369143999999999</v>
      </c>
      <c r="C79" s="6">
        <v>41.244605999999997</v>
      </c>
      <c r="E79" s="3">
        <f t="shared" si="2"/>
        <v>8.5443927510820875E-2</v>
      </c>
      <c r="F79" s="3">
        <f t="shared" si="3"/>
        <v>6.0007829877709876E-2</v>
      </c>
    </row>
    <row r="80" spans="1:6" hidden="1" outlineLevel="1" x14ac:dyDescent="0.25">
      <c r="A80" s="26">
        <v>41091</v>
      </c>
      <c r="B80" s="6">
        <v>58.179504000000001</v>
      </c>
      <c r="C80" s="6">
        <v>38.842402999999997</v>
      </c>
      <c r="E80" s="3">
        <f t="shared" si="2"/>
        <v>4.4803079652886366E-2</v>
      </c>
      <c r="F80" s="3">
        <f t="shared" si="3"/>
        <v>-3.3601340670216528E-2</v>
      </c>
    </row>
    <row r="81" spans="1:6" hidden="1" outlineLevel="1" x14ac:dyDescent="0.25">
      <c r="A81" s="26">
        <v>41061</v>
      </c>
      <c r="B81" s="6">
        <v>55.630412999999997</v>
      </c>
      <c r="C81" s="6">
        <v>40.169735000000003</v>
      </c>
      <c r="E81" s="3">
        <f t="shared" si="2"/>
        <v>1.0794044610391084E-2</v>
      </c>
      <c r="F81" s="3">
        <f t="shared" si="3"/>
        <v>1.9766929913424238E-2</v>
      </c>
    </row>
    <row r="82" spans="1:6" hidden="1" outlineLevel="1" x14ac:dyDescent="0.25">
      <c r="A82" s="26">
        <v>41030</v>
      </c>
      <c r="B82" s="6">
        <v>55.033164999999997</v>
      </c>
      <c r="C82" s="6">
        <v>39.383499</v>
      </c>
      <c r="E82" s="3">
        <f t="shared" si="2"/>
        <v>-1.0760105764054529E-2</v>
      </c>
      <c r="F82" s="3">
        <f t="shared" si="3"/>
        <v>-3.603809909189918E-2</v>
      </c>
    </row>
    <row r="83" spans="1:6" hidden="1" outlineLevel="1" x14ac:dyDescent="0.25">
      <c r="A83" s="26">
        <v>41000</v>
      </c>
      <c r="B83" s="6">
        <v>55.628525000000003</v>
      </c>
      <c r="C83" s="6">
        <v>40.828690000000002</v>
      </c>
      <c r="E83" s="3">
        <f t="shared" si="2"/>
        <v>-2.6312522384197522E-2</v>
      </c>
      <c r="F83" s="3">
        <f t="shared" si="3"/>
        <v>-5.8750062326359903E-2</v>
      </c>
    </row>
    <row r="84" spans="1:6" hidden="1" outlineLevel="1" x14ac:dyDescent="0.25">
      <c r="A84" s="26">
        <v>40969</v>
      </c>
      <c r="B84" s="6">
        <v>57.111679000000002</v>
      </c>
      <c r="C84" s="6">
        <v>43.299239999999998</v>
      </c>
      <c r="E84" s="3">
        <f t="shared" si="2"/>
        <v>0.1001018723259286</v>
      </c>
      <c r="F84" s="3">
        <f t="shared" si="3"/>
        <v>3.2318489923243605E-2</v>
      </c>
    </row>
    <row r="85" spans="1:6" hidden="1" outlineLevel="1" x14ac:dyDescent="0.25">
      <c r="A85" s="26">
        <v>40940</v>
      </c>
      <c r="B85" s="6">
        <v>51.671520000000001</v>
      </c>
      <c r="C85" s="6">
        <v>41.922244999999997</v>
      </c>
      <c r="E85" s="3">
        <f t="shared" si="2"/>
        <v>0.17253272365200584</v>
      </c>
      <c r="F85" s="3">
        <f t="shared" si="3"/>
        <v>5.5575139189848612E-2</v>
      </c>
    </row>
    <row r="86" spans="1:6" hidden="1" outlineLevel="1" x14ac:dyDescent="0.25">
      <c r="A86" s="26">
        <v>40909</v>
      </c>
      <c r="B86" s="6">
        <v>43.483173000000001</v>
      </c>
      <c r="C86" s="6">
        <v>39.655968000000001</v>
      </c>
      <c r="E86" s="3">
        <f t="shared" si="2"/>
        <v>0.11965778366501913</v>
      </c>
      <c r="F86" s="3">
        <f t="shared" si="3"/>
        <v>-2.0981974039671596E-2</v>
      </c>
    </row>
    <row r="87" spans="1:6" hidden="1" outlineLevel="1" x14ac:dyDescent="0.25">
      <c r="A87" s="26">
        <v>40878</v>
      </c>
      <c r="B87" s="6">
        <v>38.579315000000001</v>
      </c>
      <c r="C87" s="6">
        <v>40.496819000000002</v>
      </c>
      <c r="E87" s="3">
        <f t="shared" si="2"/>
        <v>5.7942882909883787E-2</v>
      </c>
      <c r="F87" s="3">
        <f t="shared" si="3"/>
        <v>3.7161599108149042E-2</v>
      </c>
    </row>
    <row r="88" spans="1:6" hidden="1" outlineLevel="1" x14ac:dyDescent="0.25">
      <c r="A88" s="26">
        <v>40848</v>
      </c>
      <c r="B88" s="6">
        <v>36.407448000000002</v>
      </c>
      <c r="C88" s="6">
        <v>39.019511999999999</v>
      </c>
      <c r="E88" s="3">
        <f t="shared" si="2"/>
        <v>-5.7399698294657964E-2</v>
      </c>
      <c r="F88" s="3">
        <f t="shared" si="3"/>
        <v>-9.7784798880145074E-2</v>
      </c>
    </row>
    <row r="89" spans="1:6" hidden="1" outlineLevel="1" x14ac:dyDescent="0.25">
      <c r="A89" s="26">
        <v>40817</v>
      </c>
      <c r="B89" s="6">
        <v>38.558365000000002</v>
      </c>
      <c r="C89" s="6">
        <v>43.027808999999998</v>
      </c>
      <c r="E89" s="3">
        <f t="shared" si="2"/>
        <v>5.9704656309112342E-2</v>
      </c>
      <c r="F89" s="3">
        <f t="shared" si="3"/>
        <v>1.8995125155575675E-2</v>
      </c>
    </row>
    <row r="90" spans="1:6" hidden="1" outlineLevel="1" x14ac:dyDescent="0.25">
      <c r="A90" s="26">
        <v>40787</v>
      </c>
      <c r="B90" s="6">
        <v>36.323627000000002</v>
      </c>
      <c r="C90" s="6">
        <v>42.218204</v>
      </c>
      <c r="E90" s="3">
        <f t="shared" si="2"/>
        <v>-9.1623742544899751E-3</v>
      </c>
      <c r="F90" s="3">
        <f t="shared" si="3"/>
        <v>-1.3051258179502197E-2</v>
      </c>
    </row>
    <row r="91" spans="1:6" hidden="1" outlineLevel="1" x14ac:dyDescent="0.25">
      <c r="A91" s="26">
        <v>40756</v>
      </c>
      <c r="B91" s="6">
        <v>36.657966999999999</v>
      </c>
      <c r="C91" s="6">
        <v>42.772815999999999</v>
      </c>
      <c r="E91" s="3">
        <f t="shared" si="2"/>
        <v>-1.4575148075378373E-2</v>
      </c>
      <c r="F91" s="3">
        <f t="shared" si="3"/>
        <v>-2.652293211084138E-2</v>
      </c>
    </row>
    <row r="92" spans="1:6" hidden="1" outlineLevel="1" x14ac:dyDescent="0.25">
      <c r="A92" s="26">
        <v>40725</v>
      </c>
      <c r="B92" s="6">
        <v>37.196174999999997</v>
      </c>
      <c r="C92" s="6">
        <v>43.922454999999999</v>
      </c>
      <c r="E92" s="3">
        <f t="shared" si="2"/>
        <v>0.15124817703954213</v>
      </c>
      <c r="F92" s="3">
        <f t="shared" si="3"/>
        <v>8.2811146004195119E-3</v>
      </c>
    </row>
    <row r="93" spans="1:6" hidden="1" outlineLevel="1" x14ac:dyDescent="0.25">
      <c r="A93" s="26">
        <v>40695</v>
      </c>
      <c r="B93" s="6">
        <v>31.975109</v>
      </c>
      <c r="C93" s="6">
        <v>43.560229999999997</v>
      </c>
      <c r="E93" s="3">
        <f t="shared" si="2"/>
        <v>-3.5585106846870038E-2</v>
      </c>
      <c r="F93" s="3">
        <f t="shared" si="3"/>
        <v>-2.2583147116158272E-2</v>
      </c>
    </row>
    <row r="94" spans="1:6" hidden="1" outlineLevel="1" x14ac:dyDescent="0.25">
      <c r="A94" s="26">
        <v>40664</v>
      </c>
      <c r="B94" s="6">
        <v>33.133434000000001</v>
      </c>
      <c r="C94" s="6">
        <v>44.555149</v>
      </c>
      <c r="E94" s="3">
        <f t="shared" si="2"/>
        <v>-6.5907083685697943E-3</v>
      </c>
      <c r="F94" s="3">
        <f t="shared" si="3"/>
        <v>-4.9011169559721466E-3</v>
      </c>
    </row>
    <row r="95" spans="1:6" hidden="1" outlineLevel="1" x14ac:dyDescent="0.25">
      <c r="A95" s="26">
        <v>40634</v>
      </c>
      <c r="B95" s="6">
        <v>33.352528</v>
      </c>
      <c r="C95" s="6">
        <v>44.774054999999997</v>
      </c>
      <c r="E95" s="3">
        <f t="shared" si="2"/>
        <v>4.637462170940054E-3</v>
      </c>
      <c r="F95" s="3">
        <f t="shared" si="3"/>
        <v>5.9163503688842087E-2</v>
      </c>
    </row>
    <row r="96" spans="1:6" hidden="1" outlineLevel="1" x14ac:dyDescent="0.25">
      <c r="A96" s="26">
        <v>40603</v>
      </c>
      <c r="B96" s="6">
        <v>33.198214999999998</v>
      </c>
      <c r="C96" s="6">
        <v>42.201903999999999</v>
      </c>
      <c r="E96" s="3">
        <f t="shared" si="2"/>
        <v>-1.3396018114221324E-2</v>
      </c>
      <c r="F96" s="3">
        <f t="shared" si="3"/>
        <v>1.5467028061682707E-2</v>
      </c>
    </row>
    <row r="97" spans="1:6" hidden="1" outlineLevel="1" x14ac:dyDescent="0.25">
      <c r="A97" s="26">
        <v>40575</v>
      </c>
      <c r="B97" s="6">
        <v>33.645930999999997</v>
      </c>
      <c r="C97" s="6">
        <v>41.554188000000003</v>
      </c>
      <c r="E97" s="3">
        <f t="shared" si="2"/>
        <v>4.0119263967248533E-2</v>
      </c>
      <c r="F97" s="3">
        <f t="shared" si="3"/>
        <v>6.2797663392619454E-2</v>
      </c>
    </row>
    <row r="98" spans="1:6" hidden="1" outlineLevel="1" x14ac:dyDescent="0.25">
      <c r="A98" s="26">
        <v>40544</v>
      </c>
      <c r="B98" s="6">
        <v>32.322800000000001</v>
      </c>
      <c r="C98" s="6">
        <v>39.024929</v>
      </c>
      <c r="E98" s="3">
        <f t="shared" si="2"/>
        <v>5.0654093457427614E-2</v>
      </c>
      <c r="F98" s="3">
        <f t="shared" si="3"/>
        <v>-1.5388182553408857E-2</v>
      </c>
    </row>
    <row r="99" spans="1:6" hidden="1" outlineLevel="1" x14ac:dyDescent="0.25">
      <c r="A99" s="26">
        <v>40513</v>
      </c>
      <c r="B99" s="6">
        <v>30.726293999999999</v>
      </c>
      <c r="C99" s="6">
        <v>39.630096000000002</v>
      </c>
      <c r="E99" s="3">
        <f t="shared" si="2"/>
        <v>3.6014516448256047E-2</v>
      </c>
      <c r="F99" s="3">
        <f t="shared" si="3"/>
        <v>4.5109042294686735E-2</v>
      </c>
    </row>
    <row r="100" spans="1:6" hidden="1" outlineLevel="1" x14ac:dyDescent="0.25">
      <c r="A100" s="26">
        <v>40483</v>
      </c>
      <c r="B100" s="6">
        <v>29.639391</v>
      </c>
      <c r="C100" s="6">
        <v>37.882140999999997</v>
      </c>
      <c r="E100" s="3">
        <f t="shared" si="2"/>
        <v>3.3230999815200966E-2</v>
      </c>
      <c r="F100" s="3">
        <f t="shared" si="3"/>
        <v>-2.0706576155375384E-2</v>
      </c>
    </row>
    <row r="101" spans="1:6" hidden="1" outlineLevel="1" x14ac:dyDescent="0.25">
      <c r="A101" s="26">
        <v>40452</v>
      </c>
      <c r="B101" s="6">
        <v>28.670629999999999</v>
      </c>
      <c r="C101" s="6">
        <v>38.674728000000002</v>
      </c>
      <c r="E101" s="3">
        <f t="shared" si="2"/>
        <v>5.8950422157251561E-2</v>
      </c>
      <c r="F101" s="3">
        <f t="shared" si="3"/>
        <v>-4.9615651172647381E-3</v>
      </c>
    </row>
    <row r="102" spans="1:6" hidden="1" outlineLevel="1" x14ac:dyDescent="0.25">
      <c r="A102" s="26">
        <v>40422</v>
      </c>
      <c r="B102" s="6">
        <v>27.029337000000002</v>
      </c>
      <c r="C102" s="6">
        <v>38.867092</v>
      </c>
      <c r="E102" s="3">
        <f t="shared" si="2"/>
        <v>0.15462062541137916</v>
      </c>
      <c r="F102" s="3">
        <f t="shared" si="3"/>
        <v>2.4622627812122235E-2</v>
      </c>
    </row>
    <row r="103" spans="1:6" hidden="1" outlineLevel="1" x14ac:dyDescent="0.25">
      <c r="A103" s="26">
        <v>40391</v>
      </c>
      <c r="B103" s="6">
        <v>23.157118000000001</v>
      </c>
      <c r="C103" s="6">
        <v>37.921768</v>
      </c>
      <c r="E103" s="3">
        <f t="shared" si="2"/>
        <v>-5.6575420975125419E-2</v>
      </c>
      <c r="F103" s="3">
        <f t="shared" si="3"/>
        <v>-7.4204705417428851E-3</v>
      </c>
    </row>
    <row r="104" spans="1:6" hidden="1" outlineLevel="1" x14ac:dyDescent="0.25">
      <c r="A104" s="26">
        <v>40360</v>
      </c>
      <c r="B104" s="6">
        <v>24.505011</v>
      </c>
      <c r="C104" s="6">
        <v>38.204211999999998</v>
      </c>
      <c r="E104" s="3">
        <f t="shared" si="2"/>
        <v>2.2486219627365481E-2</v>
      </c>
      <c r="F104" s="3">
        <f t="shared" si="3"/>
        <v>-4.9821746845733709E-3</v>
      </c>
    </row>
    <row r="105" spans="1:6" hidden="1" outlineLevel="1" x14ac:dyDescent="0.25">
      <c r="A105" s="26">
        <v>40330</v>
      </c>
      <c r="B105" s="6">
        <v>23.960135000000001</v>
      </c>
      <c r="C105" s="6">
        <v>38.395026999999999</v>
      </c>
      <c r="E105" s="3">
        <f t="shared" si="2"/>
        <v>-2.1047152257473754E-2</v>
      </c>
      <c r="F105" s="3">
        <f t="shared" si="3"/>
        <v>-5.3254588882322713E-2</v>
      </c>
    </row>
    <row r="106" spans="1:6" hidden="1" outlineLevel="1" x14ac:dyDescent="0.25">
      <c r="A106" s="26">
        <v>40299</v>
      </c>
      <c r="B106" s="6">
        <v>24.469771999999999</v>
      </c>
      <c r="C106" s="6">
        <v>40.495162999999998</v>
      </c>
      <c r="E106" s="3">
        <f t="shared" si="2"/>
        <v>-1.6255864688260405E-2</v>
      </c>
      <c r="F106" s="3">
        <f t="shared" si="3"/>
        <v>-2.7869342827523631E-2</v>
      </c>
    </row>
    <row r="107" spans="1:6" hidden="1" outlineLevel="1" x14ac:dyDescent="0.25">
      <c r="A107" s="26">
        <v>40269</v>
      </c>
      <c r="B107" s="6">
        <v>24.870799999999999</v>
      </c>
      <c r="C107" s="6">
        <v>41.639609999999998</v>
      </c>
      <c r="E107" s="3">
        <f t="shared" si="2"/>
        <v>0.10527979060113814</v>
      </c>
      <c r="F107" s="3">
        <f t="shared" si="3"/>
        <v>2.7869342827523579E-2</v>
      </c>
    </row>
    <row r="108" spans="1:6" hidden="1" outlineLevel="1" x14ac:dyDescent="0.25">
      <c r="A108" s="26">
        <v>40238</v>
      </c>
      <c r="B108" s="6">
        <v>22.385527</v>
      </c>
      <c r="C108" s="6">
        <v>40.495162999999998</v>
      </c>
      <c r="E108" s="3">
        <f t="shared" si="2"/>
        <v>0.13843072261054745</v>
      </c>
      <c r="F108" s="3">
        <f t="shared" si="3"/>
        <v>3.1442883779947424E-2</v>
      </c>
    </row>
    <row r="109" spans="1:6" hidden="1" outlineLevel="1" x14ac:dyDescent="0.25">
      <c r="A109" s="26">
        <v>40210</v>
      </c>
      <c r="B109" s="6">
        <v>19.491606000000001</v>
      </c>
      <c r="C109" s="6">
        <v>39.241688000000003</v>
      </c>
      <c r="E109" s="3">
        <f t="shared" si="2"/>
        <v>6.3346820771750079E-2</v>
      </c>
      <c r="F109" s="3">
        <f t="shared" si="3"/>
        <v>-4.260778800395406E-2</v>
      </c>
    </row>
    <row r="110" spans="1:6" hidden="1" outlineLevel="1" x14ac:dyDescent="0.25">
      <c r="A110" s="26">
        <v>40179</v>
      </c>
      <c r="B110" s="6">
        <v>18.295169999999999</v>
      </c>
      <c r="C110" s="6">
        <v>40.949821</v>
      </c>
      <c r="E110" s="3">
        <f t="shared" si="2"/>
        <v>-9.2769972651683186E-2</v>
      </c>
      <c r="F110" s="3">
        <f t="shared" si="3"/>
        <v>2.2673225895911069E-2</v>
      </c>
    </row>
    <row r="111" spans="1:6" hidden="1" outlineLevel="1" x14ac:dyDescent="0.25">
      <c r="A111" s="26">
        <v>40148</v>
      </c>
      <c r="B111" s="6">
        <v>20.073630999999999</v>
      </c>
      <c r="C111" s="6">
        <v>40.031802999999996</v>
      </c>
      <c r="E111" s="3">
        <f t="shared" si="2"/>
        <v>5.271094910580109E-2</v>
      </c>
      <c r="F111" s="3">
        <f t="shared" si="3"/>
        <v>1.8827577427685521E-2</v>
      </c>
    </row>
    <row r="112" spans="1:6" hidden="1" outlineLevel="1" x14ac:dyDescent="0.25">
      <c r="A112" s="26">
        <v>40118</v>
      </c>
      <c r="B112" s="6">
        <v>19.042933999999999</v>
      </c>
      <c r="C112" s="6">
        <v>39.285151999999997</v>
      </c>
      <c r="E112" s="3">
        <f t="shared" si="2"/>
        <v>5.8768730172218744E-2</v>
      </c>
      <c r="F112" s="3">
        <f t="shared" si="3"/>
        <v>1.997787119485684E-2</v>
      </c>
    </row>
    <row r="113" spans="1:6" hidden="1" outlineLevel="1" x14ac:dyDescent="0.25">
      <c r="A113" s="26">
        <v>40087</v>
      </c>
      <c r="B113" s="6">
        <v>17.956054999999999</v>
      </c>
      <c r="C113" s="6">
        <v>38.508105999999998</v>
      </c>
      <c r="E113" s="3">
        <f t="shared" si="2"/>
        <v>1.6852054831431509E-2</v>
      </c>
      <c r="F113" s="3">
        <f t="shared" si="3"/>
        <v>4.5854840830725919E-2</v>
      </c>
    </row>
    <row r="114" spans="1:6" ht="18" hidden="1" outlineLevel="1" x14ac:dyDescent="0.25">
      <c r="A114" s="26">
        <v>40057</v>
      </c>
      <c r="B114" s="6">
        <v>17.655994</v>
      </c>
      <c r="C114" s="6">
        <v>36.782195999999999</v>
      </c>
      <c r="E114" s="3">
        <f t="shared" si="2"/>
        <v>9.7032976419659439E-2</v>
      </c>
      <c r="F114" s="3">
        <f t="shared" si="3"/>
        <v>5.2459933479165811E-2</v>
      </c>
    </row>
    <row r="115" spans="1:6" ht="24" hidden="1" outlineLevel="1" x14ac:dyDescent="0.25">
      <c r="A115" s="26">
        <v>40026</v>
      </c>
      <c r="B115" s="6">
        <v>16.023275000000002</v>
      </c>
      <c r="C115" s="6">
        <v>34.902343999999999</v>
      </c>
      <c r="E115" s="3">
        <f t="shared" si="2"/>
        <v>2.9073316510300224E-2</v>
      </c>
      <c r="F115" s="3">
        <f t="shared" si="3"/>
        <v>-8.6692925354493293E-3</v>
      </c>
    </row>
    <row r="116" spans="1:6" ht="18.600000000000001" hidden="1" outlineLevel="1" x14ac:dyDescent="0.25">
      <c r="A116" s="26">
        <v>39995</v>
      </c>
      <c r="B116" s="6">
        <v>15.564132000000001</v>
      </c>
      <c r="C116" s="6">
        <v>35.206237999999999</v>
      </c>
      <c r="E116" s="3">
        <f t="shared" si="2"/>
        <v>0.13728922955037989</v>
      </c>
      <c r="F116" s="3">
        <f t="shared" si="3"/>
        <v>1.9773470388389794E-2</v>
      </c>
    </row>
    <row r="117" spans="1:6" ht="22.8" hidden="1" outlineLevel="1" x14ac:dyDescent="0.25">
      <c r="A117" s="26">
        <v>39965</v>
      </c>
      <c r="B117" s="6">
        <v>13.567534999999999</v>
      </c>
      <c r="C117" s="6">
        <v>34.516925999999998</v>
      </c>
      <c r="E117" s="3">
        <f t="shared" si="2"/>
        <v>4.7593717264136394E-2</v>
      </c>
      <c r="F117" s="3">
        <f t="shared" si="3"/>
        <v>8.1855323308452549E-2</v>
      </c>
    </row>
    <row r="118" spans="1:6" ht="24.6" hidden="1" outlineLevel="1" collapsed="1" x14ac:dyDescent="0.25">
      <c r="A118" s="26">
        <v>39934</v>
      </c>
      <c r="B118" s="6">
        <v>12.936931</v>
      </c>
      <c r="C118" s="6">
        <v>31.804076999999999</v>
      </c>
      <c r="E118" s="3">
        <f t="shared" si="2"/>
        <v>7.6324928749680512E-2</v>
      </c>
      <c r="F118" s="3">
        <f t="shared" si="3"/>
        <v>2.6711765312306745E-2</v>
      </c>
    </row>
    <row r="119" spans="1:6" collapsed="1" x14ac:dyDescent="0.25">
      <c r="A119" s="26">
        <v>39904</v>
      </c>
      <c r="B119" s="6">
        <v>11.986262</v>
      </c>
      <c r="C119" s="6">
        <v>30.965779999999999</v>
      </c>
      <c r="E119" s="3">
        <f t="shared" si="2"/>
        <v>0.17982937483629954</v>
      </c>
      <c r="F119" s="3">
        <f t="shared" si="3"/>
        <v>0.13941774256888045</v>
      </c>
    </row>
    <row r="120" spans="1:6" x14ac:dyDescent="0.25">
      <c r="A120" s="26">
        <v>39873</v>
      </c>
      <c r="B120" s="6">
        <v>10.013476000000001</v>
      </c>
      <c r="C120" s="6">
        <v>26.936035</v>
      </c>
      <c r="E120" s="3">
        <f t="shared" si="2"/>
        <v>0.16298894786765122</v>
      </c>
      <c r="F120" s="3">
        <f t="shared" si="3"/>
        <v>-5.1818552970314548E-2</v>
      </c>
    </row>
    <row r="121" spans="1:6" x14ac:dyDescent="0.25">
      <c r="A121" s="26">
        <v>39845</v>
      </c>
      <c r="B121" s="6">
        <v>8.5074550000000002</v>
      </c>
      <c r="C121" s="6">
        <v>28.368618000000001</v>
      </c>
      <c r="E121" s="3">
        <f t="shared" si="2"/>
        <v>-9.1395831936074562E-3</v>
      </c>
      <c r="F121" s="3">
        <f t="shared" si="3"/>
        <v>-0.11561085485906979</v>
      </c>
    </row>
    <row r="122" spans="1:6" x14ac:dyDescent="0.25">
      <c r="A122" s="26">
        <v>39814</v>
      </c>
      <c r="B122" s="6">
        <v>8.585566</v>
      </c>
      <c r="C122" s="6">
        <v>31.845445999999999</v>
      </c>
    </row>
    <row r="124" spans="1:6" x14ac:dyDescent="0.25">
      <c r="B124" s="27" t="s">
        <v>7</v>
      </c>
      <c r="C124" s="27" t="s">
        <v>50</v>
      </c>
    </row>
    <row r="125" spans="1:6" x14ac:dyDescent="0.25">
      <c r="A125" t="s">
        <v>0</v>
      </c>
      <c r="B125" s="1">
        <f>AVERAGE(E3:E121)</f>
        <v>2.442509304160731E-2</v>
      </c>
      <c r="C125" s="1">
        <f>AVERAGE(F3:F121)</f>
        <v>4.8103460140296057E-3</v>
      </c>
      <c r="D125" t="str">
        <f ca="1">getformula(C125)</f>
        <v>&lt;--  =AVERAGE(F3:F121)</v>
      </c>
    </row>
    <row r="126" spans="1:6" x14ac:dyDescent="0.25">
      <c r="A126" t="s">
        <v>1</v>
      </c>
      <c r="B126" s="2">
        <f>_xlfn.VAR.S(E3:E121)</f>
        <v>5.3712821527955373E-3</v>
      </c>
      <c r="C126" s="2">
        <f>_xlfn.VAR.S(F3:F121)</f>
        <v>2.0585201434897477E-3</v>
      </c>
      <c r="D126" t="str">
        <f ca="1">getformula(C126)</f>
        <v>&lt;--  =VAR.S(F3:F121)</v>
      </c>
    </row>
    <row r="127" spans="1:6" x14ac:dyDescent="0.25">
      <c r="A127" t="s">
        <v>2</v>
      </c>
      <c r="B127" s="3">
        <f>_xlfn.STDEV.S(E3:E121)</f>
        <v>7.328903159952066E-2</v>
      </c>
      <c r="C127" s="3">
        <f>_xlfn.STDEV.S(F3:F121)</f>
        <v>4.5370917375448204E-2</v>
      </c>
      <c r="D127" t="str">
        <f ca="1">getformula(C127)</f>
        <v>&lt;--  =STDEV.S(F3:F121)</v>
      </c>
    </row>
    <row r="129" spans="1:4" x14ac:dyDescent="0.25">
      <c r="A129" t="s">
        <v>3</v>
      </c>
      <c r="B129" s="3">
        <f>12*B125</f>
        <v>0.29310111649928772</v>
      </c>
      <c r="C129" s="3">
        <f>12*C125</f>
        <v>5.7724152168355268E-2</v>
      </c>
      <c r="D129" t="str">
        <f ca="1">getformula(C129)</f>
        <v>&lt;--  =12*C125</v>
      </c>
    </row>
    <row r="130" spans="1:4" x14ac:dyDescent="0.25">
      <c r="A130" t="s">
        <v>4</v>
      </c>
      <c r="B130" s="2">
        <f>12*B126</f>
        <v>6.4455385833546444E-2</v>
      </c>
      <c r="C130" s="2">
        <f>12*C126</f>
        <v>2.4702241721876975E-2</v>
      </c>
      <c r="D130" t="str">
        <f ca="1">getformula(C130)</f>
        <v>&lt;--  =12*C126</v>
      </c>
    </row>
    <row r="131" spans="1:4" x14ac:dyDescent="0.25">
      <c r="A131" t="s">
        <v>5</v>
      </c>
      <c r="B131" s="3">
        <f>SQRT(12)*B127</f>
        <v>0.25388065273578142</v>
      </c>
      <c r="C131" s="3">
        <f>SQRT(12)*C127</f>
        <v>0.15716946816057173</v>
      </c>
      <c r="D131" t="str">
        <f ca="1">getformula(C131)</f>
        <v>&lt;--  =SQRT(12)*C127</v>
      </c>
    </row>
  </sheetData>
  <mergeCells count="1">
    <mergeCell ref="A1:G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35"/>
  <sheetViews>
    <sheetView workbookViewId="0">
      <selection activeCell="C121" sqref="C121"/>
    </sheetView>
  </sheetViews>
  <sheetFormatPr defaultRowHeight="13.8" outlineLevelRow="1" x14ac:dyDescent="0.25"/>
  <cols>
    <col min="1" max="1" width="15.796875" style="13" bestFit="1" customWidth="1"/>
    <col min="2" max="2" width="8.3984375" bestFit="1" customWidth="1"/>
    <col min="3" max="3" width="56" customWidth="1"/>
    <col min="4" max="4" width="14.8984375" customWidth="1"/>
    <col min="5" max="5" width="7.3984375" bestFit="1" customWidth="1"/>
    <col min="7" max="7" width="8.796875" customWidth="1"/>
    <col min="8" max="8" width="9.09765625" bestFit="1" customWidth="1"/>
  </cols>
  <sheetData>
    <row r="1" spans="1:8" ht="24" customHeight="1" x14ac:dyDescent="0.25">
      <c r="A1" s="66" t="s">
        <v>8</v>
      </c>
      <c r="B1" s="66"/>
      <c r="C1" s="66"/>
      <c r="D1" s="66"/>
      <c r="E1" s="66"/>
      <c r="F1" s="66"/>
      <c r="G1" s="66"/>
      <c r="H1" s="66"/>
    </row>
    <row r="2" spans="1:8" x14ac:dyDescent="0.25">
      <c r="B2" s="65" t="s">
        <v>9</v>
      </c>
      <c r="C2" s="65"/>
      <c r="E2" s="65" t="s">
        <v>11</v>
      </c>
      <c r="F2" s="65"/>
      <c r="G2" s="65"/>
    </row>
    <row r="3" spans="1:8" x14ac:dyDescent="0.25">
      <c r="A3" s="28" t="s">
        <v>6</v>
      </c>
      <c r="B3" s="4" t="str">
        <f>'AAPL and K'!E2</f>
        <v>AAPL</v>
      </c>
      <c r="C3" s="4" t="str">
        <f>'AAPL and K'!F2</f>
        <v>Kellogg</v>
      </c>
      <c r="D3" s="4"/>
      <c r="E3" s="4" t="str">
        <f>B3</f>
        <v>AAPL</v>
      </c>
      <c r="F3" s="4" t="str">
        <f>C3</f>
        <v>Kellogg</v>
      </c>
      <c r="G3" s="4" t="s">
        <v>12</v>
      </c>
    </row>
    <row r="4" spans="1:8" x14ac:dyDescent="0.25">
      <c r="A4" s="29">
        <f>'AAPL and K'!A3</f>
        <v>43435</v>
      </c>
      <c r="B4" s="1">
        <f>'AAPL and K'!E3</f>
        <v>-0.12060544914787433</v>
      </c>
      <c r="C4" s="1">
        <f>'AAPL and K'!F3</f>
        <v>-0.10127955443263523</v>
      </c>
      <c r="D4" s="19" t="str">
        <f ca="1">_xlfn.FORMULATEXT(E4)&amp;"--&gt;"</f>
        <v>=B4-$B$124--&gt;</v>
      </c>
      <c r="E4" s="3">
        <f>B4-$B$124</f>
        <v>-0.14503054218948164</v>
      </c>
      <c r="F4" s="3">
        <f>C4-$C$124</f>
        <v>-0.10608990044666483</v>
      </c>
      <c r="G4" s="3">
        <f>E4*F4</f>
        <v>1.5386275782607931E-2</v>
      </c>
      <c r="H4" t="str">
        <f ca="1">"&lt;--"&amp;_xlfn.FORMULATEXT(G4)</f>
        <v>&lt;--=E4*F4</v>
      </c>
    </row>
    <row r="5" spans="1:8" x14ac:dyDescent="0.25">
      <c r="A5" s="29">
        <f>'AAPL and K'!A4</f>
        <v>43405</v>
      </c>
      <c r="B5" s="1">
        <f>'AAPL and K'!E4</f>
        <v>-0.20339554632600876</v>
      </c>
      <c r="C5" s="1">
        <f>'AAPL and K'!F4</f>
        <v>-2.8345446386111743E-2</v>
      </c>
      <c r="D5" s="24" t="str">
        <f ca="1">_xlfn.FORMULATEXT(E5)&amp;"--&gt;"</f>
        <v>=B5-$B$124--&gt;</v>
      </c>
      <c r="E5" s="3">
        <f t="shared" ref="E5:E63" si="0">B5-$B$124</f>
        <v>-0.22782063936761607</v>
      </c>
      <c r="F5" s="3">
        <f t="shared" ref="F5:F63" si="1">C5-$C$124</f>
        <v>-3.3155792400141347E-2</v>
      </c>
      <c r="G5" s="3">
        <f t="shared" ref="G5:G63" si="2">E5*F5</f>
        <v>7.553573823340147E-3</v>
      </c>
      <c r="H5" t="str">
        <f ca="1">"&lt;--"&amp;_xlfn.FORMULATEXT(G5)</f>
        <v>&lt;--=E5*F5</v>
      </c>
    </row>
    <row r="6" spans="1:8" x14ac:dyDescent="0.25">
      <c r="A6" s="29">
        <f>'AAPL and K'!A5</f>
        <v>43374</v>
      </c>
      <c r="B6" s="1">
        <f>'AAPL and K'!E5</f>
        <v>-3.0951701391631649E-2</v>
      </c>
      <c r="C6" s="1">
        <f>'AAPL and K'!F5</f>
        <v>-6.7036101839614837E-2</v>
      </c>
      <c r="E6" s="3">
        <f t="shared" si="0"/>
        <v>-5.5376794433238959E-2</v>
      </c>
      <c r="F6" s="3">
        <f t="shared" si="1"/>
        <v>-7.1846447853644441E-2</v>
      </c>
      <c r="G6" s="3">
        <f t="shared" si="2"/>
        <v>3.9786259735496909E-3</v>
      </c>
    </row>
    <row r="7" spans="1:8" x14ac:dyDescent="0.25">
      <c r="A7" s="29">
        <f>'AAPL and K'!A6</f>
        <v>43344</v>
      </c>
      <c r="B7" s="1">
        <f>'AAPL and K'!E6</f>
        <v>-4.8366106134015195E-3</v>
      </c>
      <c r="C7" s="1">
        <f>'AAPL and K'!F6</f>
        <v>-1.7128780322179672E-2</v>
      </c>
      <c r="E7" s="3">
        <f t="shared" si="0"/>
        <v>-2.9261703655008828E-2</v>
      </c>
      <c r="F7" s="3">
        <f t="shared" si="1"/>
        <v>-2.1939126336209279E-2</v>
      </c>
      <c r="G7" s="3">
        <f t="shared" si="2"/>
        <v>6.4197621329995555E-4</v>
      </c>
    </row>
    <row r="8" spans="1:8" hidden="1" outlineLevel="1" x14ac:dyDescent="0.25">
      <c r="A8" s="29">
        <f>'AAPL and K'!A7</f>
        <v>43313</v>
      </c>
      <c r="B8" s="1">
        <f>'AAPL and K'!E7</f>
        <v>0.17917233187127421</v>
      </c>
      <c r="C8" s="1">
        <f>'AAPL and K'!F7</f>
        <v>1.0642976109089951E-2</v>
      </c>
      <c r="E8" s="3">
        <f t="shared" si="0"/>
        <v>0.1547472388296669</v>
      </c>
      <c r="F8" s="3">
        <f t="shared" si="1"/>
        <v>5.8326300950603451E-3</v>
      </c>
      <c r="G8" s="3">
        <f t="shared" si="2"/>
        <v>9.0258340232540594E-4</v>
      </c>
    </row>
    <row r="9" spans="1:8" hidden="1" outlineLevel="1" x14ac:dyDescent="0.25">
      <c r="A9" s="29">
        <f>'AAPL and K'!A8</f>
        <v>43282</v>
      </c>
      <c r="B9" s="1">
        <f>'AAPL and K'!E8</f>
        <v>2.7598887839150311E-2</v>
      </c>
      <c r="C9" s="1">
        <f>'AAPL and K'!F8</f>
        <v>1.646583209338915E-2</v>
      </c>
      <c r="E9" s="3">
        <f t="shared" si="0"/>
        <v>3.173794797543001E-3</v>
      </c>
      <c r="F9" s="3">
        <f t="shared" si="1"/>
        <v>1.1655486079359545E-2</v>
      </c>
      <c r="G9" s="3">
        <f t="shared" si="2"/>
        <v>3.6992121081506191E-5</v>
      </c>
    </row>
    <row r="10" spans="1:8" hidden="1" outlineLevel="1" x14ac:dyDescent="0.25">
      <c r="A10" s="29">
        <f>'AAPL and K'!A9</f>
        <v>43252</v>
      </c>
      <c r="B10" s="1">
        <f>'AAPL and K'!E9</f>
        <v>-5.6142405580539871E-3</v>
      </c>
      <c r="C10" s="1">
        <f>'AAPL and K'!F9</f>
        <v>8.9897280865844614E-2</v>
      </c>
      <c r="E10" s="3">
        <f t="shared" si="0"/>
        <v>-3.0039333599661298E-2</v>
      </c>
      <c r="F10" s="3">
        <f t="shared" si="1"/>
        <v>8.508693485181501E-2</v>
      </c>
      <c r="G10" s="3">
        <f t="shared" si="2"/>
        <v>-2.5559548209863185E-3</v>
      </c>
    </row>
    <row r="11" spans="1:8" hidden="1" outlineLevel="1" x14ac:dyDescent="0.25">
      <c r="A11" s="29">
        <f>'AAPL and K'!A10</f>
        <v>43221</v>
      </c>
      <c r="B11" s="1">
        <f>'AAPL and K'!E10</f>
        <v>0.12289326386661924</v>
      </c>
      <c r="C11" s="1">
        <f>'AAPL and K'!F10</f>
        <v>8.9117209341012499E-2</v>
      </c>
      <c r="E11" s="3">
        <f t="shared" si="0"/>
        <v>9.8468170825011928E-2</v>
      </c>
      <c r="F11" s="3">
        <f t="shared" si="1"/>
        <v>8.4306863326982895E-2</v>
      </c>
      <c r="G11" s="3">
        <f t="shared" si="2"/>
        <v>8.3015426198022844E-3</v>
      </c>
    </row>
    <row r="12" spans="1:8" hidden="1" outlineLevel="1" x14ac:dyDescent="0.25">
      <c r="A12" s="29">
        <f>'AAPL and K'!A11</f>
        <v>43191</v>
      </c>
      <c r="B12" s="1">
        <f>'AAPL and K'!E11</f>
        <v>-1.5133636467927848E-2</v>
      </c>
      <c r="C12" s="1">
        <f>'AAPL and K'!F11</f>
        <v>-9.0596719136717449E-2</v>
      </c>
      <c r="E12" s="3">
        <f t="shared" si="0"/>
        <v>-3.9558729509535158E-2</v>
      </c>
      <c r="F12" s="3">
        <f t="shared" si="1"/>
        <v>-9.5407065150747053E-2</v>
      </c>
      <c r="G12" s="3">
        <f t="shared" si="2"/>
        <v>3.774182283597001E-3</v>
      </c>
    </row>
    <row r="13" spans="1:8" hidden="1" outlineLevel="1" x14ac:dyDescent="0.25">
      <c r="A13" s="29">
        <f>'AAPL and K'!A12</f>
        <v>43160</v>
      </c>
      <c r="B13" s="1">
        <f>'AAPL and K'!E12</f>
        <v>-5.5735023670836853E-2</v>
      </c>
      <c r="C13" s="1">
        <f>'AAPL and K'!F12</f>
        <v>-1.8139248304434259E-2</v>
      </c>
      <c r="E13" s="3">
        <f t="shared" si="0"/>
        <v>-8.0160116712444163E-2</v>
      </c>
      <c r="F13" s="3">
        <f t="shared" si="1"/>
        <v>-2.2949594318463863E-2</v>
      </c>
      <c r="G13" s="3">
        <f t="shared" si="2"/>
        <v>1.8396421590713087E-3</v>
      </c>
    </row>
    <row r="14" spans="1:8" hidden="1" outlineLevel="1" x14ac:dyDescent="0.25">
      <c r="A14" s="29">
        <f>'AAPL and K'!A13</f>
        <v>43132</v>
      </c>
      <c r="B14" s="1">
        <f>'AAPL and K'!E13</f>
        <v>6.1892137187384975E-2</v>
      </c>
      <c r="C14" s="1">
        <f>'AAPL and K'!F13</f>
        <v>-2.844367511200694E-2</v>
      </c>
      <c r="E14" s="3">
        <f t="shared" si="0"/>
        <v>3.7467044145777666E-2</v>
      </c>
      <c r="F14" s="3">
        <f t="shared" si="1"/>
        <v>-3.3254021126036544E-2</v>
      </c>
      <c r="G14" s="3">
        <f t="shared" si="2"/>
        <v>-1.2459298775538343E-3</v>
      </c>
    </row>
    <row r="15" spans="1:8" hidden="1" outlineLevel="1" x14ac:dyDescent="0.25">
      <c r="A15" s="29">
        <f>'AAPL and K'!A14</f>
        <v>43101</v>
      </c>
      <c r="B15" s="1">
        <f>'AAPL and K'!E14</f>
        <v>-1.0693511068397676E-2</v>
      </c>
      <c r="C15" s="1">
        <f>'AAPL and K'!F14</f>
        <v>1.9105097893157086E-3</v>
      </c>
      <c r="E15" s="3">
        <f t="shared" si="0"/>
        <v>-3.5118604110004989E-2</v>
      </c>
      <c r="F15" s="3">
        <f t="shared" si="1"/>
        <v>-2.899836224713897E-3</v>
      </c>
      <c r="G15" s="3">
        <f t="shared" si="2"/>
        <v>1.0183820035957882E-4</v>
      </c>
    </row>
    <row r="16" spans="1:8" hidden="1" outlineLevel="1" x14ac:dyDescent="0.25">
      <c r="A16" s="29">
        <f>'AAPL and K'!A15</f>
        <v>43070</v>
      </c>
      <c r="B16" s="1">
        <f>'AAPL and K'!E15</f>
        <v>-1.1774756619693866E-2</v>
      </c>
      <c r="C16" s="1">
        <f>'AAPL and K'!F15</f>
        <v>4.8644400540017625E-2</v>
      </c>
      <c r="E16" s="3">
        <f t="shared" si="0"/>
        <v>-3.6199849661301173E-2</v>
      </c>
      <c r="F16" s="3">
        <f t="shared" si="1"/>
        <v>4.3834054525988021E-2</v>
      </c>
      <c r="G16" s="3">
        <f t="shared" si="2"/>
        <v>-1.5867861838860446E-3</v>
      </c>
    </row>
    <row r="17" spans="1:7" hidden="1" outlineLevel="1" x14ac:dyDescent="0.25">
      <c r="A17" s="29">
        <f>'AAPL and K'!A16</f>
        <v>43040</v>
      </c>
      <c r="B17" s="1">
        <f>'AAPL and K'!E16</f>
        <v>1.6486598492966249E-2</v>
      </c>
      <c r="C17" s="1">
        <f>'AAPL and K'!F16</f>
        <v>4.3039395618039149E-2</v>
      </c>
      <c r="E17" s="3">
        <f t="shared" si="0"/>
        <v>-7.9384945486410605E-3</v>
      </c>
      <c r="F17" s="3">
        <f t="shared" si="1"/>
        <v>3.8229049604009545E-2</v>
      </c>
      <c r="G17" s="3">
        <f t="shared" si="2"/>
        <v>-3.0348110188115849E-4</v>
      </c>
    </row>
    <row r="18" spans="1:7" hidden="1" outlineLevel="1" x14ac:dyDescent="0.25">
      <c r="A18" s="29">
        <f>'AAPL and K'!A17</f>
        <v>43009</v>
      </c>
      <c r="B18" s="1">
        <f>'AAPL and K'!E17</f>
        <v>9.2403994893137831E-2</v>
      </c>
      <c r="C18" s="1">
        <f>'AAPL and K'!F17</f>
        <v>2.5619986777041764E-3</v>
      </c>
      <c r="E18" s="3">
        <f t="shared" si="0"/>
        <v>6.7978901851530521E-2</v>
      </c>
      <c r="F18" s="3">
        <f t="shared" si="1"/>
        <v>-2.2483473363254292E-3</v>
      </c>
      <c r="G18" s="3">
        <f t="shared" si="2"/>
        <v>-1.5284018290421644E-4</v>
      </c>
    </row>
    <row r="19" spans="1:7" hidden="1" outlineLevel="1" x14ac:dyDescent="0.25">
      <c r="A19" s="29">
        <f>'AAPL and K'!A18</f>
        <v>42979</v>
      </c>
      <c r="B19" s="1">
        <f>'AAPL and K'!E18</f>
        <v>-5.8215744133111216E-2</v>
      </c>
      <c r="C19" s="1">
        <f>'AAPL and K'!F18</f>
        <v>-4.0176705273349524E-2</v>
      </c>
      <c r="E19" s="3">
        <f t="shared" si="0"/>
        <v>-8.2640837174718526E-2</v>
      </c>
      <c r="F19" s="3">
        <f t="shared" si="1"/>
        <v>-4.4987051287379128E-2</v>
      </c>
      <c r="G19" s="3">
        <f t="shared" si="2"/>
        <v>3.7177675804110099E-3</v>
      </c>
    </row>
    <row r="20" spans="1:7" hidden="1" outlineLevel="1" x14ac:dyDescent="0.25">
      <c r="A20" s="29">
        <f>'AAPL and K'!A19</f>
        <v>42948</v>
      </c>
      <c r="B20" s="1">
        <f>'AAPL and K'!E19</f>
        <v>9.7734009206961375E-2</v>
      </c>
      <c r="C20" s="1">
        <f>'AAPL and K'!F19</f>
        <v>-3.8068472802024099E-2</v>
      </c>
      <c r="E20" s="3">
        <f t="shared" si="0"/>
        <v>7.3308916165354066E-2</v>
      </c>
      <c r="F20" s="3">
        <f t="shared" si="1"/>
        <v>-4.2878818816053703E-2</v>
      </c>
      <c r="G20" s="3">
        <f t="shared" si="2"/>
        <v>-3.1433997338554875E-3</v>
      </c>
    </row>
    <row r="21" spans="1:7" hidden="1" outlineLevel="1" x14ac:dyDescent="0.25">
      <c r="A21" s="29">
        <f>'AAPL and K'!A20</f>
        <v>42917</v>
      </c>
      <c r="B21" s="1">
        <f>'AAPL and K'!E20</f>
        <v>3.2180259892837251E-2</v>
      </c>
      <c r="C21" s="1">
        <f>'AAPL and K'!F20</f>
        <v>-2.124338932319263E-2</v>
      </c>
      <c r="E21" s="3">
        <f t="shared" si="0"/>
        <v>7.7551668512299415E-3</v>
      </c>
      <c r="F21" s="3">
        <f t="shared" si="1"/>
        <v>-2.6053735337222238E-2</v>
      </c>
      <c r="G21" s="3">
        <f t="shared" si="2"/>
        <v>-2.0205106463794405E-4</v>
      </c>
    </row>
    <row r="22" spans="1:7" hidden="1" outlineLevel="1" x14ac:dyDescent="0.25">
      <c r="A22" s="29">
        <f>'AAPL and K'!A21</f>
        <v>42887</v>
      </c>
      <c r="B22" s="1">
        <f>'AAPL and K'!E21</f>
        <v>-5.4796785860792403E-2</v>
      </c>
      <c r="C22" s="1">
        <f>'AAPL and K'!F21</f>
        <v>-2.3157594131138274E-2</v>
      </c>
      <c r="E22" s="3">
        <f t="shared" si="0"/>
        <v>-7.9221878902399706E-2</v>
      </c>
      <c r="F22" s="3">
        <f t="shared" si="1"/>
        <v>-2.7967940145167881E-2</v>
      </c>
      <c r="G22" s="3">
        <f t="shared" si="2"/>
        <v>2.2156727673300534E-3</v>
      </c>
    </row>
    <row r="23" spans="1:7" hidden="1" outlineLevel="1" x14ac:dyDescent="0.25">
      <c r="A23" s="29">
        <f>'AAPL and K'!A22</f>
        <v>42856</v>
      </c>
      <c r="B23" s="1">
        <f>'AAPL and K'!E22</f>
        <v>6.1488392155418861E-2</v>
      </c>
      <c r="C23" s="1">
        <f>'AAPL and K'!F22</f>
        <v>8.4151498773705272E-3</v>
      </c>
      <c r="E23" s="3">
        <f t="shared" si="0"/>
        <v>3.7063299113811551E-2</v>
      </c>
      <c r="F23" s="3">
        <f t="shared" si="1"/>
        <v>3.6048038633409215E-3</v>
      </c>
      <c r="G23" s="3">
        <f t="shared" si="2"/>
        <v>1.3360592383362802E-4</v>
      </c>
    </row>
    <row r="24" spans="1:7" hidden="1" outlineLevel="1" x14ac:dyDescent="0.25">
      <c r="A24" s="29">
        <f>'AAPL and K'!A23</f>
        <v>42826</v>
      </c>
      <c r="B24" s="1">
        <f>'AAPL and K'!E23</f>
        <v>-6.9779089266844212E-5</v>
      </c>
      <c r="C24" s="1">
        <f>'AAPL and K'!F23</f>
        <v>-2.2422634199798841E-2</v>
      </c>
      <c r="E24" s="3">
        <f t="shared" si="0"/>
        <v>-2.4494872130874153E-2</v>
      </c>
      <c r="F24" s="3">
        <f t="shared" si="1"/>
        <v>-2.7232980213828445E-2</v>
      </c>
      <c r="G24" s="3">
        <f t="shared" si="2"/>
        <v>6.6706836808035357E-4</v>
      </c>
    </row>
    <row r="25" spans="1:7" hidden="1" outlineLevel="1" x14ac:dyDescent="0.25">
      <c r="A25" s="29">
        <f>'AAPL and K'!A24</f>
        <v>42795</v>
      </c>
      <c r="B25" s="1">
        <f>'AAPL and K'!E24</f>
        <v>5.186772067849077E-2</v>
      </c>
      <c r="C25" s="1">
        <f>'AAPL and K'!F24</f>
        <v>-1.2972030708049111E-2</v>
      </c>
      <c r="E25" s="3">
        <f t="shared" si="0"/>
        <v>2.744262763688346E-2</v>
      </c>
      <c r="F25" s="3">
        <f t="shared" si="1"/>
        <v>-1.7782376722078719E-2</v>
      </c>
      <c r="G25" s="3">
        <f t="shared" si="2"/>
        <v>-4.8799514288279058E-4</v>
      </c>
    </row>
    <row r="26" spans="1:7" hidden="1" outlineLevel="1" x14ac:dyDescent="0.25">
      <c r="A26" s="29">
        <f>'AAPL and K'!A25</f>
        <v>42767</v>
      </c>
      <c r="B26" s="1">
        <f>'AAPL and K'!E25</f>
        <v>0.12122896059991176</v>
      </c>
      <c r="C26" s="1">
        <f>'AAPL and K'!F25</f>
        <v>1.8531722154569764E-2</v>
      </c>
      <c r="E26" s="3">
        <f t="shared" si="0"/>
        <v>9.6803867558304446E-2</v>
      </c>
      <c r="F26" s="3">
        <f t="shared" si="1"/>
        <v>1.3721376140540158E-2</v>
      </c>
      <c r="G26" s="3">
        <f t="shared" si="2"/>
        <v>1.3282822786265282E-3</v>
      </c>
    </row>
    <row r="27" spans="1:7" hidden="1" outlineLevel="1" x14ac:dyDescent="0.25">
      <c r="A27" s="29">
        <f>'AAPL and K'!A26</f>
        <v>42736</v>
      </c>
      <c r="B27" s="1">
        <f>'AAPL and K'!E26</f>
        <v>4.6641729923096294E-2</v>
      </c>
      <c r="C27" s="1">
        <f>'AAPL and K'!F26</f>
        <v>-1.3659367215252205E-2</v>
      </c>
      <c r="E27" s="3">
        <f t="shared" si="0"/>
        <v>2.2216636881488984E-2</v>
      </c>
      <c r="F27" s="3">
        <f t="shared" si="1"/>
        <v>-1.8469713229281811E-2</v>
      </c>
      <c r="G27" s="3">
        <f t="shared" si="2"/>
        <v>-4.1033491212018726E-4</v>
      </c>
    </row>
    <row r="28" spans="1:7" hidden="1" outlineLevel="1" x14ac:dyDescent="0.25">
      <c r="A28" s="29">
        <f>'AAPL and K'!A27</f>
        <v>42705</v>
      </c>
      <c r="B28" s="1">
        <f>'AAPL and K'!E27</f>
        <v>5.1961893797766889E-2</v>
      </c>
      <c r="C28" s="1">
        <f>'AAPL and K'!F27</f>
        <v>3.0534592450257136E-2</v>
      </c>
      <c r="E28" s="3">
        <f t="shared" si="0"/>
        <v>2.753680075615958E-2</v>
      </c>
      <c r="F28" s="3">
        <f t="shared" si="1"/>
        <v>2.5724246436227532E-2</v>
      </c>
      <c r="G28" s="3">
        <f t="shared" si="2"/>
        <v>7.0836344871674567E-4</v>
      </c>
    </row>
    <row r="29" spans="1:7" hidden="1" outlineLevel="1" x14ac:dyDescent="0.25">
      <c r="A29" s="29">
        <f>'AAPL and K'!A28</f>
        <v>42675</v>
      </c>
      <c r="B29" s="1">
        <f>'AAPL and K'!E28</f>
        <v>-2.6958815702871286E-2</v>
      </c>
      <c r="C29" s="1">
        <f>'AAPL and K'!F28</f>
        <v>-4.2553949775697097E-2</v>
      </c>
      <c r="E29" s="3">
        <f t="shared" si="0"/>
        <v>-5.1383908744478596E-2</v>
      </c>
      <c r="F29" s="3">
        <f t="shared" si="1"/>
        <v>-4.7364295789726701E-2</v>
      </c>
      <c r="G29" s="3">
        <f t="shared" si="2"/>
        <v>2.4337626526058087E-3</v>
      </c>
    </row>
    <row r="30" spans="1:7" hidden="1" outlineLevel="1" x14ac:dyDescent="0.25">
      <c r="A30" s="29">
        <f>'AAPL and K'!A29</f>
        <v>42644</v>
      </c>
      <c r="B30" s="1">
        <f>'AAPL and K'!E29</f>
        <v>4.3249837686929271E-3</v>
      </c>
      <c r="C30" s="1">
        <f>'AAPL and K'!F29</f>
        <v>-3.0670877482395959E-2</v>
      </c>
      <c r="E30" s="3">
        <f t="shared" si="0"/>
        <v>-2.0100109272914383E-2</v>
      </c>
      <c r="F30" s="3">
        <f t="shared" si="1"/>
        <v>-3.5481223496425567E-2</v>
      </c>
      <c r="G30" s="3">
        <f t="shared" si="2"/>
        <v>7.1317646941485122E-4</v>
      </c>
    </row>
    <row r="31" spans="1:7" hidden="1" outlineLevel="1" x14ac:dyDescent="0.25">
      <c r="A31" s="29">
        <f>'AAPL and K'!A30</f>
        <v>42614</v>
      </c>
      <c r="B31" s="1">
        <f>'AAPL and K'!E30</f>
        <v>6.8850853926348474E-2</v>
      </c>
      <c r="C31" s="1">
        <f>'AAPL and K'!F30</f>
        <v>-5.3109529125624423E-2</v>
      </c>
      <c r="E31" s="3">
        <f t="shared" si="0"/>
        <v>4.4425760884741164E-2</v>
      </c>
      <c r="F31" s="3">
        <f t="shared" si="1"/>
        <v>-5.7919875139654027E-2</v>
      </c>
      <c r="G31" s="3">
        <f t="shared" si="2"/>
        <v>-2.573134523428334E-3</v>
      </c>
    </row>
    <row r="32" spans="1:7" hidden="1" outlineLevel="1" x14ac:dyDescent="0.25">
      <c r="A32" s="29">
        <f>'AAPL and K'!A31</f>
        <v>42583</v>
      </c>
      <c r="B32" s="1">
        <f>'AAPL and K'!E31</f>
        <v>1.7973893476060612E-2</v>
      </c>
      <c r="C32" s="1">
        <f>'AAPL and K'!F31</f>
        <v>-6.0637724807484673E-3</v>
      </c>
      <c r="E32" s="3">
        <f t="shared" si="0"/>
        <v>-6.4511995655466975E-3</v>
      </c>
      <c r="F32" s="3">
        <f t="shared" si="1"/>
        <v>-1.0874118494778073E-2</v>
      </c>
      <c r="G32" s="3">
        <f t="shared" si="2"/>
        <v>7.015110850921561E-5</v>
      </c>
    </row>
    <row r="33" spans="1:7" hidden="1" outlineLevel="1" x14ac:dyDescent="0.25">
      <c r="A33" s="29">
        <f>'AAPL and K'!A32</f>
        <v>42552</v>
      </c>
      <c r="B33" s="1">
        <f>'AAPL and K'!E32</f>
        <v>8.6235254938462166E-2</v>
      </c>
      <c r="C33" s="1">
        <f>'AAPL and K'!F32</f>
        <v>1.2898796747206988E-2</v>
      </c>
      <c r="E33" s="3">
        <f t="shared" si="0"/>
        <v>6.1810161896854857E-2</v>
      </c>
      <c r="F33" s="3">
        <f t="shared" si="1"/>
        <v>8.0884507331773822E-3</v>
      </c>
      <c r="G33" s="3">
        <f t="shared" si="2"/>
        <v>4.9994844931242836E-4</v>
      </c>
    </row>
    <row r="34" spans="1:7" hidden="1" outlineLevel="1" x14ac:dyDescent="0.25">
      <c r="A34" s="29">
        <f>'AAPL and K'!A33</f>
        <v>42522</v>
      </c>
      <c r="B34" s="1">
        <f>'AAPL and K'!E33</f>
        <v>-3.7526417648364709E-2</v>
      </c>
      <c r="C34" s="1">
        <f>'AAPL and K'!F33</f>
        <v>0.10004862617064693</v>
      </c>
      <c r="E34" s="3">
        <f t="shared" si="0"/>
        <v>-6.1951510689972018E-2</v>
      </c>
      <c r="F34" s="3">
        <f t="shared" si="1"/>
        <v>9.5238280156617325E-2</v>
      </c>
      <c r="G34" s="3">
        <f t="shared" si="2"/>
        <v>-5.9001553312172279E-3</v>
      </c>
    </row>
    <row r="35" spans="1:7" hidden="1" outlineLevel="1" x14ac:dyDescent="0.25">
      <c r="A35" s="29">
        <f>'AAPL and K'!A34</f>
        <v>42491</v>
      </c>
      <c r="B35" s="1">
        <f>'AAPL and K'!E34</f>
        <v>6.3244347576697169E-2</v>
      </c>
      <c r="C35" s="1">
        <f>'AAPL and K'!F34</f>
        <v>-3.228212308558543E-2</v>
      </c>
      <c r="E35" s="3">
        <f t="shared" si="0"/>
        <v>3.8819254535089859E-2</v>
      </c>
      <c r="F35" s="3">
        <f t="shared" si="1"/>
        <v>-3.7092469099615034E-2</v>
      </c>
      <c r="G35" s="3">
        <f t="shared" si="2"/>
        <v>-1.4399019993129114E-3</v>
      </c>
    </row>
    <row r="36" spans="1:7" hidden="1" outlineLevel="1" x14ac:dyDescent="0.25">
      <c r="A36" s="29">
        <f>'AAPL and K'!A35</f>
        <v>42461</v>
      </c>
      <c r="B36" s="1">
        <f>'AAPL and K'!E35</f>
        <v>-0.15073127149063728</v>
      </c>
      <c r="C36" s="1">
        <f>'AAPL and K'!F35</f>
        <v>3.39062910569403E-3</v>
      </c>
      <c r="E36" s="3">
        <f t="shared" si="0"/>
        <v>-0.17515636453224459</v>
      </c>
      <c r="F36" s="3">
        <f t="shared" si="1"/>
        <v>-1.4197169083355757E-3</v>
      </c>
      <c r="G36" s="3">
        <f t="shared" si="2"/>
        <v>2.4867245232901736E-4</v>
      </c>
    </row>
    <row r="37" spans="1:7" hidden="1" outlineLevel="1" x14ac:dyDescent="0.25">
      <c r="A37" s="29">
        <f>'AAPL and K'!A36</f>
        <v>42430</v>
      </c>
      <c r="B37" s="1">
        <f>'AAPL and K'!E36</f>
        <v>0.12515770247534916</v>
      </c>
      <c r="C37" s="1">
        <f>'AAPL and K'!F36</f>
        <v>4.0305900937300021E-2</v>
      </c>
      <c r="E37" s="3">
        <f t="shared" si="0"/>
        <v>0.10073260943374185</v>
      </c>
      <c r="F37" s="3">
        <f t="shared" si="1"/>
        <v>3.5495554923270417E-2</v>
      </c>
      <c r="G37" s="3">
        <f t="shared" si="2"/>
        <v>3.5755598707197314E-3</v>
      </c>
    </row>
    <row r="38" spans="1:7" hidden="1" outlineLevel="1" x14ac:dyDescent="0.25">
      <c r="A38" s="29">
        <f>'AAPL and K'!A37</f>
        <v>42401</v>
      </c>
      <c r="B38" s="1">
        <f>'AAPL and K'!E37</f>
        <v>-6.6999269060085574E-3</v>
      </c>
      <c r="C38" s="1">
        <f>'AAPL and K'!F37</f>
        <v>7.8664799627023961E-3</v>
      </c>
      <c r="E38" s="3">
        <f t="shared" si="0"/>
        <v>-3.1125019947615868E-2</v>
      </c>
      <c r="F38" s="3">
        <f t="shared" si="1"/>
        <v>3.0561339486727904E-3</v>
      </c>
      <c r="G38" s="3">
        <f t="shared" si="2"/>
        <v>-9.5122230115026658E-5</v>
      </c>
    </row>
    <row r="39" spans="1:7" hidden="1" outlineLevel="1" x14ac:dyDescent="0.25">
      <c r="A39" s="29">
        <f>'AAPL and K'!A38</f>
        <v>42370</v>
      </c>
      <c r="B39" s="1">
        <f>'AAPL and K'!E38</f>
        <v>-7.8223471566607181E-2</v>
      </c>
      <c r="C39" s="1">
        <f>'AAPL and K'!F38</f>
        <v>1.6059912097553433E-2</v>
      </c>
      <c r="E39" s="3">
        <f t="shared" si="0"/>
        <v>-0.10264856460821449</v>
      </c>
      <c r="F39" s="3">
        <f t="shared" si="1"/>
        <v>1.1249566083523828E-2</v>
      </c>
      <c r="G39" s="3">
        <f t="shared" si="2"/>
        <v>-1.154751810938974E-3</v>
      </c>
    </row>
    <row r="40" spans="1:7" hidden="1" outlineLevel="1" x14ac:dyDescent="0.25">
      <c r="A40" s="29">
        <f>'AAPL and K'!A39</f>
        <v>42339</v>
      </c>
      <c r="B40" s="1">
        <f>'AAPL and K'!E39</f>
        <v>-0.11251880068259988</v>
      </c>
      <c r="C40" s="1">
        <f>'AAPL and K'!F39</f>
        <v>5.6895312000143583E-2</v>
      </c>
      <c r="E40" s="3">
        <f t="shared" si="0"/>
        <v>-0.13694389372420718</v>
      </c>
      <c r="F40" s="3">
        <f t="shared" si="1"/>
        <v>5.2084965986113979E-2</v>
      </c>
      <c r="G40" s="3">
        <f t="shared" si="2"/>
        <v>-7.1327180466313382E-3</v>
      </c>
    </row>
    <row r="41" spans="1:7" hidden="1" outlineLevel="1" x14ac:dyDescent="0.25">
      <c r="A41" s="29">
        <f>'AAPL and K'!A40</f>
        <v>42309</v>
      </c>
      <c r="B41" s="1">
        <f>'AAPL and K'!E40</f>
        <v>-1.0092751987705661E-2</v>
      </c>
      <c r="C41" s="1">
        <f>'AAPL and K'!F40</f>
        <v>-2.5128821564664408E-2</v>
      </c>
      <c r="E41" s="3">
        <f t="shared" si="0"/>
        <v>-3.4517845029312974E-2</v>
      </c>
      <c r="F41" s="3">
        <f t="shared" si="1"/>
        <v>-2.9939167578694012E-2</v>
      </c>
      <c r="G41" s="3">
        <f t="shared" si="2"/>
        <v>1.0334355467879913E-3</v>
      </c>
    </row>
    <row r="42" spans="1:7" hidden="1" outlineLevel="1" x14ac:dyDescent="0.25">
      <c r="A42" s="29">
        <f>'AAPL and K'!A41</f>
        <v>42278</v>
      </c>
      <c r="B42" s="1">
        <f>'AAPL and K'!E41</f>
        <v>8.0112422362387081E-2</v>
      </c>
      <c r="C42" s="1">
        <f>'AAPL and K'!F41</f>
        <v>5.7942558993461672E-2</v>
      </c>
      <c r="E42" s="3">
        <f t="shared" si="0"/>
        <v>5.5687329320779771E-2</v>
      </c>
      <c r="F42" s="3">
        <f t="shared" si="1"/>
        <v>5.3132212979432068E-2</v>
      </c>
      <c r="G42" s="3">
        <f t="shared" si="2"/>
        <v>2.9587910417274428E-3</v>
      </c>
    </row>
    <row r="43" spans="1:7" hidden="1" outlineLevel="1" x14ac:dyDescent="0.25">
      <c r="A43" s="29">
        <f>'AAPL and K'!A42</f>
        <v>42248</v>
      </c>
      <c r="B43" s="1">
        <f>'AAPL and K'!E42</f>
        <v>-1.8959506852724829E-2</v>
      </c>
      <c r="C43" s="1">
        <f>'AAPL and K'!F42</f>
        <v>1.1516169301347825E-2</v>
      </c>
      <c r="E43" s="3">
        <f t="shared" si="0"/>
        <v>-4.3384599894332139E-2</v>
      </c>
      <c r="F43" s="3">
        <f t="shared" si="1"/>
        <v>6.7058232873182192E-3</v>
      </c>
      <c r="G43" s="3">
        <f t="shared" si="2"/>
        <v>-2.9092946028239601E-4</v>
      </c>
    </row>
    <row r="44" spans="1:7" hidden="1" outlineLevel="1" x14ac:dyDescent="0.25">
      <c r="A44" s="29">
        <f>'AAPL and K'!A43</f>
        <v>42217</v>
      </c>
      <c r="B44" s="1">
        <f>'AAPL and K'!E43</f>
        <v>-7.1587104068490684E-2</v>
      </c>
      <c r="C44" s="1">
        <f>'AAPL and K'!F43</f>
        <v>1.6608028265237701E-3</v>
      </c>
      <c r="E44" s="3">
        <f t="shared" si="0"/>
        <v>-9.6012197110097994E-2</v>
      </c>
      <c r="F44" s="3">
        <f t="shared" si="1"/>
        <v>-3.1495431875058358E-3</v>
      </c>
      <c r="G44" s="3">
        <f t="shared" si="2"/>
        <v>3.0239456132557662E-4</v>
      </c>
    </row>
    <row r="45" spans="1:7" hidden="1" outlineLevel="1" x14ac:dyDescent="0.25">
      <c r="A45" s="29">
        <f>'AAPL and K'!A44</f>
        <v>42186</v>
      </c>
      <c r="B45" s="1">
        <f>'AAPL and K'!E44</f>
        <v>-3.348093898422045E-2</v>
      </c>
      <c r="C45" s="1">
        <f>'AAPL and K'!F44</f>
        <v>5.3865707695234903E-2</v>
      </c>
      <c r="E45" s="3">
        <f t="shared" si="0"/>
        <v>-5.790603202582776E-2</v>
      </c>
      <c r="F45" s="3">
        <f t="shared" si="1"/>
        <v>4.9055361681205299E-2</v>
      </c>
      <c r="G45" s="3">
        <f t="shared" si="2"/>
        <v>-2.840601344550438E-3</v>
      </c>
    </row>
    <row r="46" spans="1:7" hidden="1" outlineLevel="1" x14ac:dyDescent="0.25">
      <c r="A46" s="29">
        <f>'AAPL and K'!A45</f>
        <v>42156</v>
      </c>
      <c r="B46" s="1">
        <f>'AAPL and K'!E45</f>
        <v>-3.3769804060179459E-2</v>
      </c>
      <c r="C46" s="1">
        <f>'AAPL and K'!F45</f>
        <v>6.6626039142650478E-3</v>
      </c>
      <c r="E46" s="3">
        <f t="shared" si="0"/>
        <v>-5.8194897101786769E-2</v>
      </c>
      <c r="F46" s="3">
        <f t="shared" si="1"/>
        <v>1.8522579002354421E-3</v>
      </c>
      <c r="G46" s="3">
        <f t="shared" si="2"/>
        <v>-1.0779195791017318E-4</v>
      </c>
    </row>
    <row r="47" spans="1:7" hidden="1" outlineLevel="1" x14ac:dyDescent="0.25">
      <c r="A47" s="29">
        <f>'AAPL and K'!A46</f>
        <v>42125</v>
      </c>
      <c r="B47" s="1">
        <f>'AAPL and K'!E46</f>
        <v>4.0172822193584826E-2</v>
      </c>
      <c r="C47" s="1">
        <f>'AAPL and K'!F46</f>
        <v>-8.8818126508505551E-3</v>
      </c>
      <c r="E47" s="3">
        <f t="shared" si="0"/>
        <v>1.5747729151977516E-2</v>
      </c>
      <c r="F47" s="3">
        <f t="shared" si="1"/>
        <v>-1.3692158664880161E-2</v>
      </c>
      <c r="G47" s="3">
        <f t="shared" si="2"/>
        <v>-2.1562040616043485E-4</v>
      </c>
    </row>
    <row r="48" spans="1:7" hidden="1" outlineLevel="1" x14ac:dyDescent="0.25">
      <c r="A48" s="29">
        <f>'AAPL and K'!A47</f>
        <v>42095</v>
      </c>
      <c r="B48" s="1">
        <f>'AAPL and K'!E47</f>
        <v>5.769885673670077E-3</v>
      </c>
      <c r="C48" s="1">
        <f>'AAPL and K'!F47</f>
        <v>-3.2942430486370675E-2</v>
      </c>
      <c r="E48" s="3">
        <f t="shared" si="0"/>
        <v>-1.8655207367937233E-2</v>
      </c>
      <c r="F48" s="3">
        <f t="shared" si="1"/>
        <v>-3.7752776500400279E-2</v>
      </c>
      <c r="G48" s="3">
        <f t="shared" si="2"/>
        <v>7.0428587433035489E-4</v>
      </c>
    </row>
    <row r="49" spans="1:7" hidden="1" outlineLevel="1" x14ac:dyDescent="0.25">
      <c r="A49" s="29">
        <f>'AAPL and K'!A48</f>
        <v>42064</v>
      </c>
      <c r="B49" s="1">
        <f>'AAPL and K'!E48</f>
        <v>-2.7935606365857572E-2</v>
      </c>
      <c r="C49" s="1">
        <f>'AAPL and K'!F48</f>
        <v>2.2541764870257896E-2</v>
      </c>
      <c r="E49" s="3">
        <f t="shared" si="0"/>
        <v>-5.2360699407464878E-2</v>
      </c>
      <c r="F49" s="3">
        <f t="shared" si="1"/>
        <v>1.7731418856228288E-2</v>
      </c>
      <c r="G49" s="3">
        <f t="shared" si="2"/>
        <v>-9.2842949279882414E-4</v>
      </c>
    </row>
    <row r="50" spans="1:7" hidden="1" outlineLevel="1" x14ac:dyDescent="0.25">
      <c r="A50" s="29">
        <f>'AAPL and K'!A49</f>
        <v>42036</v>
      </c>
      <c r="B50" s="1">
        <f>'AAPL and K'!E49</f>
        <v>9.2077105043209415E-2</v>
      </c>
      <c r="C50" s="1">
        <f>'AAPL and K'!F49</f>
        <v>-1.6915811747022877E-2</v>
      </c>
      <c r="E50" s="3">
        <f t="shared" si="0"/>
        <v>6.7652012001602105E-2</v>
      </c>
      <c r="F50" s="3">
        <f t="shared" si="1"/>
        <v>-2.1726157761052481E-2</v>
      </c>
      <c r="G50" s="3">
        <f t="shared" si="2"/>
        <v>-1.4698182855994231E-3</v>
      </c>
    </row>
    <row r="51" spans="1:7" hidden="1" outlineLevel="1" x14ac:dyDescent="0.25">
      <c r="A51" s="29">
        <f>'AAPL and K'!A50</f>
        <v>42005</v>
      </c>
      <c r="B51" s="1">
        <f>'AAPL and K'!E50</f>
        <v>5.9611590767431326E-2</v>
      </c>
      <c r="C51" s="1">
        <f>'AAPL and K'!F50</f>
        <v>2.1369778230634936E-3</v>
      </c>
      <c r="E51" s="3">
        <f t="shared" si="0"/>
        <v>3.5186497725824016E-2</v>
      </c>
      <c r="F51" s="3">
        <f t="shared" si="1"/>
        <v>-2.673368190966112E-3</v>
      </c>
      <c r="G51" s="3">
        <f t="shared" si="2"/>
        <v>-9.4066463771719369E-5</v>
      </c>
    </row>
    <row r="52" spans="1:7" hidden="1" outlineLevel="1" x14ac:dyDescent="0.25">
      <c r="A52" s="29">
        <f>'AAPL and K'!A51</f>
        <v>41974</v>
      </c>
      <c r="B52" s="1">
        <f>'AAPL and K'!E51</f>
        <v>-7.0279312581139133E-2</v>
      </c>
      <c r="C52" s="1">
        <f>'AAPL and K'!F51</f>
        <v>-4.7511008252483283E-3</v>
      </c>
      <c r="E52" s="3">
        <f t="shared" si="0"/>
        <v>-9.4704405622746443E-2</v>
      </c>
      <c r="F52" s="3">
        <f t="shared" si="1"/>
        <v>-9.5614468392779331E-3</v>
      </c>
      <c r="G52" s="3">
        <f t="shared" si="2"/>
        <v>9.0551113980730431E-4</v>
      </c>
    </row>
    <row r="53" spans="1:7" hidden="1" outlineLevel="1" x14ac:dyDescent="0.25">
      <c r="A53" s="29">
        <f>'AAPL and K'!A52</f>
        <v>41944</v>
      </c>
      <c r="B53" s="1">
        <f>'AAPL and K'!E52</f>
        <v>9.640398815914436E-2</v>
      </c>
      <c r="C53" s="1">
        <f>'AAPL and K'!F52</f>
        <v>3.5177810436369653E-2</v>
      </c>
      <c r="E53" s="3">
        <f t="shared" si="0"/>
        <v>7.1978895117537051E-2</v>
      </c>
      <c r="F53" s="3">
        <f t="shared" si="1"/>
        <v>3.0367464422340049E-2</v>
      </c>
      <c r="G53" s="3">
        <f t="shared" si="2"/>
        <v>2.1858165366411522E-3</v>
      </c>
    </row>
    <row r="54" spans="1:7" hidden="1" outlineLevel="1" x14ac:dyDescent="0.25">
      <c r="A54" s="29">
        <f>'AAPL and K'!A53</f>
        <v>41913</v>
      </c>
      <c r="B54" s="1">
        <f>'AAPL and K'!E53</f>
        <v>6.9489005002121809E-2</v>
      </c>
      <c r="C54" s="1">
        <f>'AAPL and K'!F53</f>
        <v>3.7595884789121473E-2</v>
      </c>
      <c r="E54" s="3">
        <f t="shared" si="0"/>
        <v>4.5063911960514499E-2</v>
      </c>
      <c r="F54" s="3">
        <f t="shared" si="1"/>
        <v>3.2785538775091869E-2</v>
      </c>
      <c r="G54" s="3">
        <f t="shared" si="2"/>
        <v>1.4774446329387744E-3</v>
      </c>
    </row>
    <row r="55" spans="1:7" hidden="1" outlineLevel="1" x14ac:dyDescent="0.25">
      <c r="A55" s="29">
        <f>'AAPL and K'!A54</f>
        <v>41883</v>
      </c>
      <c r="B55" s="1">
        <f>'AAPL and K'!E54</f>
        <v>-1.2258742758189969E-2</v>
      </c>
      <c r="C55" s="1">
        <f>'AAPL and K'!F54</f>
        <v>-4.5729328184746572E-2</v>
      </c>
      <c r="E55" s="3">
        <f t="shared" si="0"/>
        <v>-3.6683835799797282E-2</v>
      </c>
      <c r="F55" s="3">
        <f t="shared" si="1"/>
        <v>-5.0539674198776176E-2</v>
      </c>
      <c r="G55" s="3">
        <f t="shared" si="2"/>
        <v>1.8539891096831566E-3</v>
      </c>
    </row>
    <row r="56" spans="1:7" hidden="1" outlineLevel="1" x14ac:dyDescent="0.25">
      <c r="A56" s="29">
        <f>'AAPL and K'!A55</f>
        <v>41852</v>
      </c>
      <c r="B56" s="1">
        <f>'AAPL and K'!E55</f>
        <v>6.9689915730000301E-2</v>
      </c>
      <c r="C56" s="1">
        <f>'AAPL and K'!F55</f>
        <v>8.241863193198376E-2</v>
      </c>
      <c r="E56" s="3">
        <f t="shared" si="0"/>
        <v>4.5264822688392992E-2</v>
      </c>
      <c r="F56" s="3">
        <f t="shared" si="1"/>
        <v>7.7608285917954156E-2</v>
      </c>
      <c r="G56" s="3">
        <f t="shared" si="2"/>
        <v>3.5129253012263018E-3</v>
      </c>
    </row>
    <row r="57" spans="1:7" hidden="1" outlineLevel="1" x14ac:dyDescent="0.25">
      <c r="A57" s="29">
        <f>'AAPL and K'!A56</f>
        <v>41821</v>
      </c>
      <c r="B57" s="1">
        <f>'AAPL and K'!E56</f>
        <v>2.8326287757557078E-2</v>
      </c>
      <c r="C57" s="1">
        <f>'AAPL and K'!F56</f>
        <v>-9.3591907020372775E-2</v>
      </c>
      <c r="E57" s="3">
        <f t="shared" si="0"/>
        <v>3.9011947159497684E-3</v>
      </c>
      <c r="F57" s="3">
        <f t="shared" si="1"/>
        <v>-9.8402253034402379E-2</v>
      </c>
      <c r="G57" s="3">
        <f t="shared" si="2"/>
        <v>-3.8388634957536264E-4</v>
      </c>
    </row>
    <row r="58" spans="1:7" hidden="1" outlineLevel="1" x14ac:dyDescent="0.25">
      <c r="A58" s="29">
        <f>'AAPL and K'!A57</f>
        <v>41791</v>
      </c>
      <c r="B58" s="1">
        <f>'AAPL and K'!E57</f>
        <v>6.6942249910657281E-2</v>
      </c>
      <c r="C58" s="1">
        <f>'AAPL and K'!F57</f>
        <v>-4.1932136438268985E-2</v>
      </c>
      <c r="E58" s="3">
        <f t="shared" si="0"/>
        <v>4.2517156869049971E-2</v>
      </c>
      <c r="F58" s="3">
        <f t="shared" si="1"/>
        <v>-4.6742482452298589E-2</v>
      </c>
      <c r="G58" s="3">
        <f t="shared" si="2"/>
        <v>-1.9873574588731946E-3</v>
      </c>
    </row>
    <row r="59" spans="1:7" hidden="1" outlineLevel="1" x14ac:dyDescent="0.25">
      <c r="A59" s="29">
        <f>'AAPL and K'!A58</f>
        <v>41760</v>
      </c>
      <c r="B59" s="1">
        <f>'AAPL and K'!E58</f>
        <v>7.0195609177416365E-2</v>
      </c>
      <c r="C59" s="1">
        <f>'AAPL and K'!F58</f>
        <v>3.1664750172367459E-2</v>
      </c>
      <c r="E59" s="3">
        <f t="shared" si="0"/>
        <v>4.5770516135809056E-2</v>
      </c>
      <c r="F59" s="3">
        <f t="shared" si="1"/>
        <v>2.6854404158337855E-2</v>
      </c>
      <c r="G59" s="3">
        <f t="shared" si="2"/>
        <v>1.2291399388467406E-3</v>
      </c>
    </row>
    <row r="60" spans="1:7" hidden="1" outlineLevel="1" x14ac:dyDescent="0.25">
      <c r="A60" s="29">
        <f>'AAPL and K'!A59</f>
        <v>41730</v>
      </c>
      <c r="B60" s="1">
        <f>'AAPL and K'!E59</f>
        <v>9.4761408163302557E-2</v>
      </c>
      <c r="C60" s="1">
        <f>'AAPL and K'!F59</f>
        <v>7.1241974157682339E-2</v>
      </c>
      <c r="E60" s="3">
        <f t="shared" si="0"/>
        <v>7.0336315121695248E-2</v>
      </c>
      <c r="F60" s="3">
        <f t="shared" si="1"/>
        <v>6.6431628143652735E-2</v>
      </c>
      <c r="G60" s="3">
        <f t="shared" si="2"/>
        <v>4.6725559311592375E-3</v>
      </c>
    </row>
    <row r="61" spans="1:7" hidden="1" outlineLevel="1" x14ac:dyDescent="0.25">
      <c r="A61" s="29">
        <f>'AAPL and K'!A60</f>
        <v>41699</v>
      </c>
      <c r="B61" s="1">
        <f>'AAPL and K'!E60</f>
        <v>6.2299784568121873E-2</v>
      </c>
      <c r="C61" s="1">
        <f>'AAPL and K'!F60</f>
        <v>3.2741924695456226E-2</v>
      </c>
      <c r="E61" s="3">
        <f t="shared" si="0"/>
        <v>3.7874691526514563E-2</v>
      </c>
      <c r="F61" s="3">
        <f t="shared" si="1"/>
        <v>2.7931578681426622E-2</v>
      </c>
      <c r="G61" s="3">
        <f t="shared" si="2"/>
        <v>1.0578999264076038E-3</v>
      </c>
    </row>
    <row r="62" spans="1:7" hidden="1" outlineLevel="1" x14ac:dyDescent="0.25">
      <c r="A62" s="29">
        <f>'AAPL and K'!A61</f>
        <v>41671</v>
      </c>
      <c r="B62" s="1">
        <f>'AAPL and K'!E61</f>
        <v>4.9950146236972089E-2</v>
      </c>
      <c r="C62" s="1">
        <f>'AAPL and K'!F61</f>
        <v>4.5681031959037381E-2</v>
      </c>
      <c r="E62" s="3">
        <f t="shared" si="0"/>
        <v>2.5525053195364779E-2</v>
      </c>
      <c r="F62" s="3">
        <f t="shared" si="1"/>
        <v>4.0870685945007777E-2</v>
      </c>
      <c r="G62" s="3">
        <f t="shared" si="2"/>
        <v>1.0432264328773711E-3</v>
      </c>
    </row>
    <row r="63" spans="1:7" hidden="1" outlineLevel="1" x14ac:dyDescent="0.25">
      <c r="A63" s="29">
        <f>'AAPL and K'!A62</f>
        <v>41640</v>
      </c>
      <c r="B63" s="1">
        <f>'AAPL and K'!E62</f>
        <v>-0.11394935387957596</v>
      </c>
      <c r="C63" s="1">
        <f>'AAPL and K'!F62</f>
        <v>-5.1922852667961435E-2</v>
      </c>
      <c r="E63" s="3">
        <f t="shared" si="0"/>
        <v>-0.13837444692118328</v>
      </c>
      <c r="F63" s="3">
        <f t="shared" si="1"/>
        <v>-5.6733198681991039E-2</v>
      </c>
      <c r="G63" s="3">
        <f t="shared" si="2"/>
        <v>7.8504249896901145E-3</v>
      </c>
    </row>
    <row r="64" spans="1:7" hidden="1" outlineLevel="1" x14ac:dyDescent="0.25">
      <c r="A64" s="29">
        <f>'AAPL and K'!A63</f>
        <v>41609</v>
      </c>
      <c r="B64" s="1">
        <f>'AAPL and K'!E63</f>
        <v>5.03427966552496E-2</v>
      </c>
      <c r="C64" s="1">
        <f>'AAPL and K'!F63</f>
        <v>1.454589436375049E-2</v>
      </c>
      <c r="E64" s="3">
        <f t="shared" ref="E64:E122" si="3">B64-$B$124</f>
        <v>2.591770361364229E-2</v>
      </c>
      <c r="F64" s="3">
        <f t="shared" ref="F64:F122" si="4">C64-$C$124</f>
        <v>9.7355483497208843E-3</v>
      </c>
      <c r="G64" s="3">
        <f t="shared" ref="G64:G122" si="5">E64*F64</f>
        <v>2.5232305664435017E-4</v>
      </c>
    </row>
    <row r="65" spans="1:7" hidden="1" outlineLevel="1" x14ac:dyDescent="0.25">
      <c r="A65" s="29">
        <f>'AAPL and K'!A64</f>
        <v>41579</v>
      </c>
      <c r="B65" s="1">
        <f>'AAPL and K'!E64</f>
        <v>6.1886721555747294E-2</v>
      </c>
      <c r="C65" s="1">
        <f>'AAPL and K'!F64</f>
        <v>-4.2140314756534507E-2</v>
      </c>
      <c r="E65" s="3">
        <f t="shared" si="3"/>
        <v>3.7461628514139984E-2</v>
      </c>
      <c r="F65" s="3">
        <f t="shared" si="4"/>
        <v>-4.6950660770564111E-2</v>
      </c>
      <c r="G65" s="3">
        <f t="shared" si="5"/>
        <v>-1.7588482122802781E-3</v>
      </c>
    </row>
    <row r="66" spans="1:7" hidden="1" outlineLevel="1" x14ac:dyDescent="0.25">
      <c r="A66" s="29">
        <f>'AAPL and K'!A65</f>
        <v>41548</v>
      </c>
      <c r="B66" s="1">
        <f>'AAPL and K'!E65</f>
        <v>9.2015184988865406E-2</v>
      </c>
      <c r="C66" s="1">
        <f>'AAPL and K'!F65</f>
        <v>7.4144329652407942E-2</v>
      </c>
      <c r="E66" s="3">
        <f t="shared" si="3"/>
        <v>6.7590091947258096E-2</v>
      </c>
      <c r="F66" s="3">
        <f t="shared" si="4"/>
        <v>6.9333983638378338E-2</v>
      </c>
      <c r="G66" s="3">
        <f t="shared" si="5"/>
        <v>4.6862903291876807E-3</v>
      </c>
    </row>
    <row r="67" spans="1:7" hidden="1" outlineLevel="1" x14ac:dyDescent="0.25">
      <c r="A67" s="29">
        <f>'AAPL and K'!A66</f>
        <v>41518</v>
      </c>
      <c r="B67" s="1">
        <f>'AAPL and K'!E66</f>
        <v>2.528008176933963E-2</v>
      </c>
      <c r="C67" s="1">
        <f>'AAPL and K'!F66</f>
        <v>-2.5598030418524428E-2</v>
      </c>
      <c r="E67" s="3">
        <f t="shared" si="3"/>
        <v>8.5498872773231982E-4</v>
      </c>
      <c r="F67" s="3">
        <f t="shared" si="4"/>
        <v>-3.0408376432554035E-2</v>
      </c>
      <c r="G67" s="3">
        <f t="shared" si="5"/>
        <v>-2.5998819078474832E-5</v>
      </c>
    </row>
    <row r="68" spans="1:7" hidden="1" outlineLevel="1" x14ac:dyDescent="0.25">
      <c r="A68" s="29">
        <f>'AAPL and K'!A67</f>
        <v>41487</v>
      </c>
      <c r="B68" s="1">
        <f>'AAPL and K'!E67</f>
        <v>7.3861726107924061E-2</v>
      </c>
      <c r="C68" s="1">
        <f>'AAPL and K'!F67</f>
        <v>-8.7176190915463553E-2</v>
      </c>
      <c r="E68" s="3">
        <f t="shared" si="3"/>
        <v>4.9436633066316751E-2</v>
      </c>
      <c r="F68" s="3">
        <f t="shared" si="4"/>
        <v>-9.1986536929493157E-2</v>
      </c>
      <c r="G68" s="3">
        <f t="shared" si="5"/>
        <v>-4.5475046732245481E-3</v>
      </c>
    </row>
    <row r="69" spans="1:7" hidden="1" outlineLevel="1" x14ac:dyDescent="0.25">
      <c r="A69" s="29">
        <f>'AAPL and K'!A68</f>
        <v>41456</v>
      </c>
      <c r="B69" s="1">
        <f>'AAPL and K'!E68</f>
        <v>0.13210205184677712</v>
      </c>
      <c r="C69" s="1">
        <f>'AAPL and K'!F68</f>
        <v>3.0814137045351003E-2</v>
      </c>
      <c r="E69" s="3">
        <f t="shared" si="3"/>
        <v>0.10767695880516981</v>
      </c>
      <c r="F69" s="3">
        <f t="shared" si="4"/>
        <v>2.6003791031321395E-2</v>
      </c>
      <c r="G69" s="3">
        <f t="shared" si="5"/>
        <v>2.8000091356578378E-3</v>
      </c>
    </row>
    <row r="70" spans="1:7" hidden="1" outlineLevel="1" x14ac:dyDescent="0.25">
      <c r="A70" s="29">
        <f>'AAPL and K'!A69</f>
        <v>41426</v>
      </c>
      <c r="B70" s="1">
        <f>'AAPL and K'!E69</f>
        <v>-7.877377903156231E-2</v>
      </c>
      <c r="C70" s="1">
        <f>'AAPL and K'!F69</f>
        <v>4.147113237600298E-2</v>
      </c>
      <c r="E70" s="3">
        <f t="shared" si="3"/>
        <v>-0.10319887207316962</v>
      </c>
      <c r="F70" s="3">
        <f t="shared" si="4"/>
        <v>3.6660786361973376E-2</v>
      </c>
      <c r="G70" s="3">
        <f t="shared" si="5"/>
        <v>-3.783351801871092E-3</v>
      </c>
    </row>
    <row r="71" spans="1:7" hidden="1" outlineLevel="1" x14ac:dyDescent="0.25">
      <c r="A71" s="29">
        <f>'AAPL and K'!A70</f>
        <v>41395</v>
      </c>
      <c r="B71" s="1">
        <f>'AAPL and K'!E70</f>
        <v>1.5574579732374539E-2</v>
      </c>
      <c r="C71" s="1">
        <f>'AAPL and K'!F70</f>
        <v>-4.7061905590419478E-2</v>
      </c>
      <c r="E71" s="3">
        <f t="shared" si="3"/>
        <v>-8.8505133092327704E-3</v>
      </c>
      <c r="F71" s="3">
        <f t="shared" si="4"/>
        <v>-5.1872251604449082E-2</v>
      </c>
      <c r="G71" s="3">
        <f t="shared" si="5"/>
        <v>4.5909605320504756E-4</v>
      </c>
    </row>
    <row r="72" spans="1:7" hidden="1" outlineLevel="1" x14ac:dyDescent="0.25">
      <c r="A72" s="29">
        <f>'AAPL and K'!A71</f>
        <v>41365</v>
      </c>
      <c r="B72" s="1">
        <f>'AAPL and K'!E71</f>
        <v>2.7093593488165661E-4</v>
      </c>
      <c r="C72" s="1">
        <f>'AAPL and K'!F71</f>
        <v>9.4230338982560311E-3</v>
      </c>
      <c r="E72" s="3">
        <f t="shared" si="3"/>
        <v>-2.4154157106725652E-2</v>
      </c>
      <c r="F72" s="3">
        <f t="shared" si="4"/>
        <v>4.6126878842264254E-3</v>
      </c>
      <c r="G72" s="3">
        <f t="shared" si="5"/>
        <v>-1.1141558783989502E-4</v>
      </c>
    </row>
    <row r="73" spans="1:7" hidden="1" outlineLevel="1" x14ac:dyDescent="0.25">
      <c r="A73" s="29">
        <f>'AAPL and K'!A72</f>
        <v>41334</v>
      </c>
      <c r="B73" s="1">
        <f>'AAPL and K'!E72</f>
        <v>4.425549471421529E-2</v>
      </c>
      <c r="C73" s="1">
        <f>'AAPL and K'!F72</f>
        <v>7.0236559325180206E-2</v>
      </c>
      <c r="E73" s="3">
        <f t="shared" si="3"/>
        <v>1.9830401672607981E-2</v>
      </c>
      <c r="F73" s="3">
        <f t="shared" si="4"/>
        <v>6.5426213311150602E-2</v>
      </c>
      <c r="G73" s="3">
        <f t="shared" si="5"/>
        <v>1.2974280898778473E-3</v>
      </c>
    </row>
    <row r="74" spans="1:7" hidden="1" outlineLevel="1" x14ac:dyDescent="0.25">
      <c r="A74" s="29">
        <f>'AAPL and K'!A73</f>
        <v>41306</v>
      </c>
      <c r="B74" s="1">
        <f>'AAPL and K'!E73</f>
        <v>-3.14221629752853E-2</v>
      </c>
      <c r="C74" s="1">
        <f>'AAPL and K'!F73</f>
        <v>3.3616583495417483E-2</v>
      </c>
      <c r="E74" s="3">
        <f t="shared" si="3"/>
        <v>-5.584725601689261E-2</v>
      </c>
      <c r="F74" s="3">
        <f t="shared" si="4"/>
        <v>2.8806237481387879E-2</v>
      </c>
      <c r="G74" s="3">
        <f t="shared" si="5"/>
        <v>-1.6087493195064766E-3</v>
      </c>
    </row>
    <row r="75" spans="1:7" hidden="1" outlineLevel="1" x14ac:dyDescent="0.25">
      <c r="A75" s="29">
        <f>'AAPL and K'!A74</f>
        <v>41275</v>
      </c>
      <c r="B75" s="1">
        <f>'AAPL and K'!E74</f>
        <v>-0.15558907021766993</v>
      </c>
      <c r="C75" s="1">
        <f>'AAPL and K'!F74</f>
        <v>4.635711167231342E-2</v>
      </c>
      <c r="E75" s="3">
        <f t="shared" si="3"/>
        <v>-0.18001416325927724</v>
      </c>
      <c r="F75" s="3">
        <f t="shared" si="4"/>
        <v>4.1546765658283816E-2</v>
      </c>
      <c r="G75" s="3">
        <f t="shared" si="5"/>
        <v>-7.4790062561052358E-3</v>
      </c>
    </row>
    <row r="76" spans="1:7" hidden="1" outlineLevel="1" x14ac:dyDescent="0.25">
      <c r="A76" s="29">
        <f>'AAPL and K'!A75</f>
        <v>41244</v>
      </c>
      <c r="B76" s="1">
        <f>'AAPL and K'!E75</f>
        <v>-6.278341324704087E-2</v>
      </c>
      <c r="C76" s="1">
        <f>'AAPL and K'!F75</f>
        <v>1.4927001401711633E-2</v>
      </c>
      <c r="E76" s="3">
        <f t="shared" si="3"/>
        <v>-8.720850628864818E-2</v>
      </c>
      <c r="F76" s="3">
        <f t="shared" si="4"/>
        <v>1.0116655387682028E-2</v>
      </c>
      <c r="G76" s="3">
        <f t="shared" si="5"/>
        <v>-8.8225840499675458E-4</v>
      </c>
    </row>
    <row r="77" spans="1:7" hidden="1" outlineLevel="1" x14ac:dyDescent="0.25">
      <c r="A77" s="29">
        <f>'AAPL and K'!A76</f>
        <v>41214</v>
      </c>
      <c r="B77" s="1">
        <f>'AAPL and K'!E76</f>
        <v>-1.7009228134492078E-2</v>
      </c>
      <c r="C77" s="1">
        <f>'AAPL and K'!F76</f>
        <v>5.8283357022854705E-2</v>
      </c>
      <c r="E77" s="3">
        <f t="shared" si="3"/>
        <v>-4.1434321176099388E-2</v>
      </c>
      <c r="F77" s="3">
        <f t="shared" si="4"/>
        <v>5.3473011008825101E-2</v>
      </c>
      <c r="G77" s="3">
        <f t="shared" si="5"/>
        <v>-2.2156179123927577E-3</v>
      </c>
    </row>
    <row r="78" spans="1:7" hidden="1" outlineLevel="1" x14ac:dyDescent="0.25">
      <c r="A78" s="29">
        <f>'AAPL and K'!A77</f>
        <v>41183</v>
      </c>
      <c r="B78" s="1">
        <f>'AAPL and K'!E77</f>
        <v>-0.11384054355176348</v>
      </c>
      <c r="C78" s="1">
        <f>'AAPL and K'!F77</f>
        <v>1.2694903426794076E-2</v>
      </c>
      <c r="E78" s="3">
        <f t="shared" si="3"/>
        <v>-0.13826563659337079</v>
      </c>
      <c r="F78" s="3">
        <f t="shared" si="4"/>
        <v>7.8845574127644705E-3</v>
      </c>
      <c r="G78" s="3">
        <f t="shared" si="5"/>
        <v>-1.0901633499328601E-3</v>
      </c>
    </row>
    <row r="79" spans="1:7" hidden="1" outlineLevel="1" x14ac:dyDescent="0.25">
      <c r="A79" s="29">
        <f>'AAPL and K'!A78</f>
        <v>41153</v>
      </c>
      <c r="B79" s="1">
        <f>'AAPL and K'!E78</f>
        <v>3.3175234820611556E-2</v>
      </c>
      <c r="C79" s="1">
        <f>'AAPL and K'!F78</f>
        <v>2.833847675805343E-2</v>
      </c>
      <c r="E79" s="3">
        <f t="shared" si="3"/>
        <v>8.750141779004246E-3</v>
      </c>
      <c r="F79" s="3">
        <f t="shared" si="4"/>
        <v>2.3528130744023823E-2</v>
      </c>
      <c r="G79" s="3">
        <f t="shared" si="5"/>
        <v>2.058744798051571E-4</v>
      </c>
    </row>
    <row r="80" spans="1:7" hidden="1" outlineLevel="1" x14ac:dyDescent="0.25">
      <c r="A80" s="29">
        <f>'AAPL and K'!A79</f>
        <v>41122</v>
      </c>
      <c r="B80" s="1">
        <f>'AAPL and K'!E79</f>
        <v>8.5443927510820875E-2</v>
      </c>
      <c r="C80" s="1">
        <f>'AAPL and K'!F79</f>
        <v>6.0007829877709876E-2</v>
      </c>
      <c r="E80" s="3">
        <f t="shared" si="3"/>
        <v>6.1018834469213565E-2</v>
      </c>
      <c r="F80" s="3">
        <f t="shared" si="4"/>
        <v>5.5197483863680272E-2</v>
      </c>
      <c r="G80" s="3">
        <f t="shared" si="5"/>
        <v>3.3680861309949932E-3</v>
      </c>
    </row>
    <row r="81" spans="1:7" hidden="1" outlineLevel="1" x14ac:dyDescent="0.25">
      <c r="A81" s="29">
        <f>'AAPL and K'!A80</f>
        <v>41091</v>
      </c>
      <c r="B81" s="1">
        <f>'AAPL and K'!E80</f>
        <v>4.4803079652886366E-2</v>
      </c>
      <c r="C81" s="1">
        <f>'AAPL and K'!F80</f>
        <v>-3.3601340670216528E-2</v>
      </c>
      <c r="E81" s="3">
        <f t="shared" si="3"/>
        <v>2.0377986611279056E-2</v>
      </c>
      <c r="F81" s="3">
        <f t="shared" si="4"/>
        <v>-3.8411686684246132E-2</v>
      </c>
      <c r="G81" s="3">
        <f t="shared" si="5"/>
        <v>-7.8275283696821365E-4</v>
      </c>
    </row>
    <row r="82" spans="1:7" hidden="1" outlineLevel="1" x14ac:dyDescent="0.25">
      <c r="A82" s="29">
        <f>'AAPL and K'!A81</f>
        <v>41061</v>
      </c>
      <c r="B82" s="1">
        <f>'AAPL and K'!E81</f>
        <v>1.0794044610391084E-2</v>
      </c>
      <c r="C82" s="1">
        <f>'AAPL and K'!F81</f>
        <v>1.9766929913424238E-2</v>
      </c>
      <c r="E82" s="3">
        <f t="shared" si="3"/>
        <v>-1.3631048431216226E-2</v>
      </c>
      <c r="F82" s="3">
        <f t="shared" si="4"/>
        <v>1.4956583899394632E-2</v>
      </c>
      <c r="G82" s="3">
        <f t="shared" si="5"/>
        <v>-2.0387391949819707E-4</v>
      </c>
    </row>
    <row r="83" spans="1:7" hidden="1" outlineLevel="1" x14ac:dyDescent="0.25">
      <c r="A83" s="29">
        <f>'AAPL and K'!A82</f>
        <v>41030</v>
      </c>
      <c r="B83" s="1">
        <f>'AAPL and K'!E82</f>
        <v>-1.0760105764054529E-2</v>
      </c>
      <c r="C83" s="1">
        <f>'AAPL and K'!F82</f>
        <v>-3.603809909189918E-2</v>
      </c>
      <c r="E83" s="3">
        <f t="shared" si="3"/>
        <v>-3.5185198805661837E-2</v>
      </c>
      <c r="F83" s="3">
        <f t="shared" si="4"/>
        <v>-4.0848445105928784E-2</v>
      </c>
      <c r="G83" s="3">
        <f t="shared" si="5"/>
        <v>1.4372606619542686E-3</v>
      </c>
    </row>
    <row r="84" spans="1:7" hidden="1" outlineLevel="1" x14ac:dyDescent="0.25">
      <c r="A84" s="29">
        <f>'AAPL and K'!A83</f>
        <v>41000</v>
      </c>
      <c r="B84" s="1">
        <f>'AAPL and K'!E83</f>
        <v>-2.6312522384197522E-2</v>
      </c>
      <c r="C84" s="1">
        <f>'AAPL and K'!F83</f>
        <v>-5.8750062326359903E-2</v>
      </c>
      <c r="E84" s="3">
        <f t="shared" si="3"/>
        <v>-5.0737615425804836E-2</v>
      </c>
      <c r="F84" s="3">
        <f t="shared" si="4"/>
        <v>-6.3560408340389507E-2</v>
      </c>
      <c r="G84" s="3">
        <f t="shared" si="5"/>
        <v>3.2249035546818008E-3</v>
      </c>
    </row>
    <row r="85" spans="1:7" hidden="1" outlineLevel="1" x14ac:dyDescent="0.25">
      <c r="A85" s="29">
        <f>'AAPL and K'!A84</f>
        <v>40969</v>
      </c>
      <c r="B85" s="1">
        <f>'AAPL and K'!E84</f>
        <v>0.1001018723259286</v>
      </c>
      <c r="C85" s="1">
        <f>'AAPL and K'!F84</f>
        <v>3.2318489923243605E-2</v>
      </c>
      <c r="E85" s="3">
        <f t="shared" si="3"/>
        <v>7.5676779284321288E-2</v>
      </c>
      <c r="F85" s="3">
        <f t="shared" si="4"/>
        <v>2.7508143909214001E-2</v>
      </c>
      <c r="G85" s="3">
        <f t="shared" si="5"/>
        <v>2.0817277351389348E-3</v>
      </c>
    </row>
    <row r="86" spans="1:7" hidden="1" outlineLevel="1" x14ac:dyDescent="0.25">
      <c r="A86" s="29">
        <f>'AAPL and K'!A85</f>
        <v>40940</v>
      </c>
      <c r="B86" s="1">
        <f>'AAPL and K'!E85</f>
        <v>0.17253272365200584</v>
      </c>
      <c r="C86" s="1">
        <f>'AAPL and K'!F85</f>
        <v>5.5575139189848612E-2</v>
      </c>
      <c r="E86" s="3">
        <f t="shared" si="3"/>
        <v>0.14810763061039853</v>
      </c>
      <c r="F86" s="3">
        <f t="shared" si="4"/>
        <v>5.0764793175819008E-2</v>
      </c>
      <c r="G86" s="3">
        <f t="shared" si="5"/>
        <v>7.5186532356974816E-3</v>
      </c>
    </row>
    <row r="87" spans="1:7" hidden="1" outlineLevel="1" x14ac:dyDescent="0.25">
      <c r="A87" s="29">
        <f>'AAPL and K'!A86</f>
        <v>40909</v>
      </c>
      <c r="B87" s="1">
        <f>'AAPL and K'!E86</f>
        <v>0.11965778366501913</v>
      </c>
      <c r="C87" s="1">
        <f>'AAPL and K'!F86</f>
        <v>-2.0981974039671596E-2</v>
      </c>
      <c r="E87" s="3">
        <f t="shared" si="3"/>
        <v>9.5232690623411817E-2</v>
      </c>
      <c r="F87" s="3">
        <f t="shared" si="4"/>
        <v>-2.5792320053701204E-2</v>
      </c>
      <c r="G87" s="3">
        <f t="shared" si="5"/>
        <v>-2.4562720361341471E-3</v>
      </c>
    </row>
    <row r="88" spans="1:7" hidden="1" outlineLevel="1" x14ac:dyDescent="0.25">
      <c r="A88" s="29">
        <f>'AAPL and K'!A87</f>
        <v>40878</v>
      </c>
      <c r="B88" s="1">
        <f>'AAPL and K'!E87</f>
        <v>5.7942882909883787E-2</v>
      </c>
      <c r="C88" s="1">
        <f>'AAPL and K'!F87</f>
        <v>3.7161599108149042E-2</v>
      </c>
      <c r="E88" s="3">
        <f t="shared" si="3"/>
        <v>3.3517789868276478E-2</v>
      </c>
      <c r="F88" s="3">
        <f t="shared" si="4"/>
        <v>3.2351253094119438E-2</v>
      </c>
      <c r="G88" s="3">
        <f t="shared" si="5"/>
        <v>1.0843425031841247E-3</v>
      </c>
    </row>
    <row r="89" spans="1:7" hidden="1" outlineLevel="1" x14ac:dyDescent="0.25">
      <c r="A89" s="29">
        <f>'AAPL and K'!A88</f>
        <v>40848</v>
      </c>
      <c r="B89" s="1">
        <f>'AAPL and K'!E88</f>
        <v>-5.7399698294657964E-2</v>
      </c>
      <c r="C89" s="1">
        <f>'AAPL and K'!F88</f>
        <v>-9.7784798880145074E-2</v>
      </c>
      <c r="E89" s="3">
        <f t="shared" si="3"/>
        <v>-8.1824791336265273E-2</v>
      </c>
      <c r="F89" s="3">
        <f t="shared" si="4"/>
        <v>-0.10259514489417468</v>
      </c>
      <c r="G89" s="3">
        <f t="shared" si="5"/>
        <v>8.3948263230797446E-3</v>
      </c>
    </row>
    <row r="90" spans="1:7" hidden="1" outlineLevel="1" x14ac:dyDescent="0.25">
      <c r="A90" s="29">
        <f>'AAPL and K'!A89</f>
        <v>40817</v>
      </c>
      <c r="B90" s="1">
        <f>'AAPL and K'!E89</f>
        <v>5.9704656309112342E-2</v>
      </c>
      <c r="C90" s="1">
        <f>'AAPL and K'!F89</f>
        <v>1.8995125155575675E-2</v>
      </c>
      <c r="E90" s="3">
        <f t="shared" si="3"/>
        <v>3.5279563267505032E-2</v>
      </c>
      <c r="F90" s="3">
        <f t="shared" si="4"/>
        <v>1.418477914154607E-2</v>
      </c>
      <c r="G90" s="3">
        <f t="shared" si="5"/>
        <v>5.0043281315976032E-4</v>
      </c>
    </row>
    <row r="91" spans="1:7" hidden="1" outlineLevel="1" x14ac:dyDescent="0.25">
      <c r="A91" s="29">
        <f>'AAPL and K'!A90</f>
        <v>40787</v>
      </c>
      <c r="B91" s="1">
        <f>'AAPL and K'!E90</f>
        <v>-9.1623742544899751E-3</v>
      </c>
      <c r="C91" s="1">
        <f>'AAPL and K'!F90</f>
        <v>-1.3051258179502197E-2</v>
      </c>
      <c r="E91" s="3">
        <f t="shared" si="3"/>
        <v>-3.3587467296097281E-2</v>
      </c>
      <c r="F91" s="3">
        <f t="shared" si="4"/>
        <v>-1.7861604193531805E-2</v>
      </c>
      <c r="G91" s="3">
        <f t="shared" si="5"/>
        <v>5.9992604670608353E-4</v>
      </c>
    </row>
    <row r="92" spans="1:7" hidden="1" outlineLevel="1" x14ac:dyDescent="0.25">
      <c r="A92" s="29">
        <f>'AAPL and K'!A91</f>
        <v>40756</v>
      </c>
      <c r="B92" s="1">
        <f>'AAPL and K'!E91</f>
        <v>-1.4575148075378373E-2</v>
      </c>
      <c r="C92" s="1">
        <f>'AAPL and K'!F91</f>
        <v>-2.652293211084138E-2</v>
      </c>
      <c r="E92" s="3">
        <f t="shared" si="3"/>
        <v>-3.9000241116985683E-2</v>
      </c>
      <c r="F92" s="3">
        <f t="shared" si="4"/>
        <v>-3.1333278124870988E-2</v>
      </c>
      <c r="G92" s="3">
        <f t="shared" si="5"/>
        <v>1.2220054018555416E-3</v>
      </c>
    </row>
    <row r="93" spans="1:7" hidden="1" outlineLevel="1" x14ac:dyDescent="0.25">
      <c r="A93" s="29">
        <f>'AAPL and K'!A92</f>
        <v>40725</v>
      </c>
      <c r="B93" s="1">
        <f>'AAPL and K'!E92</f>
        <v>0.15124817703954213</v>
      </c>
      <c r="C93" s="1">
        <f>'AAPL and K'!F92</f>
        <v>8.2811146004195119E-3</v>
      </c>
      <c r="E93" s="3">
        <f t="shared" si="3"/>
        <v>0.12682308399793482</v>
      </c>
      <c r="F93" s="3">
        <f t="shared" si="4"/>
        <v>3.4707685863899062E-3</v>
      </c>
      <c r="G93" s="3">
        <f t="shared" si="5"/>
        <v>4.4017357596912057E-4</v>
      </c>
    </row>
    <row r="94" spans="1:7" hidden="1" outlineLevel="1" x14ac:dyDescent="0.25">
      <c r="A94" s="29">
        <f>'AAPL and K'!A93</f>
        <v>40695</v>
      </c>
      <c r="B94" s="1">
        <f>'AAPL and K'!E93</f>
        <v>-3.5585106846870038E-2</v>
      </c>
      <c r="C94" s="1">
        <f>'AAPL and K'!F93</f>
        <v>-2.2583147116158272E-2</v>
      </c>
      <c r="E94" s="3">
        <f t="shared" si="3"/>
        <v>-6.0010199888477347E-2</v>
      </c>
      <c r="F94" s="3">
        <f t="shared" si="4"/>
        <v>-2.7393493130187879E-2</v>
      </c>
      <c r="G94" s="3">
        <f t="shared" si="5"/>
        <v>1.6438889983862056E-3</v>
      </c>
    </row>
    <row r="95" spans="1:7" hidden="1" outlineLevel="1" x14ac:dyDescent="0.25">
      <c r="A95" s="29">
        <f>'AAPL and K'!A94</f>
        <v>40664</v>
      </c>
      <c r="B95" s="1">
        <f>'AAPL and K'!E94</f>
        <v>-6.5907083685697943E-3</v>
      </c>
      <c r="C95" s="1">
        <f>'AAPL and K'!F94</f>
        <v>-4.9011169559721466E-3</v>
      </c>
      <c r="E95" s="3">
        <f t="shared" si="3"/>
        <v>-3.1015801410177103E-2</v>
      </c>
      <c r="F95" s="3">
        <f t="shared" si="4"/>
        <v>-9.7114629700017531E-3</v>
      </c>
      <c r="G95" s="3">
        <f t="shared" si="5"/>
        <v>3.0120880687986308E-4</v>
      </c>
    </row>
    <row r="96" spans="1:7" hidden="1" outlineLevel="1" x14ac:dyDescent="0.25">
      <c r="A96" s="29">
        <f>'AAPL and K'!A95</f>
        <v>40634</v>
      </c>
      <c r="B96" s="1">
        <f>'AAPL and K'!E95</f>
        <v>4.637462170940054E-3</v>
      </c>
      <c r="C96" s="1">
        <f>'AAPL and K'!F95</f>
        <v>5.9163503688842087E-2</v>
      </c>
      <c r="E96" s="3">
        <f t="shared" si="3"/>
        <v>-1.9787630870667254E-2</v>
      </c>
      <c r="F96" s="3">
        <f t="shared" si="4"/>
        <v>5.4353157674812483E-2</v>
      </c>
      <c r="G96" s="3">
        <f t="shared" si="5"/>
        <v>-1.0755202207243643E-3</v>
      </c>
    </row>
    <row r="97" spans="1:7" hidden="1" outlineLevel="1" x14ac:dyDescent="0.25">
      <c r="A97" s="29">
        <f>'AAPL and K'!A96</f>
        <v>40603</v>
      </c>
      <c r="B97" s="1">
        <f>'AAPL and K'!E96</f>
        <v>-1.3396018114221324E-2</v>
      </c>
      <c r="C97" s="1">
        <f>'AAPL and K'!F96</f>
        <v>1.5467028061682707E-2</v>
      </c>
      <c r="E97" s="3">
        <f t="shared" si="3"/>
        <v>-3.7821111155828632E-2</v>
      </c>
      <c r="F97" s="3">
        <f t="shared" si="4"/>
        <v>1.0656682047653101E-2</v>
      </c>
      <c r="G97" s="3">
        <f t="shared" si="5"/>
        <v>-4.0304755627661138E-4</v>
      </c>
    </row>
    <row r="98" spans="1:7" hidden="1" outlineLevel="1" x14ac:dyDescent="0.25">
      <c r="A98" s="29">
        <f>'AAPL and K'!A97</f>
        <v>40575</v>
      </c>
      <c r="B98" s="1">
        <f>'AAPL and K'!E97</f>
        <v>4.0119263967248533E-2</v>
      </c>
      <c r="C98" s="1">
        <f>'AAPL and K'!F97</f>
        <v>6.2797663392619454E-2</v>
      </c>
      <c r="E98" s="3">
        <f t="shared" si="3"/>
        <v>1.5694170925641224E-2</v>
      </c>
      <c r="F98" s="3">
        <f t="shared" si="4"/>
        <v>5.798731737858985E-2</v>
      </c>
      <c r="G98" s="3">
        <f t="shared" si="5"/>
        <v>9.1006287045899492E-4</v>
      </c>
    </row>
    <row r="99" spans="1:7" hidden="1" outlineLevel="1" x14ac:dyDescent="0.25">
      <c r="A99" s="29">
        <f>'AAPL and K'!A98</f>
        <v>40544</v>
      </c>
      <c r="B99" s="1">
        <f>'AAPL and K'!E98</f>
        <v>5.0654093457427614E-2</v>
      </c>
      <c r="C99" s="1">
        <f>'AAPL and K'!F98</f>
        <v>-1.5388182553408857E-2</v>
      </c>
      <c r="E99" s="3">
        <f t="shared" si="3"/>
        <v>2.6229000415820304E-2</v>
      </c>
      <c r="F99" s="3">
        <f t="shared" si="4"/>
        <v>-2.0198528567438465E-2</v>
      </c>
      <c r="G99" s="3">
        <f t="shared" si="5"/>
        <v>-5.2978721419430182E-4</v>
      </c>
    </row>
    <row r="100" spans="1:7" hidden="1" outlineLevel="1" x14ac:dyDescent="0.25">
      <c r="A100" s="29">
        <f>'AAPL and K'!A99</f>
        <v>40513</v>
      </c>
      <c r="B100" s="1">
        <f>'AAPL and K'!E99</f>
        <v>3.6014516448256047E-2</v>
      </c>
      <c r="C100" s="1">
        <f>'AAPL and K'!F99</f>
        <v>4.5109042294686735E-2</v>
      </c>
      <c r="E100" s="3">
        <f t="shared" si="3"/>
        <v>1.1589423406648737E-2</v>
      </c>
      <c r="F100" s="3">
        <f t="shared" si="4"/>
        <v>4.0298696280657131E-2</v>
      </c>
      <c r="G100" s="3">
        <f t="shared" si="5"/>
        <v>4.6703865393247617E-4</v>
      </c>
    </row>
    <row r="101" spans="1:7" hidden="1" outlineLevel="1" x14ac:dyDescent="0.25">
      <c r="A101" s="29">
        <f>'AAPL and K'!A100</f>
        <v>40483</v>
      </c>
      <c r="B101" s="1">
        <f>'AAPL and K'!E100</f>
        <v>3.3230999815200966E-2</v>
      </c>
      <c r="C101" s="1">
        <f>'AAPL and K'!F100</f>
        <v>-2.0706576155375384E-2</v>
      </c>
      <c r="E101" s="3">
        <f t="shared" si="3"/>
        <v>8.8059067735936566E-3</v>
      </c>
      <c r="F101" s="3">
        <f t="shared" si="4"/>
        <v>-2.5516922169404987E-2</v>
      </c>
      <c r="G101" s="3">
        <f t="shared" si="5"/>
        <v>-2.2469963777282552E-4</v>
      </c>
    </row>
    <row r="102" spans="1:7" hidden="1" outlineLevel="1" x14ac:dyDescent="0.25">
      <c r="A102" s="29">
        <f>'AAPL and K'!A101</f>
        <v>40452</v>
      </c>
      <c r="B102" s="1">
        <f>'AAPL and K'!E101</f>
        <v>5.8950422157251561E-2</v>
      </c>
      <c r="C102" s="1">
        <f>'AAPL and K'!F101</f>
        <v>-4.9615651172647381E-3</v>
      </c>
      <c r="E102" s="3">
        <f t="shared" si="3"/>
        <v>3.4525329115644252E-2</v>
      </c>
      <c r="F102" s="3">
        <f t="shared" si="4"/>
        <v>-9.7719111312943446E-3</v>
      </c>
      <c r="G102" s="3">
        <f t="shared" si="5"/>
        <v>-3.3737844789676481E-4</v>
      </c>
    </row>
    <row r="103" spans="1:7" hidden="1" outlineLevel="1" x14ac:dyDescent="0.25">
      <c r="A103" s="29">
        <f>'AAPL and K'!A102</f>
        <v>40422</v>
      </c>
      <c r="B103" s="1">
        <f>'AAPL and K'!E102</f>
        <v>0.15462062541137916</v>
      </c>
      <c r="C103" s="1">
        <f>'AAPL and K'!F102</f>
        <v>2.4622627812122235E-2</v>
      </c>
      <c r="E103" s="3">
        <f t="shared" si="3"/>
        <v>0.13019553236977185</v>
      </c>
      <c r="F103" s="3">
        <f t="shared" si="4"/>
        <v>1.9812281798092628E-2</v>
      </c>
      <c r="G103" s="3">
        <f t="shared" si="5"/>
        <v>2.5794705761626106E-3</v>
      </c>
    </row>
    <row r="104" spans="1:7" hidden="1" outlineLevel="1" x14ac:dyDescent="0.25">
      <c r="A104" s="29">
        <f>'AAPL and K'!A103</f>
        <v>40391</v>
      </c>
      <c r="B104" s="1">
        <f>'AAPL and K'!E103</f>
        <v>-5.6575420975125419E-2</v>
      </c>
      <c r="C104" s="1">
        <f>'AAPL and K'!F103</f>
        <v>-7.4204705417428851E-3</v>
      </c>
      <c r="E104" s="3">
        <f t="shared" si="3"/>
        <v>-8.1000514016732722E-2</v>
      </c>
      <c r="F104" s="3">
        <f t="shared" si="4"/>
        <v>-1.2230816555772491E-2</v>
      </c>
      <c r="G104" s="3">
        <f t="shared" si="5"/>
        <v>9.9070242786193619E-4</v>
      </c>
    </row>
    <row r="105" spans="1:7" hidden="1" outlineLevel="1" x14ac:dyDescent="0.25">
      <c r="A105" s="29">
        <f>'AAPL and K'!A104</f>
        <v>40360</v>
      </c>
      <c r="B105" s="1">
        <f>'AAPL and K'!E104</f>
        <v>2.2486219627365481E-2</v>
      </c>
      <c r="C105" s="1">
        <f>'AAPL and K'!F104</f>
        <v>-4.9821746845733709E-3</v>
      </c>
      <c r="E105" s="3">
        <f t="shared" si="3"/>
        <v>-1.938873414241829E-3</v>
      </c>
      <c r="F105" s="3">
        <f t="shared" si="4"/>
        <v>-9.7925206986029766E-3</v>
      </c>
      <c r="G105" s="3">
        <f t="shared" si="5"/>
        <v>1.8986458040934135E-5</v>
      </c>
    </row>
    <row r="106" spans="1:7" hidden="1" outlineLevel="1" x14ac:dyDescent="0.25">
      <c r="A106" s="29">
        <f>'AAPL and K'!A105</f>
        <v>40330</v>
      </c>
      <c r="B106" s="1">
        <f>'AAPL and K'!E105</f>
        <v>-2.1047152257473754E-2</v>
      </c>
      <c r="C106" s="1">
        <f>'AAPL and K'!F105</f>
        <v>-5.3254588882322713E-2</v>
      </c>
      <c r="E106" s="3">
        <f t="shared" si="3"/>
        <v>-4.547224529908106E-2</v>
      </c>
      <c r="F106" s="3">
        <f t="shared" si="4"/>
        <v>-5.8064934896352317E-2</v>
      </c>
      <c r="G106" s="3">
        <f t="shared" si="5"/>
        <v>2.6403429628821043E-3</v>
      </c>
    </row>
    <row r="107" spans="1:7" hidden="1" outlineLevel="1" x14ac:dyDescent="0.25">
      <c r="A107" s="29">
        <f>'AAPL and K'!A106</f>
        <v>40299</v>
      </c>
      <c r="B107" s="1">
        <f>'AAPL and K'!E106</f>
        <v>-1.6255864688260405E-2</v>
      </c>
      <c r="C107" s="1">
        <f>'AAPL and K'!F106</f>
        <v>-2.7869342827523631E-2</v>
      </c>
      <c r="E107" s="3">
        <f t="shared" si="3"/>
        <v>-4.0680957729867712E-2</v>
      </c>
      <c r="F107" s="3">
        <f t="shared" si="4"/>
        <v>-3.2679688841553235E-2</v>
      </c>
      <c r="G107" s="3">
        <f t="shared" si="5"/>
        <v>1.3294410403884567E-3</v>
      </c>
    </row>
    <row r="108" spans="1:7" hidden="1" outlineLevel="1" x14ac:dyDescent="0.25">
      <c r="A108" s="29">
        <f>'AAPL and K'!A107</f>
        <v>40269</v>
      </c>
      <c r="B108" s="1">
        <f>'AAPL and K'!E107</f>
        <v>0.10527979060113814</v>
      </c>
      <c r="C108" s="1">
        <f>'AAPL and K'!F107</f>
        <v>2.7869342827523579E-2</v>
      </c>
      <c r="E108" s="3">
        <f t="shared" si="3"/>
        <v>8.0854697559530828E-2</v>
      </c>
      <c r="F108" s="3">
        <f t="shared" si="4"/>
        <v>2.3058996813493972E-2</v>
      </c>
      <c r="G108" s="3">
        <f t="shared" si="5"/>
        <v>1.8644282133812402E-3</v>
      </c>
    </row>
    <row r="109" spans="1:7" hidden="1" outlineLevel="1" x14ac:dyDescent="0.25">
      <c r="A109" s="29">
        <f>'AAPL and K'!A108</f>
        <v>40238</v>
      </c>
      <c r="B109" s="1">
        <f>'AAPL and K'!E108</f>
        <v>0.13843072261054745</v>
      </c>
      <c r="C109" s="1">
        <f>'AAPL and K'!F108</f>
        <v>3.1442883779947424E-2</v>
      </c>
      <c r="E109" s="3">
        <f t="shared" si="3"/>
        <v>0.11400562956894014</v>
      </c>
      <c r="F109" s="3">
        <f t="shared" si="4"/>
        <v>2.663253776591782E-2</v>
      </c>
      <c r="G109" s="3">
        <f t="shared" si="5"/>
        <v>3.0362592350220356E-3</v>
      </c>
    </row>
    <row r="110" spans="1:7" hidden="1" outlineLevel="1" x14ac:dyDescent="0.25">
      <c r="A110" s="29">
        <f>'AAPL and K'!A109</f>
        <v>40210</v>
      </c>
      <c r="B110" s="1">
        <f>'AAPL and K'!E109</f>
        <v>6.3346820771750079E-2</v>
      </c>
      <c r="C110" s="1">
        <f>'AAPL and K'!F109</f>
        <v>-4.260778800395406E-2</v>
      </c>
      <c r="E110" s="3">
        <f t="shared" si="3"/>
        <v>3.8921727730142769E-2</v>
      </c>
      <c r="F110" s="3">
        <f t="shared" si="4"/>
        <v>-4.7418134017983664E-2</v>
      </c>
      <c r="G110" s="3">
        <f t="shared" si="5"/>
        <v>-1.845595701719381E-3</v>
      </c>
    </row>
    <row r="111" spans="1:7" hidden="1" outlineLevel="1" x14ac:dyDescent="0.25">
      <c r="A111" s="29">
        <f>'AAPL and K'!A110</f>
        <v>40179</v>
      </c>
      <c r="B111" s="1">
        <f>'AAPL and K'!E110</f>
        <v>-9.2769972651683186E-2</v>
      </c>
      <c r="C111" s="1">
        <f>'AAPL and K'!F110</f>
        <v>2.2673225895911069E-2</v>
      </c>
      <c r="E111" s="3">
        <f t="shared" si="3"/>
        <v>-0.1171950656932905</v>
      </c>
      <c r="F111" s="3">
        <f t="shared" si="4"/>
        <v>1.7862879881881462E-2</v>
      </c>
      <c r="G111" s="3">
        <f t="shared" si="5"/>
        <v>-2.0934413812284552E-3</v>
      </c>
    </row>
    <row r="112" spans="1:7" hidden="1" outlineLevel="1" x14ac:dyDescent="0.25">
      <c r="A112" s="29">
        <f>'AAPL and K'!A111</f>
        <v>40148</v>
      </c>
      <c r="B112" s="1">
        <f>'AAPL and K'!E111</f>
        <v>5.271094910580109E-2</v>
      </c>
      <c r="C112" s="1">
        <f>'AAPL and K'!F111</f>
        <v>1.8827577427685521E-2</v>
      </c>
      <c r="E112" s="3">
        <f t="shared" si="3"/>
        <v>2.828585606419378E-2</v>
      </c>
      <c r="F112" s="3">
        <f t="shared" si="4"/>
        <v>1.4017231413655915E-2</v>
      </c>
      <c r="G112" s="3">
        <f t="shared" si="5"/>
        <v>3.9648939018516671E-4</v>
      </c>
    </row>
    <row r="113" spans="1:7" hidden="1" outlineLevel="1" x14ac:dyDescent="0.25">
      <c r="A113" s="29">
        <f>'AAPL and K'!A112</f>
        <v>40118</v>
      </c>
      <c r="B113" s="1">
        <f>'AAPL and K'!E112</f>
        <v>5.8768730172218744E-2</v>
      </c>
      <c r="C113" s="1">
        <f>'AAPL and K'!F112</f>
        <v>1.997787119485684E-2</v>
      </c>
      <c r="E113" s="3">
        <f t="shared" si="3"/>
        <v>3.4343637130611435E-2</v>
      </c>
      <c r="F113" s="3">
        <f t="shared" si="4"/>
        <v>1.5167525180827235E-2</v>
      </c>
      <c r="G113" s="3">
        <f t="shared" si="5"/>
        <v>5.2090798097974213E-4</v>
      </c>
    </row>
    <row r="114" spans="1:7" hidden="1" outlineLevel="1" x14ac:dyDescent="0.25">
      <c r="A114" s="29">
        <f>'AAPL and K'!A113</f>
        <v>40087</v>
      </c>
      <c r="B114" s="1">
        <f>'AAPL and K'!E113</f>
        <v>1.6852054831431509E-2</v>
      </c>
      <c r="C114" s="1">
        <f>'AAPL and K'!F113</f>
        <v>4.5854840830725919E-2</v>
      </c>
      <c r="E114" s="3">
        <f t="shared" si="3"/>
        <v>-7.5730382101758011E-3</v>
      </c>
      <c r="F114" s="3">
        <f t="shared" si="4"/>
        <v>4.1044494816696316E-2</v>
      </c>
      <c r="G114" s="3">
        <f t="shared" si="5"/>
        <v>-3.1083152756420382E-4</v>
      </c>
    </row>
    <row r="115" spans="1:7" hidden="1" outlineLevel="1" x14ac:dyDescent="0.25">
      <c r="A115" s="29">
        <f>'AAPL and K'!A114</f>
        <v>40057</v>
      </c>
      <c r="B115" s="1">
        <f>'AAPL and K'!E114</f>
        <v>9.7032976419659439E-2</v>
      </c>
      <c r="C115" s="1">
        <f>'AAPL and K'!F114</f>
        <v>5.2459933479165811E-2</v>
      </c>
      <c r="E115" s="3">
        <f t="shared" si="3"/>
        <v>7.2607883378052129E-2</v>
      </c>
      <c r="F115" s="3">
        <f t="shared" si="4"/>
        <v>4.7649587465136208E-2</v>
      </c>
      <c r="G115" s="3">
        <f t="shared" si="5"/>
        <v>3.4597356896809042E-3</v>
      </c>
    </row>
    <row r="116" spans="1:7" hidden="1" outlineLevel="1" x14ac:dyDescent="0.25">
      <c r="A116" s="29">
        <f>'AAPL and K'!A115</f>
        <v>40026</v>
      </c>
      <c r="B116" s="1">
        <f>'AAPL and K'!E115</f>
        <v>2.9073316510300224E-2</v>
      </c>
      <c r="C116" s="1">
        <f>'AAPL and K'!F115</f>
        <v>-8.6692925354493293E-3</v>
      </c>
      <c r="E116" s="3">
        <f t="shared" si="3"/>
        <v>4.6482234686929143E-3</v>
      </c>
      <c r="F116" s="3">
        <f t="shared" si="4"/>
        <v>-1.3479638549478935E-2</v>
      </c>
      <c r="G116" s="3">
        <f t="shared" si="5"/>
        <v>-6.2656372255185693E-5</v>
      </c>
    </row>
    <row r="117" spans="1:7" hidden="1" outlineLevel="1" x14ac:dyDescent="0.25">
      <c r="A117" s="29">
        <f>'AAPL and K'!A116</f>
        <v>39995</v>
      </c>
      <c r="B117" s="1">
        <f>'AAPL and K'!E116</f>
        <v>0.13728922955037989</v>
      </c>
      <c r="C117" s="1">
        <f>'AAPL and K'!F116</f>
        <v>1.9773470388389794E-2</v>
      </c>
      <c r="E117" s="3">
        <f t="shared" si="3"/>
        <v>0.11286413650877258</v>
      </c>
      <c r="F117" s="3">
        <f t="shared" si="4"/>
        <v>1.4963124374360188E-2</v>
      </c>
      <c r="G117" s="3">
        <f t="shared" si="5"/>
        <v>1.6888001119855307E-3</v>
      </c>
    </row>
    <row r="118" spans="1:7" hidden="1" outlineLevel="1" x14ac:dyDescent="0.25">
      <c r="A118" s="29">
        <f>'AAPL and K'!A117</f>
        <v>39965</v>
      </c>
      <c r="B118" s="1">
        <f>'AAPL and K'!E117</f>
        <v>4.7593717264136394E-2</v>
      </c>
      <c r="C118" s="1">
        <f>'AAPL and K'!F117</f>
        <v>8.1855323308452549E-2</v>
      </c>
      <c r="E118" s="3">
        <f t="shared" si="3"/>
        <v>2.3168624222529084E-2</v>
      </c>
      <c r="F118" s="3">
        <f t="shared" si="4"/>
        <v>7.7044977294422945E-2</v>
      </c>
      <c r="G118" s="3">
        <f t="shared" si="5"/>
        <v>1.7850261271677708E-3</v>
      </c>
    </row>
    <row r="119" spans="1:7" hidden="1" outlineLevel="1" x14ac:dyDescent="0.25">
      <c r="A119" s="29">
        <f>'AAPL and K'!A118</f>
        <v>39934</v>
      </c>
      <c r="B119" s="1">
        <f>'AAPL and K'!E118</f>
        <v>7.6324928749680512E-2</v>
      </c>
      <c r="C119" s="1">
        <f>'AAPL and K'!F118</f>
        <v>2.6711765312306745E-2</v>
      </c>
      <c r="E119" s="3">
        <f t="shared" si="3"/>
        <v>5.1899835708073203E-2</v>
      </c>
      <c r="F119" s="3">
        <f t="shared" si="4"/>
        <v>2.1901419298277137E-2</v>
      </c>
      <c r="G119" s="3">
        <f t="shared" si="5"/>
        <v>1.1366800633542072E-3</v>
      </c>
    </row>
    <row r="120" spans="1:7" collapsed="1" x14ac:dyDescent="0.25">
      <c r="A120" s="29">
        <f>'AAPL and K'!A119</f>
        <v>39904</v>
      </c>
      <c r="B120" s="1">
        <f>'AAPL and K'!E119</f>
        <v>0.17982937483629954</v>
      </c>
      <c r="C120" s="1">
        <f>'AAPL and K'!F119</f>
        <v>0.13941774256888045</v>
      </c>
      <c r="E120" s="3">
        <f t="shared" si="3"/>
        <v>0.15540428179469223</v>
      </c>
      <c r="F120" s="3">
        <f t="shared" si="4"/>
        <v>0.13460739655485085</v>
      </c>
      <c r="G120" s="3">
        <f t="shared" si="5"/>
        <v>2.0918565785859926E-2</v>
      </c>
    </row>
    <row r="121" spans="1:7" x14ac:dyDescent="0.25">
      <c r="A121" s="29">
        <f>'AAPL and K'!A120</f>
        <v>39873</v>
      </c>
      <c r="B121" s="1">
        <f>'AAPL and K'!E120</f>
        <v>0.16298894786765122</v>
      </c>
      <c r="C121" s="1">
        <f>'AAPL and K'!F120</f>
        <v>-5.1818552970314548E-2</v>
      </c>
      <c r="E121" s="3">
        <f t="shared" si="3"/>
        <v>0.13856385482604391</v>
      </c>
      <c r="F121" s="3">
        <f t="shared" si="4"/>
        <v>-5.6628898984344152E-2</v>
      </c>
      <c r="G121" s="3">
        <f t="shared" si="5"/>
        <v>-7.8467185378253684E-3</v>
      </c>
    </row>
    <row r="122" spans="1:7" x14ac:dyDescent="0.25">
      <c r="A122" s="29">
        <f>'AAPL and K'!A121</f>
        <v>39845</v>
      </c>
      <c r="B122" s="1">
        <f>'AAPL and K'!E121</f>
        <v>-9.1395831936074562E-3</v>
      </c>
      <c r="C122" s="1">
        <f>'AAPL and K'!F121</f>
        <v>-0.11561085485906979</v>
      </c>
      <c r="E122" s="3">
        <f t="shared" si="3"/>
        <v>-3.3564676235214766E-2</v>
      </c>
      <c r="F122" s="3">
        <f t="shared" si="4"/>
        <v>-0.12042120087309939</v>
      </c>
      <c r="G122" s="3">
        <f t="shared" si="5"/>
        <v>4.0418986191613424E-3</v>
      </c>
    </row>
    <row r="123" spans="1:7" x14ac:dyDescent="0.25">
      <c r="A123" s="29"/>
      <c r="B123" s="1"/>
      <c r="C123" s="1"/>
    </row>
    <row r="124" spans="1:7" x14ac:dyDescent="0.25">
      <c r="A124" s="13" t="s">
        <v>10</v>
      </c>
      <c r="B124" s="3">
        <f>AVERAGE(B4:B122)</f>
        <v>2.442509304160731E-2</v>
      </c>
      <c r="C124" s="3">
        <f>AVERAGE(C4:C122)</f>
        <v>4.8103460140296057E-3</v>
      </c>
      <c r="D124" t="str">
        <f ca="1">"&lt;--"&amp;_xlfn.FORMULATEXT(C124)</f>
        <v>&lt;--=AVERAGE(C4:C122)</v>
      </c>
    </row>
    <row r="125" spans="1:7" x14ac:dyDescent="0.25">
      <c r="A125" s="13" t="s">
        <v>15</v>
      </c>
      <c r="B125" s="2">
        <f>_xlfn.VAR.S(B4:B122)</f>
        <v>5.3712821527955373E-3</v>
      </c>
      <c r="C125" s="2">
        <f>_xlfn.VAR.S(C4:C122)</f>
        <v>2.0585201434897477E-3</v>
      </c>
      <c r="D125" t="str">
        <f ca="1">getformula(C125)</f>
        <v>&lt;--  =VAR.S(C4:C122)</v>
      </c>
    </row>
    <row r="126" spans="1:7" x14ac:dyDescent="0.25">
      <c r="A126" s="13" t="s">
        <v>16</v>
      </c>
      <c r="B126" s="3">
        <f>_xlfn.STDEV.S(B4:B122)</f>
        <v>7.328903159952066E-2</v>
      </c>
      <c r="C126" s="3">
        <f>_xlfn.STDEV.S(C4:C122)</f>
        <v>4.5370917375448204E-2</v>
      </c>
      <c r="D126" t="str">
        <f ca="1">getformula(C126)</f>
        <v>&lt;--  =STDEV.S(C4:C122)</v>
      </c>
    </row>
    <row r="127" spans="1:7" x14ac:dyDescent="0.25">
      <c r="A127" s="13" t="s">
        <v>16</v>
      </c>
      <c r="B127" s="3">
        <f>SQRT(B125)</f>
        <v>7.328903159952066E-2</v>
      </c>
      <c r="C127" s="3">
        <f>SQRT(C125)</f>
        <v>4.5370917375448204E-2</v>
      </c>
      <c r="D127" t="str">
        <f ca="1">getformula(C127)</f>
        <v>&lt;--  =SQRT(C125)</v>
      </c>
    </row>
    <row r="128" spans="1:7" x14ac:dyDescent="0.25">
      <c r="G128" s="2"/>
    </row>
    <row r="129" spans="1:7" x14ac:dyDescent="0.25">
      <c r="A129" s="7" t="s">
        <v>13</v>
      </c>
    </row>
    <row r="130" spans="1:7" x14ac:dyDescent="0.25">
      <c r="A130" s="13" t="s">
        <v>52</v>
      </c>
      <c r="B130" s="20">
        <f>AVERAGE(G4:G122)*COUNT(G4:G122)/(COUNT(G4:G122)-1)</f>
        <v>8.52049577472749E-4</v>
      </c>
      <c r="C130" t="str">
        <f ca="1">"&lt;--"&amp;_xlfn.FORMULATEXT(B130)</f>
        <v>&lt;--=AVERAGE(G4:G122)*COUNT(G4:G122)/(COUNT(G4:G122)-1)</v>
      </c>
    </row>
    <row r="131" spans="1:7" x14ac:dyDescent="0.25">
      <c r="A131" s="13" t="s">
        <v>53</v>
      </c>
      <c r="B131" s="20">
        <f>_xlfn.COVARIANCE.S(B4:B122,C4:C122)</f>
        <v>8.52049577472749E-4</v>
      </c>
      <c r="C131" t="str">
        <f ca="1">"&lt;--"&amp;_xlfn.FORMULATEXT(B131)</f>
        <v>&lt;--=COVARIANCE.S(B4:B122,C4:C122)</v>
      </c>
    </row>
    <row r="132" spans="1:7" x14ac:dyDescent="0.25">
      <c r="G132" s="2"/>
    </row>
    <row r="133" spans="1:7" x14ac:dyDescent="0.25">
      <c r="A133" s="7" t="s">
        <v>14</v>
      </c>
      <c r="B133" s="2"/>
    </row>
    <row r="134" spans="1:7" x14ac:dyDescent="0.25">
      <c r="A134" s="13" t="s">
        <v>52</v>
      </c>
      <c r="B134" s="2">
        <f>B131/(B126*C126)</f>
        <v>0.25624082366374112</v>
      </c>
      <c r="C134" t="str">
        <f ca="1">getformula(B134)</f>
        <v>&lt;--  =B131/(B126*C126)</v>
      </c>
    </row>
    <row r="135" spans="1:7" x14ac:dyDescent="0.25">
      <c r="A135" s="13" t="s">
        <v>53</v>
      </c>
      <c r="B135" s="2">
        <f>CORREL(B4:B122,C4:C122)</f>
        <v>0.25624082366374124</v>
      </c>
      <c r="C135" t="str">
        <f ca="1">getformula(B135)</f>
        <v>&lt;--  =CORREL(B4:B122,C4:C122)</v>
      </c>
    </row>
  </sheetData>
  <mergeCells count="3">
    <mergeCell ref="B2:C2"/>
    <mergeCell ref="A1:H1"/>
    <mergeCell ref="E2:G2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122"/>
  <sheetViews>
    <sheetView workbookViewId="0">
      <selection activeCell="K9" sqref="K9"/>
    </sheetView>
  </sheetViews>
  <sheetFormatPr defaultRowHeight="13.8" x14ac:dyDescent="0.25"/>
  <cols>
    <col min="1" max="1" width="8.296875" bestFit="1" customWidth="1"/>
    <col min="2" max="3" width="7.3984375" bestFit="1" customWidth="1"/>
  </cols>
  <sheetData>
    <row r="1" spans="1:10" ht="17.399999999999999" x14ac:dyDescent="0.25">
      <c r="A1" s="66" t="s">
        <v>54</v>
      </c>
      <c r="B1" s="66"/>
      <c r="C1" s="66"/>
      <c r="D1" s="66"/>
      <c r="E1" s="66"/>
      <c r="F1" s="66"/>
      <c r="G1" s="66"/>
      <c r="H1" s="66"/>
      <c r="I1" s="66"/>
      <c r="J1" s="66"/>
    </row>
    <row r="3" spans="1:10" x14ac:dyDescent="0.25">
      <c r="A3" s="4" t="s">
        <v>6</v>
      </c>
      <c r="B3" s="4" t="s">
        <v>7</v>
      </c>
      <c r="C3" s="4" t="s">
        <v>49</v>
      </c>
      <c r="D3" s="4"/>
      <c r="E3" s="4"/>
      <c r="F3" s="4"/>
    </row>
    <row r="4" spans="1:10" x14ac:dyDescent="0.25">
      <c r="A4" s="5">
        <f>'AAPL and K'!A3</f>
        <v>43435</v>
      </c>
      <c r="B4" s="1">
        <f>'AAPL and K'!E3</f>
        <v>-0.12060544914787433</v>
      </c>
      <c r="C4" s="1">
        <f>'AAPL and K'!F3</f>
        <v>-0.10127955443263523</v>
      </c>
      <c r="E4" s="2"/>
      <c r="F4" s="2"/>
    </row>
    <row r="5" spans="1:10" x14ac:dyDescent="0.25">
      <c r="A5" s="5">
        <f>'AAPL and K'!A4</f>
        <v>43405</v>
      </c>
      <c r="B5" s="1">
        <f>'AAPL and K'!E4</f>
        <v>-0.20339554632600876</v>
      </c>
      <c r="C5" s="1">
        <f>'AAPL and K'!F4</f>
        <v>-2.8345446386111743E-2</v>
      </c>
      <c r="E5" s="2"/>
      <c r="F5" s="2"/>
    </row>
    <row r="6" spans="1:10" x14ac:dyDescent="0.25">
      <c r="A6" s="5">
        <f>'AAPL and K'!A5</f>
        <v>43374</v>
      </c>
      <c r="B6" s="1">
        <f>'AAPL and K'!E5</f>
        <v>-3.0951701391631649E-2</v>
      </c>
      <c r="C6" s="1">
        <f>'AAPL and K'!F5</f>
        <v>-6.7036101839614837E-2</v>
      </c>
      <c r="E6" s="2"/>
      <c r="F6" s="2"/>
    </row>
    <row r="7" spans="1:10" x14ac:dyDescent="0.25">
      <c r="A7" s="5">
        <f>'AAPL and K'!A6</f>
        <v>43344</v>
      </c>
      <c r="B7" s="1">
        <f>'AAPL and K'!E6</f>
        <v>-4.8366106134015195E-3</v>
      </c>
      <c r="C7" s="1">
        <f>'AAPL and K'!F6</f>
        <v>-1.7128780322179672E-2</v>
      </c>
      <c r="E7" s="2"/>
      <c r="F7" s="2"/>
    </row>
    <row r="8" spans="1:10" x14ac:dyDescent="0.25">
      <c r="A8" s="5">
        <f>'AAPL and K'!A7</f>
        <v>43313</v>
      </c>
      <c r="B8" s="1">
        <f>'AAPL and K'!E7</f>
        <v>0.17917233187127421</v>
      </c>
      <c r="C8" s="1">
        <f>'AAPL and K'!F7</f>
        <v>1.0642976109089951E-2</v>
      </c>
      <c r="E8" s="2"/>
      <c r="F8" s="2"/>
    </row>
    <row r="9" spans="1:10" x14ac:dyDescent="0.25">
      <c r="A9" s="5">
        <f>'AAPL and K'!A8</f>
        <v>43282</v>
      </c>
      <c r="B9" s="1">
        <f>'AAPL and K'!E8</f>
        <v>2.7598887839150311E-2</v>
      </c>
      <c r="C9" s="1">
        <f>'AAPL and K'!F8</f>
        <v>1.646583209338915E-2</v>
      </c>
      <c r="E9" s="2"/>
      <c r="F9" s="2"/>
    </row>
    <row r="10" spans="1:10" x14ac:dyDescent="0.25">
      <c r="A10" s="5">
        <f>'AAPL and K'!A9</f>
        <v>43252</v>
      </c>
      <c r="B10" s="1">
        <f>'AAPL and K'!E9</f>
        <v>-5.6142405580539871E-3</v>
      </c>
      <c r="C10" s="1">
        <f>'AAPL and K'!F9</f>
        <v>8.9897280865844614E-2</v>
      </c>
      <c r="E10" s="2"/>
      <c r="F10" s="2"/>
    </row>
    <row r="11" spans="1:10" x14ac:dyDescent="0.25">
      <c r="A11" s="5">
        <f>'AAPL and K'!A10</f>
        <v>43221</v>
      </c>
      <c r="B11" s="1">
        <f>'AAPL and K'!E10</f>
        <v>0.12289326386661924</v>
      </c>
      <c r="C11" s="1">
        <f>'AAPL and K'!F10</f>
        <v>8.9117209341012499E-2</v>
      </c>
      <c r="E11" s="2"/>
      <c r="F11" s="2"/>
    </row>
    <row r="12" spans="1:10" x14ac:dyDescent="0.25">
      <c r="A12" s="5">
        <f>'AAPL and K'!A11</f>
        <v>43191</v>
      </c>
      <c r="B12" s="1">
        <f>'AAPL and K'!E11</f>
        <v>-1.5133636467927848E-2</v>
      </c>
      <c r="C12" s="1">
        <f>'AAPL and K'!F11</f>
        <v>-9.0596719136717449E-2</v>
      </c>
      <c r="E12" s="2"/>
      <c r="F12" s="2"/>
    </row>
    <row r="13" spans="1:10" x14ac:dyDescent="0.25">
      <c r="A13" s="5">
        <f>'AAPL and K'!A12</f>
        <v>43160</v>
      </c>
      <c r="B13" s="1">
        <f>'AAPL and K'!E12</f>
        <v>-5.5735023670836853E-2</v>
      </c>
      <c r="C13" s="1">
        <f>'AAPL and K'!F12</f>
        <v>-1.8139248304434259E-2</v>
      </c>
      <c r="E13" s="2"/>
      <c r="F13" s="2"/>
    </row>
    <row r="14" spans="1:10" x14ac:dyDescent="0.25">
      <c r="A14" s="5">
        <f>'AAPL and K'!A13</f>
        <v>43132</v>
      </c>
      <c r="B14" s="1">
        <f>'AAPL and K'!E13</f>
        <v>6.1892137187384975E-2</v>
      </c>
      <c r="C14" s="1">
        <f>'AAPL and K'!F13</f>
        <v>-2.844367511200694E-2</v>
      </c>
      <c r="E14" s="2"/>
      <c r="F14" s="2"/>
    </row>
    <row r="15" spans="1:10" x14ac:dyDescent="0.25">
      <c r="A15" s="5">
        <f>'AAPL and K'!A14</f>
        <v>43101</v>
      </c>
      <c r="B15" s="1">
        <f>'AAPL and K'!E14</f>
        <v>-1.0693511068397676E-2</v>
      </c>
      <c r="C15" s="1">
        <f>'AAPL and K'!F14</f>
        <v>1.9105097893157086E-3</v>
      </c>
      <c r="E15" s="2"/>
      <c r="F15" s="2"/>
    </row>
    <row r="16" spans="1:10" x14ac:dyDescent="0.25">
      <c r="A16" s="5">
        <f>'AAPL and K'!A15</f>
        <v>43070</v>
      </c>
      <c r="B16" s="1">
        <f>'AAPL and K'!E15</f>
        <v>-1.1774756619693866E-2</v>
      </c>
      <c r="C16" s="1">
        <f>'AAPL and K'!F15</f>
        <v>4.8644400540017625E-2</v>
      </c>
      <c r="E16" s="2"/>
      <c r="F16" s="2"/>
    </row>
    <row r="17" spans="1:6" x14ac:dyDescent="0.25">
      <c r="A17" s="5">
        <f>'AAPL and K'!A16</f>
        <v>43040</v>
      </c>
      <c r="B17" s="1">
        <f>'AAPL and K'!E16</f>
        <v>1.6486598492966249E-2</v>
      </c>
      <c r="C17" s="1">
        <f>'AAPL and K'!F16</f>
        <v>4.3039395618039149E-2</v>
      </c>
      <c r="E17" s="2"/>
      <c r="F17" s="2"/>
    </row>
    <row r="18" spans="1:6" x14ac:dyDescent="0.25">
      <c r="A18" s="5">
        <f>'AAPL and K'!A17</f>
        <v>43009</v>
      </c>
      <c r="B18" s="1">
        <f>'AAPL and K'!E17</f>
        <v>9.2403994893137831E-2</v>
      </c>
      <c r="C18" s="1">
        <f>'AAPL and K'!F17</f>
        <v>2.5619986777041764E-3</v>
      </c>
      <c r="E18" s="2"/>
      <c r="F18" s="2"/>
    </row>
    <row r="19" spans="1:6" x14ac:dyDescent="0.25">
      <c r="A19" s="5">
        <f>'AAPL and K'!A18</f>
        <v>42979</v>
      </c>
      <c r="B19" s="1">
        <f>'AAPL and K'!E18</f>
        <v>-5.8215744133111216E-2</v>
      </c>
      <c r="C19" s="1">
        <f>'AAPL and K'!F18</f>
        <v>-4.0176705273349524E-2</v>
      </c>
      <c r="E19" s="2"/>
      <c r="F19" s="2"/>
    </row>
    <row r="20" spans="1:6" x14ac:dyDescent="0.25">
      <c r="A20" s="5">
        <f>'AAPL and K'!A19</f>
        <v>42948</v>
      </c>
      <c r="B20" s="1">
        <f>'AAPL and K'!E19</f>
        <v>9.7734009206961375E-2</v>
      </c>
      <c r="C20" s="1">
        <f>'AAPL and K'!F19</f>
        <v>-3.8068472802024099E-2</v>
      </c>
      <c r="E20" s="2"/>
      <c r="F20" s="2"/>
    </row>
    <row r="21" spans="1:6" x14ac:dyDescent="0.25">
      <c r="A21" s="5">
        <f>'AAPL and K'!A20</f>
        <v>42917</v>
      </c>
      <c r="B21" s="1">
        <f>'AAPL and K'!E20</f>
        <v>3.2180259892837251E-2</v>
      </c>
      <c r="C21" s="1">
        <f>'AAPL and K'!F20</f>
        <v>-2.124338932319263E-2</v>
      </c>
      <c r="E21" s="2"/>
      <c r="F21" s="2"/>
    </row>
    <row r="22" spans="1:6" x14ac:dyDescent="0.25">
      <c r="A22" s="5">
        <f>'AAPL and K'!A21</f>
        <v>42887</v>
      </c>
      <c r="B22" s="1">
        <f>'AAPL and K'!E21</f>
        <v>-5.4796785860792403E-2</v>
      </c>
      <c r="C22" s="1">
        <f>'AAPL and K'!F21</f>
        <v>-2.3157594131138274E-2</v>
      </c>
      <c r="E22" s="2"/>
      <c r="F22" s="2"/>
    </row>
    <row r="23" spans="1:6" x14ac:dyDescent="0.25">
      <c r="A23" s="5">
        <f>'AAPL and K'!A22</f>
        <v>42856</v>
      </c>
      <c r="B23" s="1">
        <f>'AAPL and K'!E22</f>
        <v>6.1488392155418861E-2</v>
      </c>
      <c r="C23" s="1">
        <f>'AAPL and K'!F22</f>
        <v>8.4151498773705272E-3</v>
      </c>
      <c r="E23" s="2"/>
      <c r="F23" s="2"/>
    </row>
    <row r="24" spans="1:6" x14ac:dyDescent="0.25">
      <c r="A24" s="5">
        <f>'AAPL and K'!A23</f>
        <v>42826</v>
      </c>
      <c r="B24" s="1">
        <f>'AAPL and K'!E23</f>
        <v>-6.9779089266844212E-5</v>
      </c>
      <c r="C24" s="1">
        <f>'AAPL and K'!F23</f>
        <v>-2.2422634199798841E-2</v>
      </c>
      <c r="E24" s="2"/>
      <c r="F24" s="2"/>
    </row>
    <row r="25" spans="1:6" x14ac:dyDescent="0.25">
      <c r="A25" s="5">
        <f>'AAPL and K'!A24</f>
        <v>42795</v>
      </c>
      <c r="B25" s="1">
        <f>'AAPL and K'!E24</f>
        <v>5.186772067849077E-2</v>
      </c>
      <c r="C25" s="1">
        <f>'AAPL and K'!F24</f>
        <v>-1.2972030708049111E-2</v>
      </c>
      <c r="E25" s="2"/>
      <c r="F25" s="2"/>
    </row>
    <row r="26" spans="1:6" x14ac:dyDescent="0.25">
      <c r="A26" s="5">
        <f>'AAPL and K'!A25</f>
        <v>42767</v>
      </c>
      <c r="B26" s="1">
        <f>'AAPL and K'!E25</f>
        <v>0.12122896059991176</v>
      </c>
      <c r="C26" s="1">
        <f>'AAPL and K'!F25</f>
        <v>1.8531722154569764E-2</v>
      </c>
      <c r="E26" s="2"/>
      <c r="F26" s="2"/>
    </row>
    <row r="27" spans="1:6" x14ac:dyDescent="0.25">
      <c r="A27" s="5">
        <f>'AAPL and K'!A26</f>
        <v>42736</v>
      </c>
      <c r="B27" s="1">
        <f>'AAPL and K'!E26</f>
        <v>4.6641729923096294E-2</v>
      </c>
      <c r="C27" s="1">
        <f>'AAPL and K'!F26</f>
        <v>-1.3659367215252205E-2</v>
      </c>
      <c r="E27" s="2"/>
      <c r="F27" s="2"/>
    </row>
    <row r="28" spans="1:6" x14ac:dyDescent="0.25">
      <c r="A28" s="5">
        <f>'AAPL and K'!A27</f>
        <v>42705</v>
      </c>
      <c r="B28" s="1">
        <f>'AAPL and K'!E27</f>
        <v>5.1961893797766889E-2</v>
      </c>
      <c r="C28" s="1">
        <f>'AAPL and K'!F27</f>
        <v>3.0534592450257136E-2</v>
      </c>
      <c r="E28" s="2"/>
      <c r="F28" s="2"/>
    </row>
    <row r="29" spans="1:6" x14ac:dyDescent="0.25">
      <c r="A29" s="5">
        <f>'AAPL and K'!A28</f>
        <v>42675</v>
      </c>
      <c r="B29" s="1">
        <f>'AAPL and K'!E28</f>
        <v>-2.6958815702871286E-2</v>
      </c>
      <c r="C29" s="1">
        <f>'AAPL and K'!F28</f>
        <v>-4.2553949775697097E-2</v>
      </c>
      <c r="E29" s="2"/>
      <c r="F29" s="2"/>
    </row>
    <row r="30" spans="1:6" x14ac:dyDescent="0.25">
      <c r="A30" s="5">
        <f>'AAPL and K'!A29</f>
        <v>42644</v>
      </c>
      <c r="B30" s="1">
        <f>'AAPL and K'!E29</f>
        <v>4.3249837686929271E-3</v>
      </c>
      <c r="C30" s="1">
        <f>'AAPL and K'!F29</f>
        <v>-3.0670877482395959E-2</v>
      </c>
      <c r="E30" s="2"/>
      <c r="F30" s="2"/>
    </row>
    <row r="31" spans="1:6" x14ac:dyDescent="0.25">
      <c r="A31" s="5">
        <f>'AAPL and K'!A30</f>
        <v>42614</v>
      </c>
      <c r="B31" s="1">
        <f>'AAPL and K'!E30</f>
        <v>6.8850853926348474E-2</v>
      </c>
      <c r="C31" s="1">
        <f>'AAPL and K'!F30</f>
        <v>-5.3109529125624423E-2</v>
      </c>
      <c r="E31" s="2"/>
      <c r="F31" s="2"/>
    </row>
    <row r="32" spans="1:6" x14ac:dyDescent="0.25">
      <c r="A32" s="5">
        <f>'AAPL and K'!A31</f>
        <v>42583</v>
      </c>
      <c r="B32" s="1">
        <f>'AAPL and K'!E31</f>
        <v>1.7973893476060612E-2</v>
      </c>
      <c r="C32" s="1">
        <f>'AAPL and K'!F31</f>
        <v>-6.0637724807484673E-3</v>
      </c>
      <c r="E32" s="2"/>
      <c r="F32" s="2"/>
    </row>
    <row r="33" spans="1:6" x14ac:dyDescent="0.25">
      <c r="A33" s="5">
        <f>'AAPL and K'!A32</f>
        <v>42552</v>
      </c>
      <c r="B33" s="1">
        <f>'AAPL and K'!E32</f>
        <v>8.6235254938462166E-2</v>
      </c>
      <c r="C33" s="1">
        <f>'AAPL and K'!F32</f>
        <v>1.2898796747206988E-2</v>
      </c>
      <c r="E33" s="2"/>
      <c r="F33" s="2"/>
    </row>
    <row r="34" spans="1:6" x14ac:dyDescent="0.25">
      <c r="A34" s="5">
        <f>'AAPL and K'!A33</f>
        <v>42522</v>
      </c>
      <c r="B34" s="1">
        <f>'AAPL and K'!E33</f>
        <v>-3.7526417648364709E-2</v>
      </c>
      <c r="C34" s="1">
        <f>'AAPL and K'!F33</f>
        <v>0.10004862617064693</v>
      </c>
      <c r="E34" s="2"/>
      <c r="F34" s="2"/>
    </row>
    <row r="35" spans="1:6" x14ac:dyDescent="0.25">
      <c r="A35" s="5">
        <f>'AAPL and K'!A34</f>
        <v>42491</v>
      </c>
      <c r="B35" s="1">
        <f>'AAPL and K'!E34</f>
        <v>6.3244347576697169E-2</v>
      </c>
      <c r="C35" s="1">
        <f>'AAPL and K'!F34</f>
        <v>-3.228212308558543E-2</v>
      </c>
      <c r="E35" s="2"/>
      <c r="F35" s="2"/>
    </row>
    <row r="36" spans="1:6" x14ac:dyDescent="0.25">
      <c r="A36" s="5">
        <f>'AAPL and K'!A35</f>
        <v>42461</v>
      </c>
      <c r="B36" s="1">
        <f>'AAPL and K'!E35</f>
        <v>-0.15073127149063728</v>
      </c>
      <c r="C36" s="1">
        <f>'AAPL and K'!F35</f>
        <v>3.39062910569403E-3</v>
      </c>
      <c r="E36" s="2"/>
      <c r="F36" s="2"/>
    </row>
    <row r="37" spans="1:6" x14ac:dyDescent="0.25">
      <c r="A37" s="5">
        <f>'AAPL and K'!A36</f>
        <v>42430</v>
      </c>
      <c r="B37" s="1">
        <f>'AAPL and K'!E36</f>
        <v>0.12515770247534916</v>
      </c>
      <c r="C37" s="1">
        <f>'AAPL and K'!F36</f>
        <v>4.0305900937300021E-2</v>
      </c>
      <c r="E37" s="2"/>
      <c r="F37" s="2"/>
    </row>
    <row r="38" spans="1:6" x14ac:dyDescent="0.25">
      <c r="A38" s="5">
        <f>'AAPL and K'!A37</f>
        <v>42401</v>
      </c>
      <c r="B38" s="1">
        <f>'AAPL and K'!E37</f>
        <v>-6.6999269060085574E-3</v>
      </c>
      <c r="C38" s="1">
        <f>'AAPL and K'!F37</f>
        <v>7.8664799627023961E-3</v>
      </c>
      <c r="E38" s="2"/>
      <c r="F38" s="2"/>
    </row>
    <row r="39" spans="1:6" x14ac:dyDescent="0.25">
      <c r="A39" s="5">
        <f>'AAPL and K'!A38</f>
        <v>42370</v>
      </c>
      <c r="B39" s="1">
        <f>'AAPL and K'!E38</f>
        <v>-7.8223471566607181E-2</v>
      </c>
      <c r="C39" s="1">
        <f>'AAPL and K'!F38</f>
        <v>1.6059912097553433E-2</v>
      </c>
      <c r="E39" s="2"/>
      <c r="F39" s="2"/>
    </row>
    <row r="40" spans="1:6" x14ac:dyDescent="0.25">
      <c r="A40" s="5">
        <f>'AAPL and K'!A39</f>
        <v>42339</v>
      </c>
      <c r="B40" s="1">
        <f>'AAPL and K'!E39</f>
        <v>-0.11251880068259988</v>
      </c>
      <c r="C40" s="1">
        <f>'AAPL and K'!F39</f>
        <v>5.6895312000143583E-2</v>
      </c>
      <c r="E40" s="2"/>
      <c r="F40" s="2"/>
    </row>
    <row r="41" spans="1:6" x14ac:dyDescent="0.25">
      <c r="A41" s="5">
        <f>'AAPL and K'!A40</f>
        <v>42309</v>
      </c>
      <c r="B41" s="1">
        <f>'AAPL and K'!E40</f>
        <v>-1.0092751987705661E-2</v>
      </c>
      <c r="C41" s="1">
        <f>'AAPL and K'!F40</f>
        <v>-2.5128821564664408E-2</v>
      </c>
      <c r="E41" s="2"/>
      <c r="F41" s="2"/>
    </row>
    <row r="42" spans="1:6" x14ac:dyDescent="0.25">
      <c r="A42" s="5">
        <f>'AAPL and K'!A41</f>
        <v>42278</v>
      </c>
      <c r="B42" s="1">
        <f>'AAPL and K'!E41</f>
        <v>8.0112422362387081E-2</v>
      </c>
      <c r="C42" s="1">
        <f>'AAPL and K'!F41</f>
        <v>5.7942558993461672E-2</v>
      </c>
      <c r="E42" s="2"/>
      <c r="F42" s="2"/>
    </row>
    <row r="43" spans="1:6" x14ac:dyDescent="0.25">
      <c r="A43" s="5">
        <f>'AAPL and K'!A42</f>
        <v>42248</v>
      </c>
      <c r="B43" s="1">
        <f>'AAPL and K'!E42</f>
        <v>-1.8959506852724829E-2</v>
      </c>
      <c r="C43" s="1">
        <f>'AAPL and K'!F42</f>
        <v>1.1516169301347825E-2</v>
      </c>
      <c r="E43" s="2"/>
      <c r="F43" s="2"/>
    </row>
    <row r="44" spans="1:6" x14ac:dyDescent="0.25">
      <c r="A44" s="5">
        <f>'AAPL and K'!A43</f>
        <v>42217</v>
      </c>
      <c r="B44" s="1">
        <f>'AAPL and K'!E43</f>
        <v>-7.1587104068490684E-2</v>
      </c>
      <c r="C44" s="1">
        <f>'AAPL and K'!F43</f>
        <v>1.6608028265237701E-3</v>
      </c>
      <c r="E44" s="2"/>
      <c r="F44" s="2"/>
    </row>
    <row r="45" spans="1:6" x14ac:dyDescent="0.25">
      <c r="A45" s="5">
        <f>'AAPL and K'!A44</f>
        <v>42186</v>
      </c>
      <c r="B45" s="1">
        <f>'AAPL and K'!E44</f>
        <v>-3.348093898422045E-2</v>
      </c>
      <c r="C45" s="1">
        <f>'AAPL and K'!F44</f>
        <v>5.3865707695234903E-2</v>
      </c>
      <c r="E45" s="2"/>
      <c r="F45" s="2"/>
    </row>
    <row r="46" spans="1:6" x14ac:dyDescent="0.25">
      <c r="A46" s="5">
        <f>'AAPL and K'!A45</f>
        <v>42156</v>
      </c>
      <c r="B46" s="1">
        <f>'AAPL and K'!E45</f>
        <v>-3.3769804060179459E-2</v>
      </c>
      <c r="C46" s="1">
        <f>'AAPL and K'!F45</f>
        <v>6.6626039142650478E-3</v>
      </c>
      <c r="E46" s="2"/>
      <c r="F46" s="2"/>
    </row>
    <row r="47" spans="1:6" x14ac:dyDescent="0.25">
      <c r="A47" s="5">
        <f>'AAPL and K'!A46</f>
        <v>42125</v>
      </c>
      <c r="B47" s="1">
        <f>'AAPL and K'!E46</f>
        <v>4.0172822193584826E-2</v>
      </c>
      <c r="C47" s="1">
        <f>'AAPL and K'!F46</f>
        <v>-8.8818126508505551E-3</v>
      </c>
      <c r="E47" s="2"/>
      <c r="F47" s="2"/>
    </row>
    <row r="48" spans="1:6" x14ac:dyDescent="0.25">
      <c r="A48" s="5">
        <f>'AAPL and K'!A47</f>
        <v>42095</v>
      </c>
      <c r="B48" s="1">
        <f>'AAPL and K'!E47</f>
        <v>5.769885673670077E-3</v>
      </c>
      <c r="C48" s="1">
        <f>'AAPL and K'!F47</f>
        <v>-3.2942430486370675E-2</v>
      </c>
      <c r="E48" s="2"/>
      <c r="F48" s="2"/>
    </row>
    <row r="49" spans="1:6" x14ac:dyDescent="0.25">
      <c r="A49" s="5">
        <f>'AAPL and K'!A48</f>
        <v>42064</v>
      </c>
      <c r="B49" s="1">
        <f>'AAPL and K'!E48</f>
        <v>-2.7935606365857572E-2</v>
      </c>
      <c r="C49" s="1">
        <f>'AAPL and K'!F48</f>
        <v>2.2541764870257896E-2</v>
      </c>
      <c r="E49" s="2"/>
      <c r="F49" s="2"/>
    </row>
    <row r="50" spans="1:6" x14ac:dyDescent="0.25">
      <c r="A50" s="5">
        <f>'AAPL and K'!A49</f>
        <v>42036</v>
      </c>
      <c r="B50" s="1">
        <f>'AAPL and K'!E49</f>
        <v>9.2077105043209415E-2</v>
      </c>
      <c r="C50" s="1">
        <f>'AAPL and K'!F49</f>
        <v>-1.6915811747022877E-2</v>
      </c>
      <c r="E50" s="2"/>
      <c r="F50" s="2"/>
    </row>
    <row r="51" spans="1:6" x14ac:dyDescent="0.25">
      <c r="A51" s="5">
        <f>'AAPL and K'!A50</f>
        <v>42005</v>
      </c>
      <c r="B51" s="1">
        <f>'AAPL and K'!E50</f>
        <v>5.9611590767431326E-2</v>
      </c>
      <c r="C51" s="1">
        <f>'AAPL and K'!F50</f>
        <v>2.1369778230634936E-3</v>
      </c>
      <c r="E51" s="2"/>
      <c r="F51" s="2"/>
    </row>
    <row r="52" spans="1:6" x14ac:dyDescent="0.25">
      <c r="A52" s="5">
        <f>'AAPL and K'!A51</f>
        <v>41974</v>
      </c>
      <c r="B52" s="1">
        <f>'AAPL and K'!E51</f>
        <v>-7.0279312581139133E-2</v>
      </c>
      <c r="C52" s="1">
        <f>'AAPL and K'!F51</f>
        <v>-4.7511008252483283E-3</v>
      </c>
      <c r="E52" s="2"/>
      <c r="F52" s="2"/>
    </row>
    <row r="53" spans="1:6" x14ac:dyDescent="0.25">
      <c r="A53" s="5">
        <f>'AAPL and K'!A52</f>
        <v>41944</v>
      </c>
      <c r="B53" s="1">
        <f>'AAPL and K'!E52</f>
        <v>9.640398815914436E-2</v>
      </c>
      <c r="C53" s="1">
        <f>'AAPL and K'!F52</f>
        <v>3.5177810436369653E-2</v>
      </c>
      <c r="E53" s="2"/>
      <c r="F53" s="2"/>
    </row>
    <row r="54" spans="1:6" x14ac:dyDescent="0.25">
      <c r="A54" s="5">
        <f>'AAPL and K'!A53</f>
        <v>41913</v>
      </c>
      <c r="B54" s="1">
        <f>'AAPL and K'!E53</f>
        <v>6.9489005002121809E-2</v>
      </c>
      <c r="C54" s="1">
        <f>'AAPL and K'!F53</f>
        <v>3.7595884789121473E-2</v>
      </c>
      <c r="E54" s="2"/>
      <c r="F54" s="2"/>
    </row>
    <row r="55" spans="1:6" x14ac:dyDescent="0.25">
      <c r="A55" s="5">
        <f>'AAPL and K'!A54</f>
        <v>41883</v>
      </c>
      <c r="B55" s="1">
        <f>'AAPL and K'!E54</f>
        <v>-1.2258742758189969E-2</v>
      </c>
      <c r="C55" s="1">
        <f>'AAPL and K'!F54</f>
        <v>-4.5729328184746572E-2</v>
      </c>
      <c r="E55" s="2"/>
      <c r="F55" s="2"/>
    </row>
    <row r="56" spans="1:6" x14ac:dyDescent="0.25">
      <c r="A56" s="5">
        <f>'AAPL and K'!A55</f>
        <v>41852</v>
      </c>
      <c r="B56" s="1">
        <f>'AAPL and K'!E55</f>
        <v>6.9689915730000301E-2</v>
      </c>
      <c r="C56" s="1">
        <f>'AAPL and K'!F55</f>
        <v>8.241863193198376E-2</v>
      </c>
      <c r="E56" s="2"/>
      <c r="F56" s="2"/>
    </row>
    <row r="57" spans="1:6" x14ac:dyDescent="0.25">
      <c r="A57" s="5">
        <f>'AAPL and K'!A56</f>
        <v>41821</v>
      </c>
      <c r="B57" s="1">
        <f>'AAPL and K'!E56</f>
        <v>2.8326287757557078E-2</v>
      </c>
      <c r="C57" s="1">
        <f>'AAPL and K'!F56</f>
        <v>-9.3591907020372775E-2</v>
      </c>
      <c r="E57" s="2"/>
      <c r="F57" s="2"/>
    </row>
    <row r="58" spans="1:6" x14ac:dyDescent="0.25">
      <c r="A58" s="5">
        <f>'AAPL and K'!A57</f>
        <v>41791</v>
      </c>
      <c r="B58" s="1">
        <f>'AAPL and K'!E57</f>
        <v>6.6942249910657281E-2</v>
      </c>
      <c r="C58" s="1">
        <f>'AAPL and K'!F57</f>
        <v>-4.1932136438268985E-2</v>
      </c>
      <c r="E58" s="2"/>
      <c r="F58" s="2"/>
    </row>
    <row r="59" spans="1:6" x14ac:dyDescent="0.25">
      <c r="A59" s="5">
        <f>'AAPL and K'!A58</f>
        <v>41760</v>
      </c>
      <c r="B59" s="1">
        <f>'AAPL and K'!E58</f>
        <v>7.0195609177416365E-2</v>
      </c>
      <c r="C59" s="1">
        <f>'AAPL and K'!F58</f>
        <v>3.1664750172367459E-2</v>
      </c>
      <c r="E59" s="2"/>
      <c r="F59" s="2"/>
    </row>
    <row r="60" spans="1:6" x14ac:dyDescent="0.25">
      <c r="A60" s="5">
        <f>'AAPL and K'!A59</f>
        <v>41730</v>
      </c>
      <c r="B60" s="1">
        <f>'AAPL and K'!E59</f>
        <v>9.4761408163302557E-2</v>
      </c>
      <c r="C60" s="1">
        <f>'AAPL and K'!F59</f>
        <v>7.1241974157682339E-2</v>
      </c>
      <c r="E60" s="2"/>
      <c r="F60" s="2"/>
    </row>
    <row r="61" spans="1:6" x14ac:dyDescent="0.25">
      <c r="A61" s="5">
        <f>'AAPL and K'!A60</f>
        <v>41699</v>
      </c>
      <c r="B61" s="1">
        <f>'AAPL and K'!E60</f>
        <v>6.2299784568121873E-2</v>
      </c>
      <c r="C61" s="1">
        <f>'AAPL and K'!F60</f>
        <v>3.2741924695456226E-2</v>
      </c>
      <c r="E61" s="2"/>
      <c r="F61" s="2"/>
    </row>
    <row r="62" spans="1:6" x14ac:dyDescent="0.25">
      <c r="A62" s="5">
        <f>'AAPL and K'!A61</f>
        <v>41671</v>
      </c>
      <c r="B62" s="1">
        <f>'AAPL and K'!E61</f>
        <v>4.9950146236972089E-2</v>
      </c>
      <c r="C62" s="1">
        <f>'AAPL and K'!F61</f>
        <v>4.5681031959037381E-2</v>
      </c>
      <c r="E62" s="2"/>
      <c r="F62" s="2"/>
    </row>
    <row r="63" spans="1:6" x14ac:dyDescent="0.25">
      <c r="A63" s="5">
        <f>'AAPL and K'!A62</f>
        <v>41640</v>
      </c>
      <c r="B63" s="1">
        <f>'AAPL and K'!E62</f>
        <v>-0.11394935387957596</v>
      </c>
      <c r="C63" s="1">
        <f>'AAPL and K'!F62</f>
        <v>-5.1922852667961435E-2</v>
      </c>
      <c r="E63" s="2"/>
      <c r="F63" s="2"/>
    </row>
    <row r="64" spans="1:6" x14ac:dyDescent="0.25">
      <c r="A64" s="5">
        <f>'AAPL and K'!A63</f>
        <v>41609</v>
      </c>
      <c r="B64" s="1">
        <f>'AAPL and K'!E63</f>
        <v>5.03427966552496E-2</v>
      </c>
      <c r="C64" s="1">
        <f>'AAPL and K'!F63</f>
        <v>1.454589436375049E-2</v>
      </c>
    </row>
    <row r="65" spans="1:3" x14ac:dyDescent="0.25">
      <c r="A65" s="5">
        <f>'AAPL and K'!A64</f>
        <v>41579</v>
      </c>
      <c r="B65" s="1">
        <f>'AAPL and K'!E64</f>
        <v>6.1886721555747294E-2</v>
      </c>
      <c r="C65" s="1">
        <f>'AAPL and K'!F64</f>
        <v>-4.2140314756534507E-2</v>
      </c>
    </row>
    <row r="66" spans="1:3" x14ac:dyDescent="0.25">
      <c r="A66" s="5">
        <f>'AAPL and K'!A65</f>
        <v>41548</v>
      </c>
      <c r="B66" s="1">
        <f>'AAPL and K'!E65</f>
        <v>9.2015184988865406E-2</v>
      </c>
      <c r="C66" s="1">
        <f>'AAPL and K'!F65</f>
        <v>7.4144329652407942E-2</v>
      </c>
    </row>
    <row r="67" spans="1:3" x14ac:dyDescent="0.25">
      <c r="A67" s="5">
        <f>'AAPL and K'!A66</f>
        <v>41518</v>
      </c>
      <c r="B67" s="1">
        <f>'AAPL and K'!E66</f>
        <v>2.528008176933963E-2</v>
      </c>
      <c r="C67" s="1">
        <f>'AAPL and K'!F66</f>
        <v>-2.5598030418524428E-2</v>
      </c>
    </row>
    <row r="68" spans="1:3" x14ac:dyDescent="0.25">
      <c r="A68" s="5">
        <f>'AAPL and K'!A67</f>
        <v>41487</v>
      </c>
      <c r="B68" s="1">
        <f>'AAPL and K'!E67</f>
        <v>7.3861726107924061E-2</v>
      </c>
      <c r="C68" s="1">
        <f>'AAPL and K'!F67</f>
        <v>-8.7176190915463553E-2</v>
      </c>
    </row>
    <row r="69" spans="1:3" x14ac:dyDescent="0.25">
      <c r="A69" s="5">
        <f>'AAPL and K'!A68</f>
        <v>41456</v>
      </c>
      <c r="B69" s="1">
        <f>'AAPL and K'!E68</f>
        <v>0.13210205184677712</v>
      </c>
      <c r="C69" s="1">
        <f>'AAPL and K'!F68</f>
        <v>3.0814137045351003E-2</v>
      </c>
    </row>
    <row r="70" spans="1:3" x14ac:dyDescent="0.25">
      <c r="A70" s="5">
        <f>'AAPL and K'!A69</f>
        <v>41426</v>
      </c>
      <c r="B70" s="1">
        <f>'AAPL and K'!E69</f>
        <v>-7.877377903156231E-2</v>
      </c>
      <c r="C70" s="1">
        <f>'AAPL and K'!F69</f>
        <v>4.147113237600298E-2</v>
      </c>
    </row>
    <row r="71" spans="1:3" x14ac:dyDescent="0.25">
      <c r="A71" s="5">
        <f>'AAPL and K'!A70</f>
        <v>41395</v>
      </c>
      <c r="B71" s="1">
        <f>'AAPL and K'!E70</f>
        <v>1.5574579732374539E-2</v>
      </c>
      <c r="C71" s="1">
        <f>'AAPL and K'!F70</f>
        <v>-4.7061905590419478E-2</v>
      </c>
    </row>
    <row r="72" spans="1:3" x14ac:dyDescent="0.25">
      <c r="A72" s="5">
        <f>'AAPL and K'!A71</f>
        <v>41365</v>
      </c>
      <c r="B72" s="1">
        <f>'AAPL and K'!E71</f>
        <v>2.7093593488165661E-4</v>
      </c>
      <c r="C72" s="1">
        <f>'AAPL and K'!F71</f>
        <v>9.4230338982560311E-3</v>
      </c>
    </row>
    <row r="73" spans="1:3" x14ac:dyDescent="0.25">
      <c r="A73" s="5">
        <f>'AAPL and K'!A72</f>
        <v>41334</v>
      </c>
      <c r="B73" s="1">
        <f>'AAPL and K'!E72</f>
        <v>4.425549471421529E-2</v>
      </c>
      <c r="C73" s="1">
        <f>'AAPL and K'!F72</f>
        <v>7.0236559325180206E-2</v>
      </c>
    </row>
    <row r="74" spans="1:3" x14ac:dyDescent="0.25">
      <c r="A74" s="5">
        <f>'AAPL and K'!A73</f>
        <v>41306</v>
      </c>
      <c r="B74" s="1">
        <f>'AAPL and K'!E73</f>
        <v>-3.14221629752853E-2</v>
      </c>
      <c r="C74" s="1">
        <f>'AAPL and K'!F73</f>
        <v>3.3616583495417483E-2</v>
      </c>
    </row>
    <row r="75" spans="1:3" x14ac:dyDescent="0.25">
      <c r="A75" s="5">
        <f>'AAPL and K'!A74</f>
        <v>41275</v>
      </c>
      <c r="B75" s="1">
        <f>'AAPL and K'!E74</f>
        <v>-0.15558907021766993</v>
      </c>
      <c r="C75" s="1">
        <f>'AAPL and K'!F74</f>
        <v>4.635711167231342E-2</v>
      </c>
    </row>
    <row r="76" spans="1:3" x14ac:dyDescent="0.25">
      <c r="A76" s="5">
        <f>'AAPL and K'!A75</f>
        <v>41244</v>
      </c>
      <c r="B76" s="1">
        <f>'AAPL and K'!E75</f>
        <v>-6.278341324704087E-2</v>
      </c>
      <c r="C76" s="1">
        <f>'AAPL and K'!F75</f>
        <v>1.4927001401711633E-2</v>
      </c>
    </row>
    <row r="77" spans="1:3" x14ac:dyDescent="0.25">
      <c r="A77" s="5">
        <f>'AAPL and K'!A76</f>
        <v>41214</v>
      </c>
      <c r="B77" s="1">
        <f>'AAPL and K'!E76</f>
        <v>-1.7009228134492078E-2</v>
      </c>
      <c r="C77" s="1">
        <f>'AAPL and K'!F76</f>
        <v>5.8283357022854705E-2</v>
      </c>
    </row>
    <row r="78" spans="1:3" x14ac:dyDescent="0.25">
      <c r="A78" s="5">
        <f>'AAPL and K'!A77</f>
        <v>41183</v>
      </c>
      <c r="B78" s="1">
        <f>'AAPL and K'!E77</f>
        <v>-0.11384054355176348</v>
      </c>
      <c r="C78" s="1">
        <f>'AAPL and K'!F77</f>
        <v>1.2694903426794076E-2</v>
      </c>
    </row>
    <row r="79" spans="1:3" x14ac:dyDescent="0.25">
      <c r="A79" s="5">
        <f>'AAPL and K'!A78</f>
        <v>41153</v>
      </c>
      <c r="B79" s="1">
        <f>'AAPL and K'!E78</f>
        <v>3.3175234820611556E-2</v>
      </c>
      <c r="C79" s="1">
        <f>'AAPL and K'!F78</f>
        <v>2.833847675805343E-2</v>
      </c>
    </row>
    <row r="80" spans="1:3" x14ac:dyDescent="0.25">
      <c r="A80" s="5">
        <f>'AAPL and K'!A79</f>
        <v>41122</v>
      </c>
      <c r="B80" s="1">
        <f>'AAPL and K'!E79</f>
        <v>8.5443927510820875E-2</v>
      </c>
      <c r="C80" s="1">
        <f>'AAPL and K'!F79</f>
        <v>6.0007829877709876E-2</v>
      </c>
    </row>
    <row r="81" spans="1:3" x14ac:dyDescent="0.25">
      <c r="A81" s="5">
        <f>'AAPL and K'!A80</f>
        <v>41091</v>
      </c>
      <c r="B81" s="1">
        <f>'AAPL and K'!E80</f>
        <v>4.4803079652886366E-2</v>
      </c>
      <c r="C81" s="1">
        <f>'AAPL and K'!F80</f>
        <v>-3.3601340670216528E-2</v>
      </c>
    </row>
    <row r="82" spans="1:3" x14ac:dyDescent="0.25">
      <c r="A82" s="5">
        <f>'AAPL and K'!A81</f>
        <v>41061</v>
      </c>
      <c r="B82" s="1">
        <f>'AAPL and K'!E81</f>
        <v>1.0794044610391084E-2</v>
      </c>
      <c r="C82" s="1">
        <f>'AAPL and K'!F81</f>
        <v>1.9766929913424238E-2</v>
      </c>
    </row>
    <row r="83" spans="1:3" x14ac:dyDescent="0.25">
      <c r="A83" s="5">
        <f>'AAPL and K'!A82</f>
        <v>41030</v>
      </c>
      <c r="B83" s="1">
        <f>'AAPL and K'!E82</f>
        <v>-1.0760105764054529E-2</v>
      </c>
      <c r="C83" s="1">
        <f>'AAPL and K'!F82</f>
        <v>-3.603809909189918E-2</v>
      </c>
    </row>
    <row r="84" spans="1:3" x14ac:dyDescent="0.25">
      <c r="A84" s="5">
        <f>'AAPL and K'!A83</f>
        <v>41000</v>
      </c>
      <c r="B84" s="1">
        <f>'AAPL and K'!E83</f>
        <v>-2.6312522384197522E-2</v>
      </c>
      <c r="C84" s="1">
        <f>'AAPL and K'!F83</f>
        <v>-5.8750062326359903E-2</v>
      </c>
    </row>
    <row r="85" spans="1:3" x14ac:dyDescent="0.25">
      <c r="A85" s="5">
        <f>'AAPL and K'!A84</f>
        <v>40969</v>
      </c>
      <c r="B85" s="1">
        <f>'AAPL and K'!E84</f>
        <v>0.1001018723259286</v>
      </c>
      <c r="C85" s="1">
        <f>'AAPL and K'!F84</f>
        <v>3.2318489923243605E-2</v>
      </c>
    </row>
    <row r="86" spans="1:3" x14ac:dyDescent="0.25">
      <c r="A86" s="5">
        <f>'AAPL and K'!A85</f>
        <v>40940</v>
      </c>
      <c r="B86" s="1">
        <f>'AAPL and K'!E85</f>
        <v>0.17253272365200584</v>
      </c>
      <c r="C86" s="1">
        <f>'AAPL and K'!F85</f>
        <v>5.5575139189848612E-2</v>
      </c>
    </row>
    <row r="87" spans="1:3" x14ac:dyDescent="0.25">
      <c r="A87" s="5">
        <f>'AAPL and K'!A86</f>
        <v>40909</v>
      </c>
      <c r="B87" s="1">
        <f>'AAPL and K'!E86</f>
        <v>0.11965778366501913</v>
      </c>
      <c r="C87" s="1">
        <f>'AAPL and K'!F86</f>
        <v>-2.0981974039671596E-2</v>
      </c>
    </row>
    <row r="88" spans="1:3" x14ac:dyDescent="0.25">
      <c r="A88" s="5">
        <f>'AAPL and K'!A87</f>
        <v>40878</v>
      </c>
      <c r="B88" s="1">
        <f>'AAPL and K'!E87</f>
        <v>5.7942882909883787E-2</v>
      </c>
      <c r="C88" s="1">
        <f>'AAPL and K'!F87</f>
        <v>3.7161599108149042E-2</v>
      </c>
    </row>
    <row r="89" spans="1:3" x14ac:dyDescent="0.25">
      <c r="A89" s="5">
        <f>'AAPL and K'!A88</f>
        <v>40848</v>
      </c>
      <c r="B89" s="1">
        <f>'AAPL and K'!E88</f>
        <v>-5.7399698294657964E-2</v>
      </c>
      <c r="C89" s="1">
        <f>'AAPL and K'!F88</f>
        <v>-9.7784798880145074E-2</v>
      </c>
    </row>
    <row r="90" spans="1:3" x14ac:dyDescent="0.25">
      <c r="A90" s="5">
        <f>'AAPL and K'!A89</f>
        <v>40817</v>
      </c>
      <c r="B90" s="1">
        <f>'AAPL and K'!E89</f>
        <v>5.9704656309112342E-2</v>
      </c>
      <c r="C90" s="1">
        <f>'AAPL and K'!F89</f>
        <v>1.8995125155575675E-2</v>
      </c>
    </row>
    <row r="91" spans="1:3" x14ac:dyDescent="0.25">
      <c r="A91" s="5">
        <f>'AAPL and K'!A90</f>
        <v>40787</v>
      </c>
      <c r="B91" s="1">
        <f>'AAPL and K'!E90</f>
        <v>-9.1623742544899751E-3</v>
      </c>
      <c r="C91" s="1">
        <f>'AAPL and K'!F90</f>
        <v>-1.3051258179502197E-2</v>
      </c>
    </row>
    <row r="92" spans="1:3" x14ac:dyDescent="0.25">
      <c r="A92" s="5">
        <f>'AAPL and K'!A91</f>
        <v>40756</v>
      </c>
      <c r="B92" s="1">
        <f>'AAPL and K'!E91</f>
        <v>-1.4575148075378373E-2</v>
      </c>
      <c r="C92" s="1">
        <f>'AAPL and K'!F91</f>
        <v>-2.652293211084138E-2</v>
      </c>
    </row>
    <row r="93" spans="1:3" x14ac:dyDescent="0.25">
      <c r="A93" s="5">
        <f>'AAPL and K'!A92</f>
        <v>40725</v>
      </c>
      <c r="B93" s="1">
        <f>'AAPL and K'!E92</f>
        <v>0.15124817703954213</v>
      </c>
      <c r="C93" s="1">
        <f>'AAPL and K'!F92</f>
        <v>8.2811146004195119E-3</v>
      </c>
    </row>
    <row r="94" spans="1:3" x14ac:dyDescent="0.25">
      <c r="A94" s="5">
        <f>'AAPL and K'!A93</f>
        <v>40695</v>
      </c>
      <c r="B94" s="1">
        <f>'AAPL and K'!E93</f>
        <v>-3.5585106846870038E-2</v>
      </c>
      <c r="C94" s="1">
        <f>'AAPL and K'!F93</f>
        <v>-2.2583147116158272E-2</v>
      </c>
    </row>
    <row r="95" spans="1:3" x14ac:dyDescent="0.25">
      <c r="A95" s="5">
        <f>'AAPL and K'!A94</f>
        <v>40664</v>
      </c>
      <c r="B95" s="1">
        <f>'AAPL and K'!E94</f>
        <v>-6.5907083685697943E-3</v>
      </c>
      <c r="C95" s="1">
        <f>'AAPL and K'!F94</f>
        <v>-4.9011169559721466E-3</v>
      </c>
    </row>
    <row r="96" spans="1:3" x14ac:dyDescent="0.25">
      <c r="A96" s="5">
        <f>'AAPL and K'!A95</f>
        <v>40634</v>
      </c>
      <c r="B96" s="1">
        <f>'AAPL and K'!E95</f>
        <v>4.637462170940054E-3</v>
      </c>
      <c r="C96" s="1">
        <f>'AAPL and K'!F95</f>
        <v>5.9163503688842087E-2</v>
      </c>
    </row>
    <row r="97" spans="1:3" x14ac:dyDescent="0.25">
      <c r="A97" s="5">
        <f>'AAPL and K'!A96</f>
        <v>40603</v>
      </c>
      <c r="B97" s="1">
        <f>'AAPL and K'!E96</f>
        <v>-1.3396018114221324E-2</v>
      </c>
      <c r="C97" s="1">
        <f>'AAPL and K'!F96</f>
        <v>1.5467028061682707E-2</v>
      </c>
    </row>
    <row r="98" spans="1:3" x14ac:dyDescent="0.25">
      <c r="A98" s="5">
        <f>'AAPL and K'!A97</f>
        <v>40575</v>
      </c>
      <c r="B98" s="1">
        <f>'AAPL and K'!E97</f>
        <v>4.0119263967248533E-2</v>
      </c>
      <c r="C98" s="1">
        <f>'AAPL and K'!F97</f>
        <v>6.2797663392619454E-2</v>
      </c>
    </row>
    <row r="99" spans="1:3" x14ac:dyDescent="0.25">
      <c r="A99" s="5">
        <f>'AAPL and K'!A98</f>
        <v>40544</v>
      </c>
      <c r="B99" s="1">
        <f>'AAPL and K'!E98</f>
        <v>5.0654093457427614E-2</v>
      </c>
      <c r="C99" s="1">
        <f>'AAPL and K'!F98</f>
        <v>-1.5388182553408857E-2</v>
      </c>
    </row>
    <row r="100" spans="1:3" x14ac:dyDescent="0.25">
      <c r="A100" s="5">
        <f>'AAPL and K'!A99</f>
        <v>40513</v>
      </c>
      <c r="B100" s="1">
        <f>'AAPL and K'!E99</f>
        <v>3.6014516448256047E-2</v>
      </c>
      <c r="C100" s="1">
        <f>'AAPL and K'!F99</f>
        <v>4.5109042294686735E-2</v>
      </c>
    </row>
    <row r="101" spans="1:3" x14ac:dyDescent="0.25">
      <c r="A101" s="5">
        <f>'AAPL and K'!A100</f>
        <v>40483</v>
      </c>
      <c r="B101" s="1">
        <f>'AAPL and K'!E100</f>
        <v>3.3230999815200966E-2</v>
      </c>
      <c r="C101" s="1">
        <f>'AAPL and K'!F100</f>
        <v>-2.0706576155375384E-2</v>
      </c>
    </row>
    <row r="102" spans="1:3" x14ac:dyDescent="0.25">
      <c r="A102" s="5">
        <f>'AAPL and K'!A101</f>
        <v>40452</v>
      </c>
      <c r="B102" s="1">
        <f>'AAPL and K'!E101</f>
        <v>5.8950422157251561E-2</v>
      </c>
      <c r="C102" s="1">
        <f>'AAPL and K'!F101</f>
        <v>-4.9615651172647381E-3</v>
      </c>
    </row>
    <row r="103" spans="1:3" x14ac:dyDescent="0.25">
      <c r="A103" s="5">
        <f>'AAPL and K'!A102</f>
        <v>40422</v>
      </c>
      <c r="B103" s="1">
        <f>'AAPL and K'!E102</f>
        <v>0.15462062541137916</v>
      </c>
      <c r="C103" s="1">
        <f>'AAPL and K'!F102</f>
        <v>2.4622627812122235E-2</v>
      </c>
    </row>
    <row r="104" spans="1:3" x14ac:dyDescent="0.25">
      <c r="A104" s="5">
        <f>'AAPL and K'!A103</f>
        <v>40391</v>
      </c>
      <c r="B104" s="1">
        <f>'AAPL and K'!E103</f>
        <v>-5.6575420975125419E-2</v>
      </c>
      <c r="C104" s="1">
        <f>'AAPL and K'!F103</f>
        <v>-7.4204705417428851E-3</v>
      </c>
    </row>
    <row r="105" spans="1:3" x14ac:dyDescent="0.25">
      <c r="A105" s="5">
        <f>'AAPL and K'!A104</f>
        <v>40360</v>
      </c>
      <c r="B105" s="1">
        <f>'AAPL and K'!E104</f>
        <v>2.2486219627365481E-2</v>
      </c>
      <c r="C105" s="1">
        <f>'AAPL and K'!F104</f>
        <v>-4.9821746845733709E-3</v>
      </c>
    </row>
    <row r="106" spans="1:3" x14ac:dyDescent="0.25">
      <c r="A106" s="5">
        <f>'AAPL and K'!A105</f>
        <v>40330</v>
      </c>
      <c r="B106" s="1">
        <f>'AAPL and K'!E105</f>
        <v>-2.1047152257473754E-2</v>
      </c>
      <c r="C106" s="1">
        <f>'AAPL and K'!F105</f>
        <v>-5.3254588882322713E-2</v>
      </c>
    </row>
    <row r="107" spans="1:3" x14ac:dyDescent="0.25">
      <c r="A107" s="5">
        <f>'AAPL and K'!A106</f>
        <v>40299</v>
      </c>
      <c r="B107" s="1">
        <f>'AAPL and K'!E106</f>
        <v>-1.6255864688260405E-2</v>
      </c>
      <c r="C107" s="1">
        <f>'AAPL and K'!F106</f>
        <v>-2.7869342827523631E-2</v>
      </c>
    </row>
    <row r="108" spans="1:3" x14ac:dyDescent="0.25">
      <c r="A108" s="5">
        <f>'AAPL and K'!A107</f>
        <v>40269</v>
      </c>
      <c r="B108" s="1">
        <f>'AAPL and K'!E107</f>
        <v>0.10527979060113814</v>
      </c>
      <c r="C108" s="1">
        <f>'AAPL and K'!F107</f>
        <v>2.7869342827523579E-2</v>
      </c>
    </row>
    <row r="109" spans="1:3" x14ac:dyDescent="0.25">
      <c r="A109" s="5">
        <f>'AAPL and K'!A108</f>
        <v>40238</v>
      </c>
      <c r="B109" s="1">
        <f>'AAPL and K'!E108</f>
        <v>0.13843072261054745</v>
      </c>
      <c r="C109" s="1">
        <f>'AAPL and K'!F108</f>
        <v>3.1442883779947424E-2</v>
      </c>
    </row>
    <row r="110" spans="1:3" x14ac:dyDescent="0.25">
      <c r="A110" s="5">
        <f>'AAPL and K'!A109</f>
        <v>40210</v>
      </c>
      <c r="B110" s="1">
        <f>'AAPL and K'!E109</f>
        <v>6.3346820771750079E-2</v>
      </c>
      <c r="C110" s="1">
        <f>'AAPL and K'!F109</f>
        <v>-4.260778800395406E-2</v>
      </c>
    </row>
    <row r="111" spans="1:3" x14ac:dyDescent="0.25">
      <c r="A111" s="5">
        <f>'AAPL and K'!A110</f>
        <v>40179</v>
      </c>
      <c r="B111" s="1">
        <f>'AAPL and K'!E110</f>
        <v>-9.2769972651683186E-2</v>
      </c>
      <c r="C111" s="1">
        <f>'AAPL and K'!F110</f>
        <v>2.2673225895911069E-2</v>
      </c>
    </row>
    <row r="112" spans="1:3" x14ac:dyDescent="0.25">
      <c r="A112" s="5">
        <f>'AAPL and K'!A111</f>
        <v>40148</v>
      </c>
      <c r="B112" s="1">
        <f>'AAPL and K'!E111</f>
        <v>5.271094910580109E-2</v>
      </c>
      <c r="C112" s="1">
        <f>'AAPL and K'!F111</f>
        <v>1.8827577427685521E-2</v>
      </c>
    </row>
    <row r="113" spans="1:3" x14ac:dyDescent="0.25">
      <c r="A113" s="5">
        <f>'AAPL and K'!A112</f>
        <v>40118</v>
      </c>
      <c r="B113" s="1">
        <f>'AAPL and K'!E112</f>
        <v>5.8768730172218744E-2</v>
      </c>
      <c r="C113" s="1">
        <f>'AAPL and K'!F112</f>
        <v>1.997787119485684E-2</v>
      </c>
    </row>
    <row r="114" spans="1:3" x14ac:dyDescent="0.25">
      <c r="A114" s="5">
        <f>'AAPL and K'!A113</f>
        <v>40087</v>
      </c>
      <c r="B114" s="1">
        <f>'AAPL and K'!E113</f>
        <v>1.6852054831431509E-2</v>
      </c>
      <c r="C114" s="1">
        <f>'AAPL and K'!F113</f>
        <v>4.5854840830725919E-2</v>
      </c>
    </row>
    <row r="115" spans="1:3" x14ac:dyDescent="0.25">
      <c r="A115" s="5">
        <f>'AAPL and K'!A114</f>
        <v>40057</v>
      </c>
      <c r="B115" s="1">
        <f>'AAPL and K'!E114</f>
        <v>9.7032976419659439E-2</v>
      </c>
      <c r="C115" s="1">
        <f>'AAPL and K'!F114</f>
        <v>5.2459933479165811E-2</v>
      </c>
    </row>
    <row r="116" spans="1:3" x14ac:dyDescent="0.25">
      <c r="A116" s="5">
        <f>'AAPL and K'!A115</f>
        <v>40026</v>
      </c>
      <c r="B116" s="1">
        <f>'AAPL and K'!E115</f>
        <v>2.9073316510300224E-2</v>
      </c>
      <c r="C116" s="1">
        <f>'AAPL and K'!F115</f>
        <v>-8.6692925354493293E-3</v>
      </c>
    </row>
    <row r="117" spans="1:3" x14ac:dyDescent="0.25">
      <c r="A117" s="5">
        <f>'AAPL and K'!A116</f>
        <v>39995</v>
      </c>
      <c r="B117" s="1">
        <f>'AAPL and K'!E116</f>
        <v>0.13728922955037989</v>
      </c>
      <c r="C117" s="1">
        <f>'AAPL and K'!F116</f>
        <v>1.9773470388389794E-2</v>
      </c>
    </row>
    <row r="118" spans="1:3" x14ac:dyDescent="0.25">
      <c r="A118" s="5">
        <f>'AAPL and K'!A117</f>
        <v>39965</v>
      </c>
      <c r="B118" s="1">
        <f>'AAPL and K'!E117</f>
        <v>4.7593717264136394E-2</v>
      </c>
      <c r="C118" s="1">
        <f>'AAPL and K'!F117</f>
        <v>8.1855323308452549E-2</v>
      </c>
    </row>
    <row r="119" spans="1:3" x14ac:dyDescent="0.25">
      <c r="A119" s="5">
        <f>'AAPL and K'!A118</f>
        <v>39934</v>
      </c>
      <c r="B119" s="1">
        <f>'AAPL and K'!E118</f>
        <v>7.6324928749680512E-2</v>
      </c>
      <c r="C119" s="1">
        <f>'AAPL and K'!F118</f>
        <v>2.6711765312306745E-2</v>
      </c>
    </row>
    <row r="120" spans="1:3" x14ac:dyDescent="0.25">
      <c r="A120" s="5">
        <f>'AAPL and K'!A119</f>
        <v>39904</v>
      </c>
      <c r="B120" s="1">
        <f>'AAPL and K'!E119</f>
        <v>0.17982937483629954</v>
      </c>
      <c r="C120" s="1">
        <f>'AAPL and K'!F119</f>
        <v>0.13941774256888045</v>
      </c>
    </row>
    <row r="121" spans="1:3" x14ac:dyDescent="0.25">
      <c r="A121" s="5">
        <f>'AAPL and K'!A120</f>
        <v>39873</v>
      </c>
      <c r="B121" s="1">
        <f>'AAPL and K'!E120</f>
        <v>0.16298894786765122</v>
      </c>
      <c r="C121" s="1">
        <f>'AAPL and K'!F120</f>
        <v>-5.1818552970314548E-2</v>
      </c>
    </row>
    <row r="122" spans="1:3" x14ac:dyDescent="0.25">
      <c r="A122" s="5">
        <f>'AAPL and K'!A121</f>
        <v>39845</v>
      </c>
      <c r="B122" s="1">
        <f>'AAPL and K'!E121</f>
        <v>-9.1395831936074562E-3</v>
      </c>
      <c r="C122" s="1">
        <f>'AAPL and K'!F121</f>
        <v>-0.11561085485906979</v>
      </c>
    </row>
  </sheetData>
  <mergeCells count="1">
    <mergeCell ref="A1:J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142"/>
  <sheetViews>
    <sheetView topLeftCell="A131" workbookViewId="0">
      <selection activeCell="E2" sqref="E2"/>
    </sheetView>
  </sheetViews>
  <sheetFormatPr defaultRowHeight="13.8" outlineLevelRow="1" x14ac:dyDescent="0.25"/>
  <cols>
    <col min="1" max="1" width="16.19921875" bestFit="1" customWidth="1"/>
    <col min="2" max="2" width="8.09765625" bestFit="1" customWidth="1"/>
    <col min="3" max="3" width="7.8984375" bestFit="1" customWidth="1"/>
    <col min="4" max="4" width="8.69921875" customWidth="1"/>
    <col min="5" max="5" width="20.19921875" customWidth="1"/>
    <col min="6" max="6" width="2.796875" customWidth="1"/>
    <col min="7" max="7" width="28.296875" bestFit="1" customWidth="1"/>
    <col min="10" max="10" width="25.19921875" customWidth="1"/>
  </cols>
  <sheetData>
    <row r="1" spans="1:10" ht="35.4" customHeight="1" x14ac:dyDescent="0.3">
      <c r="A1" s="64" t="s">
        <v>17</v>
      </c>
      <c r="B1" s="64"/>
      <c r="C1" s="64"/>
      <c r="D1" s="64"/>
      <c r="E1" s="64"/>
      <c r="F1" s="21"/>
      <c r="G1" s="21"/>
      <c r="H1" s="21"/>
      <c r="I1" s="21"/>
      <c r="J1" s="21"/>
    </row>
    <row r="2" spans="1:10" x14ac:dyDescent="0.25">
      <c r="A2" t="s">
        <v>18</v>
      </c>
      <c r="B2" s="17">
        <v>0.5</v>
      </c>
    </row>
    <row r="3" spans="1:10" x14ac:dyDescent="0.25">
      <c r="A3" t="s">
        <v>55</v>
      </c>
      <c r="B3" s="17">
        <f>1-B2</f>
        <v>0.5</v>
      </c>
      <c r="C3" t="str">
        <f ca="1">"&lt;--"&amp;_xlfn.FORMULATEXT(B3)</f>
        <v>&lt;--=1-B2</v>
      </c>
    </row>
    <row r="5" spans="1:10" ht="27.6" x14ac:dyDescent="0.25">
      <c r="B5" s="16" t="s">
        <v>19</v>
      </c>
      <c r="C5" s="16" t="s">
        <v>56</v>
      </c>
      <c r="D5" s="16" t="s">
        <v>20</v>
      </c>
    </row>
    <row r="6" spans="1:10" x14ac:dyDescent="0.25">
      <c r="A6" s="5">
        <f>'AAPL and K'!A3</f>
        <v>43435</v>
      </c>
      <c r="B6" s="9">
        <f>'AAPL and K'!E3</f>
        <v>-0.12060544914787433</v>
      </c>
      <c r="C6" s="9">
        <f>'AAPL and K'!F3</f>
        <v>-0.10127955443263523</v>
      </c>
      <c r="D6" s="1">
        <f>$B$2*B6+$B$3*C6</f>
        <v>-0.11094250179025478</v>
      </c>
      <c r="E6" t="str">
        <f ca="1">"&lt;--"&amp;_xlfn.FORMULATEXT(D6)</f>
        <v>&lt;--=$B$2*B6+$B$3*C6</v>
      </c>
    </row>
    <row r="7" spans="1:10" x14ac:dyDescent="0.25">
      <c r="A7" s="5">
        <f>'AAPL and K'!A4</f>
        <v>43405</v>
      </c>
      <c r="B7" s="9">
        <f>'AAPL and K'!E4</f>
        <v>-0.20339554632600876</v>
      </c>
      <c r="C7" s="9">
        <f>'AAPL and K'!F4</f>
        <v>-2.8345446386111743E-2</v>
      </c>
      <c r="D7" s="1">
        <f t="shared" ref="D7:D65" si="0">$B$2*B7+$B$3*C7</f>
        <v>-0.11587049635606025</v>
      </c>
      <c r="E7" t="str">
        <f ca="1">"&lt;--"&amp;_xlfn.FORMULATEXT(D7)</f>
        <v>&lt;--=$B$2*B7+$B$3*C7</v>
      </c>
    </row>
    <row r="8" spans="1:10" x14ac:dyDescent="0.25">
      <c r="A8" s="5">
        <f>'AAPL and K'!A5</f>
        <v>43374</v>
      </c>
      <c r="B8" s="9">
        <f>'AAPL and K'!E5</f>
        <v>-3.0951701391631649E-2</v>
      </c>
      <c r="C8" s="9">
        <f>'AAPL and K'!F5</f>
        <v>-6.7036101839614837E-2</v>
      </c>
      <c r="D8" s="1">
        <f t="shared" si="0"/>
        <v>-4.8993901615623239E-2</v>
      </c>
    </row>
    <row r="9" spans="1:10" hidden="1" outlineLevel="1" x14ac:dyDescent="0.25">
      <c r="A9" s="5">
        <f>'AAPL and K'!A6</f>
        <v>43344</v>
      </c>
      <c r="B9" s="9">
        <f>'AAPL and K'!E6</f>
        <v>-4.8366106134015195E-3</v>
      </c>
      <c r="C9" s="9">
        <f>'AAPL and K'!F6</f>
        <v>-1.7128780322179672E-2</v>
      </c>
      <c r="D9" s="1">
        <f t="shared" si="0"/>
        <v>-1.0982695467790595E-2</v>
      </c>
    </row>
    <row r="10" spans="1:10" hidden="1" outlineLevel="1" x14ac:dyDescent="0.25">
      <c r="A10" s="5">
        <f>'AAPL and K'!A7</f>
        <v>43313</v>
      </c>
      <c r="B10" s="9">
        <f>'AAPL and K'!E7</f>
        <v>0.17917233187127421</v>
      </c>
      <c r="C10" s="9">
        <f>'AAPL and K'!F7</f>
        <v>1.0642976109089951E-2</v>
      </c>
      <c r="D10" s="1">
        <f t="shared" si="0"/>
        <v>9.4907653990182084E-2</v>
      </c>
    </row>
    <row r="11" spans="1:10" hidden="1" outlineLevel="1" x14ac:dyDescent="0.25">
      <c r="A11" s="5">
        <f>'AAPL and K'!A8</f>
        <v>43282</v>
      </c>
      <c r="B11" s="9">
        <f>'AAPL and K'!E8</f>
        <v>2.7598887839150311E-2</v>
      </c>
      <c r="C11" s="9">
        <f>'AAPL and K'!F8</f>
        <v>1.646583209338915E-2</v>
      </c>
      <c r="D11" s="1">
        <f t="shared" si="0"/>
        <v>2.2032359966269732E-2</v>
      </c>
    </row>
    <row r="12" spans="1:10" hidden="1" outlineLevel="1" x14ac:dyDescent="0.25">
      <c r="A12" s="5">
        <f>'AAPL and K'!A9</f>
        <v>43252</v>
      </c>
      <c r="B12" s="9">
        <f>'AAPL and K'!E9</f>
        <v>-5.6142405580539871E-3</v>
      </c>
      <c r="C12" s="9">
        <f>'AAPL and K'!F9</f>
        <v>8.9897280865844614E-2</v>
      </c>
      <c r="D12" s="1">
        <f t="shared" si="0"/>
        <v>4.2141520153895315E-2</v>
      </c>
    </row>
    <row r="13" spans="1:10" hidden="1" outlineLevel="1" x14ac:dyDescent="0.25">
      <c r="A13" s="5">
        <f>'AAPL and K'!A10</f>
        <v>43221</v>
      </c>
      <c r="B13" s="9">
        <f>'AAPL and K'!E10</f>
        <v>0.12289326386661924</v>
      </c>
      <c r="C13" s="9">
        <f>'AAPL and K'!F10</f>
        <v>8.9117209341012499E-2</v>
      </c>
      <c r="D13" s="1">
        <f t="shared" si="0"/>
        <v>0.10600523660381586</v>
      </c>
    </row>
    <row r="14" spans="1:10" hidden="1" outlineLevel="1" x14ac:dyDescent="0.25">
      <c r="A14" s="5">
        <f>'AAPL and K'!A11</f>
        <v>43191</v>
      </c>
      <c r="B14" s="9">
        <f>'AAPL and K'!E11</f>
        <v>-1.5133636467927848E-2</v>
      </c>
      <c r="C14" s="9">
        <f>'AAPL and K'!F11</f>
        <v>-9.0596719136717449E-2</v>
      </c>
      <c r="D14" s="1">
        <f t="shared" si="0"/>
        <v>-5.2865177802322652E-2</v>
      </c>
    </row>
    <row r="15" spans="1:10" hidden="1" outlineLevel="1" x14ac:dyDescent="0.25">
      <c r="A15" s="5">
        <f>'AAPL and K'!A12</f>
        <v>43160</v>
      </c>
      <c r="B15" s="9">
        <f>'AAPL and K'!E12</f>
        <v>-5.5735023670836853E-2</v>
      </c>
      <c r="C15" s="9">
        <f>'AAPL and K'!F12</f>
        <v>-1.8139248304434259E-2</v>
      </c>
      <c r="D15" s="1">
        <f t="shared" si="0"/>
        <v>-3.6937135987635553E-2</v>
      </c>
    </row>
    <row r="16" spans="1:10" hidden="1" outlineLevel="1" x14ac:dyDescent="0.25">
      <c r="A16" s="5">
        <f>'AAPL and K'!A13</f>
        <v>43132</v>
      </c>
      <c r="B16" s="9">
        <f>'AAPL and K'!E13</f>
        <v>6.1892137187384975E-2</v>
      </c>
      <c r="C16" s="9">
        <f>'AAPL and K'!F13</f>
        <v>-2.844367511200694E-2</v>
      </c>
      <c r="D16" s="1">
        <f t="shared" si="0"/>
        <v>1.6724231037689018E-2</v>
      </c>
    </row>
    <row r="17" spans="1:4" hidden="1" outlineLevel="1" x14ac:dyDescent="0.25">
      <c r="A17" s="5">
        <f>'AAPL and K'!A14</f>
        <v>43101</v>
      </c>
      <c r="B17" s="9">
        <f>'AAPL and K'!E14</f>
        <v>-1.0693511068397676E-2</v>
      </c>
      <c r="C17" s="9">
        <f>'AAPL and K'!F14</f>
        <v>1.9105097893157086E-3</v>
      </c>
      <c r="D17" s="1">
        <f t="shared" si="0"/>
        <v>-4.391500639540984E-3</v>
      </c>
    </row>
    <row r="18" spans="1:4" hidden="1" outlineLevel="1" x14ac:dyDescent="0.25">
      <c r="A18" s="5">
        <f>'AAPL and K'!A15</f>
        <v>43070</v>
      </c>
      <c r="B18" s="9">
        <f>'AAPL and K'!E15</f>
        <v>-1.1774756619693866E-2</v>
      </c>
      <c r="C18" s="9">
        <f>'AAPL and K'!F15</f>
        <v>4.8644400540017625E-2</v>
      </c>
      <c r="D18" s="1">
        <f t="shared" si="0"/>
        <v>1.8434821960161878E-2</v>
      </c>
    </row>
    <row r="19" spans="1:4" hidden="1" outlineLevel="1" x14ac:dyDescent="0.25">
      <c r="A19" s="5">
        <f>'AAPL and K'!A16</f>
        <v>43040</v>
      </c>
      <c r="B19" s="9">
        <f>'AAPL and K'!E16</f>
        <v>1.6486598492966249E-2</v>
      </c>
      <c r="C19" s="9">
        <f>'AAPL and K'!F16</f>
        <v>4.3039395618039149E-2</v>
      </c>
      <c r="D19" s="1">
        <f t="shared" si="0"/>
        <v>2.9762997055502699E-2</v>
      </c>
    </row>
    <row r="20" spans="1:4" hidden="1" outlineLevel="1" x14ac:dyDescent="0.25">
      <c r="A20" s="5">
        <f>'AAPL and K'!A17</f>
        <v>43009</v>
      </c>
      <c r="B20" s="9">
        <f>'AAPL and K'!E17</f>
        <v>9.2403994893137831E-2</v>
      </c>
      <c r="C20" s="9">
        <f>'AAPL and K'!F17</f>
        <v>2.5619986777041764E-3</v>
      </c>
      <c r="D20" s="1">
        <f t="shared" si="0"/>
        <v>4.7482996785421006E-2</v>
      </c>
    </row>
    <row r="21" spans="1:4" hidden="1" outlineLevel="1" x14ac:dyDescent="0.25">
      <c r="A21" s="5">
        <f>'AAPL and K'!A18</f>
        <v>42979</v>
      </c>
      <c r="B21" s="9">
        <f>'AAPL and K'!E18</f>
        <v>-5.8215744133111216E-2</v>
      </c>
      <c r="C21" s="9">
        <f>'AAPL and K'!F18</f>
        <v>-4.0176705273349524E-2</v>
      </c>
      <c r="D21" s="1">
        <f t="shared" si="0"/>
        <v>-4.9196224703230373E-2</v>
      </c>
    </row>
    <row r="22" spans="1:4" hidden="1" outlineLevel="1" x14ac:dyDescent="0.25">
      <c r="A22" s="5">
        <f>'AAPL and K'!A19</f>
        <v>42948</v>
      </c>
      <c r="B22" s="9">
        <f>'AAPL and K'!E19</f>
        <v>9.7734009206961375E-2</v>
      </c>
      <c r="C22" s="9">
        <f>'AAPL and K'!F19</f>
        <v>-3.8068472802024099E-2</v>
      </c>
      <c r="D22" s="1">
        <f t="shared" si="0"/>
        <v>2.9832768202468638E-2</v>
      </c>
    </row>
    <row r="23" spans="1:4" hidden="1" outlineLevel="1" x14ac:dyDescent="0.25">
      <c r="A23" s="5">
        <f>'AAPL and K'!A20</f>
        <v>42917</v>
      </c>
      <c r="B23" s="9">
        <f>'AAPL and K'!E20</f>
        <v>3.2180259892837251E-2</v>
      </c>
      <c r="C23" s="9">
        <f>'AAPL and K'!F20</f>
        <v>-2.124338932319263E-2</v>
      </c>
      <c r="D23" s="1">
        <f t="shared" si="0"/>
        <v>5.4684352848223105E-3</v>
      </c>
    </row>
    <row r="24" spans="1:4" hidden="1" outlineLevel="1" x14ac:dyDescent="0.25">
      <c r="A24" s="5">
        <f>'AAPL and K'!A21</f>
        <v>42887</v>
      </c>
      <c r="B24" s="9">
        <f>'AAPL and K'!E21</f>
        <v>-5.4796785860792403E-2</v>
      </c>
      <c r="C24" s="9">
        <f>'AAPL and K'!F21</f>
        <v>-2.3157594131138274E-2</v>
      </c>
      <c r="D24" s="1">
        <f t="shared" si="0"/>
        <v>-3.897718999596534E-2</v>
      </c>
    </row>
    <row r="25" spans="1:4" hidden="1" outlineLevel="1" x14ac:dyDescent="0.25">
      <c r="A25" s="5">
        <f>'AAPL and K'!A22</f>
        <v>42856</v>
      </c>
      <c r="B25" s="9">
        <f>'AAPL and K'!E22</f>
        <v>6.1488392155418861E-2</v>
      </c>
      <c r="C25" s="9">
        <f>'AAPL and K'!F22</f>
        <v>8.4151498773705272E-3</v>
      </c>
      <c r="D25" s="1">
        <f t="shared" si="0"/>
        <v>3.4951771016394698E-2</v>
      </c>
    </row>
    <row r="26" spans="1:4" hidden="1" outlineLevel="1" x14ac:dyDescent="0.25">
      <c r="A26" s="5">
        <f>'AAPL and K'!A23</f>
        <v>42826</v>
      </c>
      <c r="B26" s="9">
        <f>'AAPL and K'!E23</f>
        <v>-6.9779089266844212E-5</v>
      </c>
      <c r="C26" s="9">
        <f>'AAPL and K'!F23</f>
        <v>-2.2422634199798841E-2</v>
      </c>
      <c r="D26" s="1">
        <f t="shared" si="0"/>
        <v>-1.1246206644532842E-2</v>
      </c>
    </row>
    <row r="27" spans="1:4" hidden="1" outlineLevel="1" x14ac:dyDescent="0.25">
      <c r="A27" s="5">
        <f>'AAPL and K'!A24</f>
        <v>42795</v>
      </c>
      <c r="B27" s="9">
        <f>'AAPL and K'!E24</f>
        <v>5.186772067849077E-2</v>
      </c>
      <c r="C27" s="9">
        <f>'AAPL and K'!F24</f>
        <v>-1.2972030708049111E-2</v>
      </c>
      <c r="D27" s="1">
        <f t="shared" si="0"/>
        <v>1.9447844985220827E-2</v>
      </c>
    </row>
    <row r="28" spans="1:4" hidden="1" outlineLevel="1" x14ac:dyDescent="0.25">
      <c r="A28" s="5">
        <f>'AAPL and K'!A25</f>
        <v>42767</v>
      </c>
      <c r="B28" s="9">
        <f>'AAPL and K'!E25</f>
        <v>0.12122896059991176</v>
      </c>
      <c r="C28" s="9">
        <f>'AAPL and K'!F25</f>
        <v>1.8531722154569764E-2</v>
      </c>
      <c r="D28" s="1">
        <f t="shared" si="0"/>
        <v>6.9880341377240765E-2</v>
      </c>
    </row>
    <row r="29" spans="1:4" hidden="1" outlineLevel="1" x14ac:dyDescent="0.25">
      <c r="A29" s="5">
        <f>'AAPL and K'!A26</f>
        <v>42736</v>
      </c>
      <c r="B29" s="9">
        <f>'AAPL and K'!E26</f>
        <v>4.6641729923096294E-2</v>
      </c>
      <c r="C29" s="9">
        <f>'AAPL and K'!F26</f>
        <v>-1.3659367215252205E-2</v>
      </c>
      <c r="D29" s="1">
        <f t="shared" si="0"/>
        <v>1.6491181353922045E-2</v>
      </c>
    </row>
    <row r="30" spans="1:4" hidden="1" outlineLevel="1" x14ac:dyDescent="0.25">
      <c r="A30" s="5">
        <f>'AAPL and K'!A27</f>
        <v>42705</v>
      </c>
      <c r="B30" s="9">
        <f>'AAPL and K'!E27</f>
        <v>5.1961893797766889E-2</v>
      </c>
      <c r="C30" s="9">
        <f>'AAPL and K'!F27</f>
        <v>3.0534592450257136E-2</v>
      </c>
      <c r="D30" s="1">
        <f t="shared" si="0"/>
        <v>4.1248243124012013E-2</v>
      </c>
    </row>
    <row r="31" spans="1:4" hidden="1" outlineLevel="1" x14ac:dyDescent="0.25">
      <c r="A31" s="5">
        <f>'AAPL and K'!A28</f>
        <v>42675</v>
      </c>
      <c r="B31" s="9">
        <f>'AAPL and K'!E28</f>
        <v>-2.6958815702871286E-2</v>
      </c>
      <c r="C31" s="9">
        <f>'AAPL and K'!F28</f>
        <v>-4.2553949775697097E-2</v>
      </c>
      <c r="D31" s="1">
        <f t="shared" si="0"/>
        <v>-3.4756382739284192E-2</v>
      </c>
    </row>
    <row r="32" spans="1:4" hidden="1" outlineLevel="1" x14ac:dyDescent="0.25">
      <c r="A32" s="5">
        <f>'AAPL and K'!A29</f>
        <v>42644</v>
      </c>
      <c r="B32" s="9">
        <f>'AAPL and K'!E29</f>
        <v>4.3249837686929271E-3</v>
      </c>
      <c r="C32" s="9">
        <f>'AAPL and K'!F29</f>
        <v>-3.0670877482395959E-2</v>
      </c>
      <c r="D32" s="1">
        <f t="shared" si="0"/>
        <v>-1.3172946856851516E-2</v>
      </c>
    </row>
    <row r="33" spans="1:4" hidden="1" outlineLevel="1" x14ac:dyDescent="0.25">
      <c r="A33" s="5">
        <f>'AAPL and K'!A30</f>
        <v>42614</v>
      </c>
      <c r="B33" s="9">
        <f>'AAPL and K'!E30</f>
        <v>6.8850853926348474E-2</v>
      </c>
      <c r="C33" s="9">
        <f>'AAPL and K'!F30</f>
        <v>-5.3109529125624423E-2</v>
      </c>
      <c r="D33" s="1">
        <f t="shared" si="0"/>
        <v>7.8706624003620253E-3</v>
      </c>
    </row>
    <row r="34" spans="1:4" hidden="1" outlineLevel="1" x14ac:dyDescent="0.25">
      <c r="A34" s="5">
        <f>'AAPL and K'!A31</f>
        <v>42583</v>
      </c>
      <c r="B34" s="9">
        <f>'AAPL and K'!E31</f>
        <v>1.7973893476060612E-2</v>
      </c>
      <c r="C34" s="9">
        <f>'AAPL and K'!F31</f>
        <v>-6.0637724807484673E-3</v>
      </c>
      <c r="D34" s="1">
        <f t="shared" si="0"/>
        <v>5.9550604976560725E-3</v>
      </c>
    </row>
    <row r="35" spans="1:4" hidden="1" outlineLevel="1" x14ac:dyDescent="0.25">
      <c r="A35" s="5">
        <f>'AAPL and K'!A32</f>
        <v>42552</v>
      </c>
      <c r="B35" s="9">
        <f>'AAPL and K'!E32</f>
        <v>8.6235254938462166E-2</v>
      </c>
      <c r="C35" s="9">
        <f>'AAPL and K'!F32</f>
        <v>1.2898796747206988E-2</v>
      </c>
      <c r="D35" s="1">
        <f t="shared" si="0"/>
        <v>4.9567025842834581E-2</v>
      </c>
    </row>
    <row r="36" spans="1:4" hidden="1" outlineLevel="1" x14ac:dyDescent="0.25">
      <c r="A36" s="5">
        <f>'AAPL and K'!A33</f>
        <v>42522</v>
      </c>
      <c r="B36" s="9">
        <f>'AAPL and K'!E33</f>
        <v>-3.7526417648364709E-2</v>
      </c>
      <c r="C36" s="9">
        <f>'AAPL and K'!F33</f>
        <v>0.10004862617064693</v>
      </c>
      <c r="D36" s="1">
        <f t="shared" si="0"/>
        <v>3.1261104261141107E-2</v>
      </c>
    </row>
    <row r="37" spans="1:4" hidden="1" outlineLevel="1" x14ac:dyDescent="0.25">
      <c r="A37" s="5">
        <f>'AAPL and K'!A34</f>
        <v>42491</v>
      </c>
      <c r="B37" s="9">
        <f>'AAPL and K'!E34</f>
        <v>6.3244347576697169E-2</v>
      </c>
      <c r="C37" s="9">
        <f>'AAPL and K'!F34</f>
        <v>-3.228212308558543E-2</v>
      </c>
      <c r="D37" s="1">
        <f t="shared" si="0"/>
        <v>1.5481112245555869E-2</v>
      </c>
    </row>
    <row r="38" spans="1:4" hidden="1" outlineLevel="1" x14ac:dyDescent="0.25">
      <c r="A38" s="5">
        <f>'AAPL and K'!A35</f>
        <v>42461</v>
      </c>
      <c r="B38" s="9">
        <f>'AAPL and K'!E35</f>
        <v>-0.15073127149063728</v>
      </c>
      <c r="C38" s="9">
        <f>'AAPL and K'!F35</f>
        <v>3.39062910569403E-3</v>
      </c>
      <c r="D38" s="1">
        <f t="shared" si="0"/>
        <v>-7.3670321192471619E-2</v>
      </c>
    </row>
    <row r="39" spans="1:4" hidden="1" outlineLevel="1" x14ac:dyDescent="0.25">
      <c r="A39" s="5">
        <f>'AAPL and K'!A36</f>
        <v>42430</v>
      </c>
      <c r="B39" s="9">
        <f>'AAPL and K'!E36</f>
        <v>0.12515770247534916</v>
      </c>
      <c r="C39" s="9">
        <f>'AAPL and K'!F36</f>
        <v>4.0305900937300021E-2</v>
      </c>
      <c r="D39" s="1">
        <f t="shared" si="0"/>
        <v>8.273180170632459E-2</v>
      </c>
    </row>
    <row r="40" spans="1:4" hidden="1" outlineLevel="1" x14ac:dyDescent="0.25">
      <c r="A40" s="5">
        <f>'AAPL and K'!A37</f>
        <v>42401</v>
      </c>
      <c r="B40" s="9">
        <f>'AAPL and K'!E37</f>
        <v>-6.6999269060085574E-3</v>
      </c>
      <c r="C40" s="9">
        <f>'AAPL and K'!F37</f>
        <v>7.8664799627023961E-3</v>
      </c>
      <c r="D40" s="1">
        <f t="shared" si="0"/>
        <v>5.8327652834691936E-4</v>
      </c>
    </row>
    <row r="41" spans="1:4" hidden="1" outlineLevel="1" x14ac:dyDescent="0.25">
      <c r="A41" s="5">
        <f>'AAPL and K'!A38</f>
        <v>42370</v>
      </c>
      <c r="B41" s="9">
        <f>'AAPL and K'!E38</f>
        <v>-7.8223471566607181E-2</v>
      </c>
      <c r="C41" s="9">
        <f>'AAPL and K'!F38</f>
        <v>1.6059912097553433E-2</v>
      </c>
      <c r="D41" s="1">
        <f t="shared" si="0"/>
        <v>-3.1081779734526874E-2</v>
      </c>
    </row>
    <row r="42" spans="1:4" hidden="1" outlineLevel="1" x14ac:dyDescent="0.25">
      <c r="A42" s="5">
        <f>'AAPL and K'!A39</f>
        <v>42339</v>
      </c>
      <c r="B42" s="9">
        <f>'AAPL and K'!E39</f>
        <v>-0.11251880068259988</v>
      </c>
      <c r="C42" s="9">
        <f>'AAPL and K'!F39</f>
        <v>5.6895312000143583E-2</v>
      </c>
      <c r="D42" s="1">
        <f t="shared" si="0"/>
        <v>-2.7811744341228149E-2</v>
      </c>
    </row>
    <row r="43" spans="1:4" hidden="1" outlineLevel="1" x14ac:dyDescent="0.25">
      <c r="A43" s="5">
        <f>'AAPL and K'!A40</f>
        <v>42309</v>
      </c>
      <c r="B43" s="9">
        <f>'AAPL and K'!E40</f>
        <v>-1.0092751987705661E-2</v>
      </c>
      <c r="C43" s="9">
        <f>'AAPL and K'!F40</f>
        <v>-2.5128821564664408E-2</v>
      </c>
      <c r="D43" s="1">
        <f t="shared" si="0"/>
        <v>-1.7610786776185036E-2</v>
      </c>
    </row>
    <row r="44" spans="1:4" hidden="1" outlineLevel="1" x14ac:dyDescent="0.25">
      <c r="A44" s="5">
        <f>'AAPL and K'!A41</f>
        <v>42278</v>
      </c>
      <c r="B44" s="9">
        <f>'AAPL and K'!E41</f>
        <v>8.0112422362387081E-2</v>
      </c>
      <c r="C44" s="9">
        <f>'AAPL and K'!F41</f>
        <v>5.7942558993461672E-2</v>
      </c>
      <c r="D44" s="1">
        <f t="shared" si="0"/>
        <v>6.902749067792438E-2</v>
      </c>
    </row>
    <row r="45" spans="1:4" hidden="1" outlineLevel="1" x14ac:dyDescent="0.25">
      <c r="A45" s="5">
        <f>'AAPL and K'!A42</f>
        <v>42248</v>
      </c>
      <c r="B45" s="9">
        <f>'AAPL and K'!E42</f>
        <v>-1.8959506852724829E-2</v>
      </c>
      <c r="C45" s="9">
        <f>'AAPL and K'!F42</f>
        <v>1.1516169301347825E-2</v>
      </c>
      <c r="D45" s="1">
        <f t="shared" si="0"/>
        <v>-3.7216687756885022E-3</v>
      </c>
    </row>
    <row r="46" spans="1:4" hidden="1" outlineLevel="1" x14ac:dyDescent="0.25">
      <c r="A46" s="5">
        <f>'AAPL and K'!A43</f>
        <v>42217</v>
      </c>
      <c r="B46" s="9">
        <f>'AAPL and K'!E43</f>
        <v>-7.1587104068490684E-2</v>
      </c>
      <c r="C46" s="9">
        <f>'AAPL and K'!F43</f>
        <v>1.6608028265237701E-3</v>
      </c>
      <c r="D46" s="1">
        <f t="shared" si="0"/>
        <v>-3.4963150620983457E-2</v>
      </c>
    </row>
    <row r="47" spans="1:4" hidden="1" outlineLevel="1" x14ac:dyDescent="0.25">
      <c r="A47" s="5">
        <f>'AAPL and K'!A44</f>
        <v>42186</v>
      </c>
      <c r="B47" s="9">
        <f>'AAPL and K'!E44</f>
        <v>-3.348093898422045E-2</v>
      </c>
      <c r="C47" s="9">
        <f>'AAPL and K'!F44</f>
        <v>5.3865707695234903E-2</v>
      </c>
      <c r="D47" s="1">
        <f t="shared" si="0"/>
        <v>1.0192384355507227E-2</v>
      </c>
    </row>
    <row r="48" spans="1:4" hidden="1" outlineLevel="1" x14ac:dyDescent="0.25">
      <c r="A48" s="5">
        <f>'AAPL and K'!A45</f>
        <v>42156</v>
      </c>
      <c r="B48" s="9">
        <f>'AAPL and K'!E45</f>
        <v>-3.3769804060179459E-2</v>
      </c>
      <c r="C48" s="9">
        <f>'AAPL and K'!F45</f>
        <v>6.6626039142650478E-3</v>
      </c>
      <c r="D48" s="1">
        <f t="shared" si="0"/>
        <v>-1.3553600072957205E-2</v>
      </c>
    </row>
    <row r="49" spans="1:4" hidden="1" outlineLevel="1" x14ac:dyDescent="0.25">
      <c r="A49" s="5">
        <f>'AAPL and K'!A46</f>
        <v>42125</v>
      </c>
      <c r="B49" s="9">
        <f>'AAPL and K'!E46</f>
        <v>4.0172822193584826E-2</v>
      </c>
      <c r="C49" s="9">
        <f>'AAPL and K'!F46</f>
        <v>-8.8818126508505551E-3</v>
      </c>
      <c r="D49" s="1">
        <f t="shared" si="0"/>
        <v>1.5645504771367134E-2</v>
      </c>
    </row>
    <row r="50" spans="1:4" hidden="1" outlineLevel="1" x14ac:dyDescent="0.25">
      <c r="A50" s="5">
        <f>'AAPL and K'!A47</f>
        <v>42095</v>
      </c>
      <c r="B50" s="9">
        <f>'AAPL and K'!E47</f>
        <v>5.769885673670077E-3</v>
      </c>
      <c r="C50" s="9">
        <f>'AAPL and K'!F47</f>
        <v>-3.2942430486370675E-2</v>
      </c>
      <c r="D50" s="1">
        <f t="shared" si="0"/>
        <v>-1.3586272406350299E-2</v>
      </c>
    </row>
    <row r="51" spans="1:4" hidden="1" outlineLevel="1" x14ac:dyDescent="0.25">
      <c r="A51" s="5">
        <f>'AAPL and K'!A48</f>
        <v>42064</v>
      </c>
      <c r="B51" s="9">
        <f>'AAPL and K'!E48</f>
        <v>-2.7935606365857572E-2</v>
      </c>
      <c r="C51" s="9">
        <f>'AAPL and K'!F48</f>
        <v>2.2541764870257896E-2</v>
      </c>
      <c r="D51" s="1">
        <f t="shared" si="0"/>
        <v>-2.6969207477998379E-3</v>
      </c>
    </row>
    <row r="52" spans="1:4" hidden="1" outlineLevel="1" x14ac:dyDescent="0.25">
      <c r="A52" s="5">
        <f>'AAPL and K'!A49</f>
        <v>42036</v>
      </c>
      <c r="B52" s="9">
        <f>'AAPL and K'!E49</f>
        <v>9.2077105043209415E-2</v>
      </c>
      <c r="C52" s="9">
        <f>'AAPL and K'!F49</f>
        <v>-1.6915811747022877E-2</v>
      </c>
      <c r="D52" s="1">
        <f t="shared" si="0"/>
        <v>3.7580646648093269E-2</v>
      </c>
    </row>
    <row r="53" spans="1:4" hidden="1" outlineLevel="1" x14ac:dyDescent="0.25">
      <c r="A53" s="5">
        <f>'AAPL and K'!A50</f>
        <v>42005</v>
      </c>
      <c r="B53" s="9">
        <f>'AAPL and K'!E50</f>
        <v>5.9611590767431326E-2</v>
      </c>
      <c r="C53" s="9">
        <f>'AAPL and K'!F50</f>
        <v>2.1369778230634936E-3</v>
      </c>
      <c r="D53" s="1">
        <f t="shared" si="0"/>
        <v>3.0874284295247408E-2</v>
      </c>
    </row>
    <row r="54" spans="1:4" hidden="1" outlineLevel="1" x14ac:dyDescent="0.25">
      <c r="A54" s="5">
        <f>'AAPL and K'!A51</f>
        <v>41974</v>
      </c>
      <c r="B54" s="9">
        <f>'AAPL and K'!E51</f>
        <v>-7.0279312581139133E-2</v>
      </c>
      <c r="C54" s="9">
        <f>'AAPL and K'!F51</f>
        <v>-4.7511008252483283E-3</v>
      </c>
      <c r="D54" s="1">
        <f t="shared" si="0"/>
        <v>-3.7515206703193728E-2</v>
      </c>
    </row>
    <row r="55" spans="1:4" hidden="1" outlineLevel="1" x14ac:dyDescent="0.25">
      <c r="A55" s="5">
        <f>'AAPL and K'!A52</f>
        <v>41944</v>
      </c>
      <c r="B55" s="9">
        <f>'AAPL and K'!E52</f>
        <v>9.640398815914436E-2</v>
      </c>
      <c r="C55" s="9">
        <f>'AAPL and K'!F52</f>
        <v>3.5177810436369653E-2</v>
      </c>
      <c r="D55" s="1">
        <f t="shared" si="0"/>
        <v>6.5790899297757E-2</v>
      </c>
    </row>
    <row r="56" spans="1:4" hidden="1" outlineLevel="1" x14ac:dyDescent="0.25">
      <c r="A56" s="5">
        <f>'AAPL and K'!A53</f>
        <v>41913</v>
      </c>
      <c r="B56" s="9">
        <f>'AAPL and K'!E53</f>
        <v>6.9489005002121809E-2</v>
      </c>
      <c r="C56" s="9">
        <f>'AAPL and K'!F53</f>
        <v>3.7595884789121473E-2</v>
      </c>
      <c r="D56" s="1">
        <f t="shared" si="0"/>
        <v>5.3542444895621641E-2</v>
      </c>
    </row>
    <row r="57" spans="1:4" hidden="1" outlineLevel="1" x14ac:dyDescent="0.25">
      <c r="A57" s="5">
        <f>'AAPL and K'!A54</f>
        <v>41883</v>
      </c>
      <c r="B57" s="9">
        <f>'AAPL and K'!E54</f>
        <v>-1.2258742758189969E-2</v>
      </c>
      <c r="C57" s="9">
        <f>'AAPL and K'!F54</f>
        <v>-4.5729328184746572E-2</v>
      </c>
      <c r="D57" s="1">
        <f t="shared" si="0"/>
        <v>-2.8994035471468269E-2</v>
      </c>
    </row>
    <row r="58" spans="1:4" hidden="1" outlineLevel="1" x14ac:dyDescent="0.25">
      <c r="A58" s="5">
        <f>'AAPL and K'!A55</f>
        <v>41852</v>
      </c>
      <c r="B58" s="9">
        <f>'AAPL and K'!E55</f>
        <v>6.9689915730000301E-2</v>
      </c>
      <c r="C58" s="9">
        <f>'AAPL and K'!F55</f>
        <v>8.241863193198376E-2</v>
      </c>
      <c r="D58" s="1">
        <f t="shared" si="0"/>
        <v>7.6054273830992031E-2</v>
      </c>
    </row>
    <row r="59" spans="1:4" hidden="1" outlineLevel="1" x14ac:dyDescent="0.25">
      <c r="A59" s="5">
        <f>'AAPL and K'!A56</f>
        <v>41821</v>
      </c>
      <c r="B59" s="9">
        <f>'AAPL and K'!E56</f>
        <v>2.8326287757557078E-2</v>
      </c>
      <c r="C59" s="9">
        <f>'AAPL and K'!F56</f>
        <v>-9.3591907020372775E-2</v>
      </c>
      <c r="D59" s="1">
        <f t="shared" si="0"/>
        <v>-3.2632809631407848E-2</v>
      </c>
    </row>
    <row r="60" spans="1:4" hidden="1" outlineLevel="1" x14ac:dyDescent="0.25">
      <c r="A60" s="5">
        <f>'AAPL and K'!A57</f>
        <v>41791</v>
      </c>
      <c r="B60" s="9">
        <f>'AAPL and K'!E57</f>
        <v>6.6942249910657281E-2</v>
      </c>
      <c r="C60" s="9">
        <f>'AAPL and K'!F57</f>
        <v>-4.1932136438268985E-2</v>
      </c>
      <c r="D60" s="1">
        <f t="shared" si="0"/>
        <v>1.2505056736194148E-2</v>
      </c>
    </row>
    <row r="61" spans="1:4" hidden="1" outlineLevel="1" x14ac:dyDescent="0.25">
      <c r="A61" s="5">
        <f>'AAPL and K'!A58</f>
        <v>41760</v>
      </c>
      <c r="B61" s="9">
        <f>'AAPL and K'!E58</f>
        <v>7.0195609177416365E-2</v>
      </c>
      <c r="C61" s="9">
        <f>'AAPL and K'!F58</f>
        <v>3.1664750172367459E-2</v>
      </c>
      <c r="D61" s="1">
        <f t="shared" si="0"/>
        <v>5.0930179674891912E-2</v>
      </c>
    </row>
    <row r="62" spans="1:4" hidden="1" outlineLevel="1" x14ac:dyDescent="0.25">
      <c r="A62" s="5">
        <f>'AAPL and K'!A59</f>
        <v>41730</v>
      </c>
      <c r="B62" s="9">
        <f>'AAPL and K'!E59</f>
        <v>9.4761408163302557E-2</v>
      </c>
      <c r="C62" s="9">
        <f>'AAPL and K'!F59</f>
        <v>7.1241974157682339E-2</v>
      </c>
      <c r="D62" s="1">
        <f t="shared" si="0"/>
        <v>8.3001691160492441E-2</v>
      </c>
    </row>
    <row r="63" spans="1:4" hidden="1" outlineLevel="1" x14ac:dyDescent="0.25">
      <c r="A63" s="5">
        <f>'AAPL and K'!A60</f>
        <v>41699</v>
      </c>
      <c r="B63" s="9">
        <f>'AAPL and K'!E60</f>
        <v>6.2299784568121873E-2</v>
      </c>
      <c r="C63" s="9">
        <f>'AAPL and K'!F60</f>
        <v>3.2741924695456226E-2</v>
      </c>
      <c r="D63" s="1">
        <f t="shared" si="0"/>
        <v>4.7520854631789053E-2</v>
      </c>
    </row>
    <row r="64" spans="1:4" hidden="1" outlineLevel="1" x14ac:dyDescent="0.25">
      <c r="A64" s="5">
        <f>'AAPL and K'!A61</f>
        <v>41671</v>
      </c>
      <c r="B64" s="9">
        <f>'AAPL and K'!E61</f>
        <v>4.9950146236972089E-2</v>
      </c>
      <c r="C64" s="9">
        <f>'AAPL and K'!F61</f>
        <v>4.5681031959037381E-2</v>
      </c>
      <c r="D64" s="1">
        <f t="shared" si="0"/>
        <v>4.7815589098004735E-2</v>
      </c>
    </row>
    <row r="65" spans="1:4" hidden="1" outlineLevel="1" x14ac:dyDescent="0.25">
      <c r="A65" s="5">
        <f>'AAPL and K'!A62</f>
        <v>41640</v>
      </c>
      <c r="B65" s="9">
        <f>'AAPL and K'!E62</f>
        <v>-0.11394935387957596</v>
      </c>
      <c r="C65" s="9">
        <f>'AAPL and K'!F62</f>
        <v>-5.1922852667961435E-2</v>
      </c>
      <c r="D65" s="1">
        <f t="shared" si="0"/>
        <v>-8.2936103273768699E-2</v>
      </c>
    </row>
    <row r="66" spans="1:4" hidden="1" outlineLevel="1" x14ac:dyDescent="0.25">
      <c r="A66" s="5">
        <f>'AAPL and K'!A63</f>
        <v>41609</v>
      </c>
      <c r="B66" s="9">
        <f>'AAPL and K'!E63</f>
        <v>5.03427966552496E-2</v>
      </c>
      <c r="C66" s="9">
        <f>'AAPL and K'!F63</f>
        <v>1.454589436375049E-2</v>
      </c>
      <c r="D66" s="1">
        <f t="shared" ref="D66:D124" si="1">$B$2*B66+$B$3*C66</f>
        <v>3.2444345509500046E-2</v>
      </c>
    </row>
    <row r="67" spans="1:4" hidden="1" outlineLevel="1" x14ac:dyDescent="0.25">
      <c r="A67" s="5">
        <f>'AAPL and K'!A64</f>
        <v>41579</v>
      </c>
      <c r="B67" s="9">
        <f>'AAPL and K'!E64</f>
        <v>6.1886721555747294E-2</v>
      </c>
      <c r="C67" s="9">
        <f>'AAPL and K'!F64</f>
        <v>-4.2140314756534507E-2</v>
      </c>
      <c r="D67" s="1">
        <f t="shared" si="1"/>
        <v>9.8732033996063936E-3</v>
      </c>
    </row>
    <row r="68" spans="1:4" hidden="1" outlineLevel="1" x14ac:dyDescent="0.25">
      <c r="A68" s="5">
        <f>'AAPL and K'!A65</f>
        <v>41548</v>
      </c>
      <c r="B68" s="9">
        <f>'AAPL and K'!E65</f>
        <v>9.2015184988865406E-2</v>
      </c>
      <c r="C68" s="9">
        <f>'AAPL and K'!F65</f>
        <v>7.4144329652407942E-2</v>
      </c>
      <c r="D68" s="1">
        <f t="shared" si="1"/>
        <v>8.3079757320636674E-2</v>
      </c>
    </row>
    <row r="69" spans="1:4" hidden="1" outlineLevel="1" x14ac:dyDescent="0.25">
      <c r="A69" s="5">
        <f>'AAPL and K'!A66</f>
        <v>41518</v>
      </c>
      <c r="B69" s="9">
        <f>'AAPL and K'!E66</f>
        <v>2.528008176933963E-2</v>
      </c>
      <c r="C69" s="9">
        <f>'AAPL and K'!F66</f>
        <v>-2.5598030418524428E-2</v>
      </c>
      <c r="D69" s="1">
        <f t="shared" si="1"/>
        <v>-1.5897432459239906E-4</v>
      </c>
    </row>
    <row r="70" spans="1:4" hidden="1" outlineLevel="1" x14ac:dyDescent="0.25">
      <c r="A70" s="5">
        <f>'AAPL and K'!A67</f>
        <v>41487</v>
      </c>
      <c r="B70" s="9">
        <f>'AAPL and K'!E67</f>
        <v>7.3861726107924061E-2</v>
      </c>
      <c r="C70" s="9">
        <f>'AAPL and K'!F67</f>
        <v>-8.7176190915463553E-2</v>
      </c>
      <c r="D70" s="1">
        <f t="shared" si="1"/>
        <v>-6.6572324037697458E-3</v>
      </c>
    </row>
    <row r="71" spans="1:4" hidden="1" outlineLevel="1" x14ac:dyDescent="0.25">
      <c r="A71" s="5">
        <f>'AAPL and K'!A68</f>
        <v>41456</v>
      </c>
      <c r="B71" s="9">
        <f>'AAPL and K'!E68</f>
        <v>0.13210205184677712</v>
      </c>
      <c r="C71" s="9">
        <f>'AAPL and K'!F68</f>
        <v>3.0814137045351003E-2</v>
      </c>
      <c r="D71" s="1">
        <f t="shared" si="1"/>
        <v>8.1458094446064055E-2</v>
      </c>
    </row>
    <row r="72" spans="1:4" hidden="1" outlineLevel="1" x14ac:dyDescent="0.25">
      <c r="A72" s="5">
        <f>'AAPL and K'!A69</f>
        <v>41426</v>
      </c>
      <c r="B72" s="9">
        <f>'AAPL and K'!E69</f>
        <v>-7.877377903156231E-2</v>
      </c>
      <c r="C72" s="9">
        <f>'AAPL and K'!F69</f>
        <v>4.147113237600298E-2</v>
      </c>
      <c r="D72" s="1">
        <f t="shared" si="1"/>
        <v>-1.8651323327779665E-2</v>
      </c>
    </row>
    <row r="73" spans="1:4" hidden="1" outlineLevel="1" x14ac:dyDescent="0.25">
      <c r="A73" s="5">
        <f>'AAPL and K'!A70</f>
        <v>41395</v>
      </c>
      <c r="B73" s="9">
        <f>'AAPL and K'!E70</f>
        <v>1.5574579732374539E-2</v>
      </c>
      <c r="C73" s="9">
        <f>'AAPL and K'!F70</f>
        <v>-4.7061905590419478E-2</v>
      </c>
      <c r="D73" s="1">
        <f t="shared" si="1"/>
        <v>-1.5743662929022469E-2</v>
      </c>
    </row>
    <row r="74" spans="1:4" hidden="1" outlineLevel="1" x14ac:dyDescent="0.25">
      <c r="A74" s="5">
        <f>'AAPL and K'!A71</f>
        <v>41365</v>
      </c>
      <c r="B74" s="9">
        <f>'AAPL and K'!E71</f>
        <v>2.7093593488165661E-4</v>
      </c>
      <c r="C74" s="9">
        <f>'AAPL and K'!F71</f>
        <v>9.4230338982560311E-3</v>
      </c>
      <c r="D74" s="1">
        <f t="shared" si="1"/>
        <v>4.8469849165688438E-3</v>
      </c>
    </row>
    <row r="75" spans="1:4" hidden="1" outlineLevel="1" x14ac:dyDescent="0.25">
      <c r="A75" s="5">
        <f>'AAPL and K'!A72</f>
        <v>41334</v>
      </c>
      <c r="B75" s="9">
        <f>'AAPL and K'!E72</f>
        <v>4.425549471421529E-2</v>
      </c>
      <c r="C75" s="9">
        <f>'AAPL and K'!F72</f>
        <v>7.0236559325180206E-2</v>
      </c>
      <c r="D75" s="1">
        <f t="shared" si="1"/>
        <v>5.7246027019697748E-2</v>
      </c>
    </row>
    <row r="76" spans="1:4" hidden="1" outlineLevel="1" x14ac:dyDescent="0.25">
      <c r="A76" s="5">
        <f>'AAPL and K'!A73</f>
        <v>41306</v>
      </c>
      <c r="B76" s="9">
        <f>'AAPL and K'!E73</f>
        <v>-3.14221629752853E-2</v>
      </c>
      <c r="C76" s="9">
        <f>'AAPL and K'!F73</f>
        <v>3.3616583495417483E-2</v>
      </c>
      <c r="D76" s="1">
        <f t="shared" si="1"/>
        <v>1.0972102600660914E-3</v>
      </c>
    </row>
    <row r="77" spans="1:4" hidden="1" outlineLevel="1" x14ac:dyDescent="0.25">
      <c r="A77" s="5">
        <f>'AAPL and K'!A74</f>
        <v>41275</v>
      </c>
      <c r="B77" s="9">
        <f>'AAPL and K'!E74</f>
        <v>-0.15558907021766993</v>
      </c>
      <c r="C77" s="9">
        <f>'AAPL and K'!F74</f>
        <v>4.635711167231342E-2</v>
      </c>
      <c r="D77" s="1">
        <f t="shared" si="1"/>
        <v>-5.4615979272678257E-2</v>
      </c>
    </row>
    <row r="78" spans="1:4" hidden="1" outlineLevel="1" x14ac:dyDescent="0.25">
      <c r="A78" s="5">
        <f>'AAPL and K'!A75</f>
        <v>41244</v>
      </c>
      <c r="B78" s="9">
        <f>'AAPL and K'!E75</f>
        <v>-6.278341324704087E-2</v>
      </c>
      <c r="C78" s="9">
        <f>'AAPL and K'!F75</f>
        <v>1.4927001401711633E-2</v>
      </c>
      <c r="D78" s="1">
        <f t="shared" si="1"/>
        <v>-2.3928205922664619E-2</v>
      </c>
    </row>
    <row r="79" spans="1:4" hidden="1" outlineLevel="1" x14ac:dyDescent="0.25">
      <c r="A79" s="5">
        <f>'AAPL and K'!A76</f>
        <v>41214</v>
      </c>
      <c r="B79" s="9">
        <f>'AAPL and K'!E76</f>
        <v>-1.7009228134492078E-2</v>
      </c>
      <c r="C79" s="9">
        <f>'AAPL and K'!F76</f>
        <v>5.8283357022854705E-2</v>
      </c>
      <c r="D79" s="1">
        <f t="shared" si="1"/>
        <v>2.0637064444181313E-2</v>
      </c>
    </row>
    <row r="80" spans="1:4" hidden="1" outlineLevel="1" x14ac:dyDescent="0.25">
      <c r="A80" s="5">
        <f>'AAPL and K'!A77</f>
        <v>41183</v>
      </c>
      <c r="B80" s="9">
        <f>'AAPL and K'!E77</f>
        <v>-0.11384054355176348</v>
      </c>
      <c r="C80" s="9">
        <f>'AAPL and K'!F77</f>
        <v>1.2694903426794076E-2</v>
      </c>
      <c r="D80" s="1">
        <f t="shared" si="1"/>
        <v>-5.0572820062484702E-2</v>
      </c>
    </row>
    <row r="81" spans="1:4" hidden="1" outlineLevel="1" x14ac:dyDescent="0.25">
      <c r="A81" s="5">
        <f>'AAPL and K'!A78</f>
        <v>41153</v>
      </c>
      <c r="B81" s="9">
        <f>'AAPL and K'!E78</f>
        <v>3.3175234820611556E-2</v>
      </c>
      <c r="C81" s="9">
        <f>'AAPL and K'!F78</f>
        <v>2.833847675805343E-2</v>
      </c>
      <c r="D81" s="1">
        <f t="shared" si="1"/>
        <v>3.0756855789332495E-2</v>
      </c>
    </row>
    <row r="82" spans="1:4" hidden="1" outlineLevel="1" x14ac:dyDescent="0.25">
      <c r="A82" s="5">
        <f>'AAPL and K'!A79</f>
        <v>41122</v>
      </c>
      <c r="B82" s="9">
        <f>'AAPL and K'!E79</f>
        <v>8.5443927510820875E-2</v>
      </c>
      <c r="C82" s="9">
        <f>'AAPL and K'!F79</f>
        <v>6.0007829877709876E-2</v>
      </c>
      <c r="D82" s="1">
        <f t="shared" si="1"/>
        <v>7.2725878694265375E-2</v>
      </c>
    </row>
    <row r="83" spans="1:4" hidden="1" outlineLevel="1" x14ac:dyDescent="0.25">
      <c r="A83" s="5">
        <f>'AAPL and K'!A80</f>
        <v>41091</v>
      </c>
      <c r="B83" s="9">
        <f>'AAPL and K'!E80</f>
        <v>4.4803079652886366E-2</v>
      </c>
      <c r="C83" s="9">
        <f>'AAPL and K'!F80</f>
        <v>-3.3601340670216528E-2</v>
      </c>
      <c r="D83" s="1">
        <f t="shared" si="1"/>
        <v>5.6008694913349186E-3</v>
      </c>
    </row>
    <row r="84" spans="1:4" hidden="1" outlineLevel="1" x14ac:dyDescent="0.25">
      <c r="A84" s="5">
        <f>'AAPL and K'!A81</f>
        <v>41061</v>
      </c>
      <c r="B84" s="9">
        <f>'AAPL and K'!E81</f>
        <v>1.0794044610391084E-2</v>
      </c>
      <c r="C84" s="9">
        <f>'AAPL and K'!F81</f>
        <v>1.9766929913424238E-2</v>
      </c>
      <c r="D84" s="1">
        <f t="shared" si="1"/>
        <v>1.5280487261907661E-2</v>
      </c>
    </row>
    <row r="85" spans="1:4" hidden="1" outlineLevel="1" x14ac:dyDescent="0.25">
      <c r="A85" s="5">
        <f>'AAPL and K'!A82</f>
        <v>41030</v>
      </c>
      <c r="B85" s="9">
        <f>'AAPL and K'!E82</f>
        <v>-1.0760105764054529E-2</v>
      </c>
      <c r="C85" s="9">
        <f>'AAPL and K'!F82</f>
        <v>-3.603809909189918E-2</v>
      </c>
      <c r="D85" s="1">
        <f t="shared" si="1"/>
        <v>-2.3399102427976853E-2</v>
      </c>
    </row>
    <row r="86" spans="1:4" hidden="1" outlineLevel="1" x14ac:dyDescent="0.25">
      <c r="A86" s="5">
        <f>'AAPL and K'!A83</f>
        <v>41000</v>
      </c>
      <c r="B86" s="9">
        <f>'AAPL and K'!E83</f>
        <v>-2.6312522384197522E-2</v>
      </c>
      <c r="C86" s="9">
        <f>'AAPL and K'!F83</f>
        <v>-5.8750062326359903E-2</v>
      </c>
      <c r="D86" s="1">
        <f t="shared" si="1"/>
        <v>-4.2531292355278714E-2</v>
      </c>
    </row>
    <row r="87" spans="1:4" hidden="1" outlineLevel="1" x14ac:dyDescent="0.25">
      <c r="A87" s="5">
        <f>'AAPL and K'!A84</f>
        <v>40969</v>
      </c>
      <c r="B87" s="9">
        <f>'AAPL and K'!E84</f>
        <v>0.1001018723259286</v>
      </c>
      <c r="C87" s="9">
        <f>'AAPL and K'!F84</f>
        <v>3.2318489923243605E-2</v>
      </c>
      <c r="D87" s="1">
        <f t="shared" si="1"/>
        <v>6.6210181124586098E-2</v>
      </c>
    </row>
    <row r="88" spans="1:4" hidden="1" outlineLevel="1" x14ac:dyDescent="0.25">
      <c r="A88" s="5">
        <f>'AAPL and K'!A85</f>
        <v>40940</v>
      </c>
      <c r="B88" s="9">
        <f>'AAPL and K'!E85</f>
        <v>0.17253272365200584</v>
      </c>
      <c r="C88" s="9">
        <f>'AAPL and K'!F85</f>
        <v>5.5575139189848612E-2</v>
      </c>
      <c r="D88" s="1">
        <f t="shared" si="1"/>
        <v>0.11405393142092722</v>
      </c>
    </row>
    <row r="89" spans="1:4" hidden="1" outlineLevel="1" x14ac:dyDescent="0.25">
      <c r="A89" s="5">
        <f>'AAPL and K'!A86</f>
        <v>40909</v>
      </c>
      <c r="B89" s="9">
        <f>'AAPL and K'!E86</f>
        <v>0.11965778366501913</v>
      </c>
      <c r="C89" s="9">
        <f>'AAPL and K'!F86</f>
        <v>-2.0981974039671596E-2</v>
      </c>
      <c r="D89" s="1">
        <f t="shared" si="1"/>
        <v>4.9337904812673763E-2</v>
      </c>
    </row>
    <row r="90" spans="1:4" hidden="1" outlineLevel="1" x14ac:dyDescent="0.25">
      <c r="A90" s="5">
        <f>'AAPL and K'!A87</f>
        <v>40878</v>
      </c>
      <c r="B90" s="9">
        <f>'AAPL and K'!E87</f>
        <v>5.7942882909883787E-2</v>
      </c>
      <c r="C90" s="9">
        <f>'AAPL and K'!F87</f>
        <v>3.7161599108149042E-2</v>
      </c>
      <c r="D90" s="1">
        <f t="shared" si="1"/>
        <v>4.7552241009016415E-2</v>
      </c>
    </row>
    <row r="91" spans="1:4" hidden="1" outlineLevel="1" x14ac:dyDescent="0.25">
      <c r="A91" s="5">
        <f>'AAPL and K'!A88</f>
        <v>40848</v>
      </c>
      <c r="B91" s="9">
        <f>'AAPL and K'!E88</f>
        <v>-5.7399698294657964E-2</v>
      </c>
      <c r="C91" s="9">
        <f>'AAPL and K'!F88</f>
        <v>-9.7784798880145074E-2</v>
      </c>
      <c r="D91" s="1">
        <f t="shared" si="1"/>
        <v>-7.7592248587401519E-2</v>
      </c>
    </row>
    <row r="92" spans="1:4" hidden="1" outlineLevel="1" x14ac:dyDescent="0.25">
      <c r="A92" s="5">
        <f>'AAPL and K'!A89</f>
        <v>40817</v>
      </c>
      <c r="B92" s="9">
        <f>'AAPL and K'!E89</f>
        <v>5.9704656309112342E-2</v>
      </c>
      <c r="C92" s="9">
        <f>'AAPL and K'!F89</f>
        <v>1.8995125155575675E-2</v>
      </c>
      <c r="D92" s="1">
        <f t="shared" si="1"/>
        <v>3.934989073234401E-2</v>
      </c>
    </row>
    <row r="93" spans="1:4" hidden="1" outlineLevel="1" x14ac:dyDescent="0.25">
      <c r="A93" s="5">
        <f>'AAPL and K'!A90</f>
        <v>40787</v>
      </c>
      <c r="B93" s="9">
        <f>'AAPL and K'!E90</f>
        <v>-9.1623742544899751E-3</v>
      </c>
      <c r="C93" s="9">
        <f>'AAPL and K'!F90</f>
        <v>-1.3051258179502197E-2</v>
      </c>
      <c r="D93" s="1">
        <f t="shared" si="1"/>
        <v>-1.1106816216996086E-2</v>
      </c>
    </row>
    <row r="94" spans="1:4" hidden="1" outlineLevel="1" x14ac:dyDescent="0.25">
      <c r="A94" s="5">
        <f>'AAPL and K'!A91</f>
        <v>40756</v>
      </c>
      <c r="B94" s="9">
        <f>'AAPL and K'!E91</f>
        <v>-1.4575148075378373E-2</v>
      </c>
      <c r="C94" s="9">
        <f>'AAPL and K'!F91</f>
        <v>-2.652293211084138E-2</v>
      </c>
      <c r="D94" s="1">
        <f t="shared" si="1"/>
        <v>-2.0549040093109879E-2</v>
      </c>
    </row>
    <row r="95" spans="1:4" hidden="1" outlineLevel="1" x14ac:dyDescent="0.25">
      <c r="A95" s="5">
        <f>'AAPL and K'!A92</f>
        <v>40725</v>
      </c>
      <c r="B95" s="9">
        <f>'AAPL and K'!E92</f>
        <v>0.15124817703954213</v>
      </c>
      <c r="C95" s="9">
        <f>'AAPL and K'!F92</f>
        <v>8.2811146004195119E-3</v>
      </c>
      <c r="D95" s="1">
        <f t="shared" si="1"/>
        <v>7.9764645819980828E-2</v>
      </c>
    </row>
    <row r="96" spans="1:4" hidden="1" outlineLevel="1" x14ac:dyDescent="0.25">
      <c r="A96" s="5">
        <f>'AAPL and K'!A93</f>
        <v>40695</v>
      </c>
      <c r="B96" s="9">
        <f>'AAPL and K'!E93</f>
        <v>-3.5585106846870038E-2</v>
      </c>
      <c r="C96" s="9">
        <f>'AAPL and K'!F93</f>
        <v>-2.2583147116158272E-2</v>
      </c>
      <c r="D96" s="1">
        <f t="shared" si="1"/>
        <v>-2.9084126981514156E-2</v>
      </c>
    </row>
    <row r="97" spans="1:4" hidden="1" outlineLevel="1" x14ac:dyDescent="0.25">
      <c r="A97" s="5">
        <f>'AAPL and K'!A94</f>
        <v>40664</v>
      </c>
      <c r="B97" s="9">
        <f>'AAPL and K'!E94</f>
        <v>-6.5907083685697943E-3</v>
      </c>
      <c r="C97" s="9">
        <f>'AAPL and K'!F94</f>
        <v>-4.9011169559721466E-3</v>
      </c>
      <c r="D97" s="1">
        <f t="shared" si="1"/>
        <v>-5.7459126622709704E-3</v>
      </c>
    </row>
    <row r="98" spans="1:4" hidden="1" outlineLevel="1" x14ac:dyDescent="0.25">
      <c r="A98" s="5">
        <f>'AAPL and K'!A95</f>
        <v>40634</v>
      </c>
      <c r="B98" s="9">
        <f>'AAPL and K'!E95</f>
        <v>4.637462170940054E-3</v>
      </c>
      <c r="C98" s="9">
        <f>'AAPL and K'!F95</f>
        <v>5.9163503688842087E-2</v>
      </c>
      <c r="D98" s="1">
        <f t="shared" si="1"/>
        <v>3.1900482929891068E-2</v>
      </c>
    </row>
    <row r="99" spans="1:4" hidden="1" outlineLevel="1" x14ac:dyDescent="0.25">
      <c r="A99" s="5">
        <f>'AAPL and K'!A96</f>
        <v>40603</v>
      </c>
      <c r="B99" s="9">
        <f>'AAPL and K'!E96</f>
        <v>-1.3396018114221324E-2</v>
      </c>
      <c r="C99" s="9">
        <f>'AAPL and K'!F96</f>
        <v>1.5467028061682707E-2</v>
      </c>
      <c r="D99" s="1">
        <f t="shared" si="1"/>
        <v>1.0355049737306912E-3</v>
      </c>
    </row>
    <row r="100" spans="1:4" hidden="1" outlineLevel="1" x14ac:dyDescent="0.25">
      <c r="A100" s="5">
        <f>'AAPL and K'!A97</f>
        <v>40575</v>
      </c>
      <c r="B100" s="9">
        <f>'AAPL and K'!E97</f>
        <v>4.0119263967248533E-2</v>
      </c>
      <c r="C100" s="9">
        <f>'AAPL and K'!F97</f>
        <v>6.2797663392619454E-2</v>
      </c>
      <c r="D100" s="1">
        <f t="shared" si="1"/>
        <v>5.1458463679933994E-2</v>
      </c>
    </row>
    <row r="101" spans="1:4" hidden="1" outlineLevel="1" x14ac:dyDescent="0.25">
      <c r="A101" s="5">
        <f>'AAPL and K'!A98</f>
        <v>40544</v>
      </c>
      <c r="B101" s="9">
        <f>'AAPL and K'!E98</f>
        <v>5.0654093457427614E-2</v>
      </c>
      <c r="C101" s="9">
        <f>'AAPL and K'!F98</f>
        <v>-1.5388182553408857E-2</v>
      </c>
      <c r="D101" s="1">
        <f t="shared" si="1"/>
        <v>1.763295545200938E-2</v>
      </c>
    </row>
    <row r="102" spans="1:4" hidden="1" outlineLevel="1" x14ac:dyDescent="0.25">
      <c r="A102" s="5">
        <f>'AAPL and K'!A99</f>
        <v>40513</v>
      </c>
      <c r="B102" s="9">
        <f>'AAPL and K'!E99</f>
        <v>3.6014516448256047E-2</v>
      </c>
      <c r="C102" s="9">
        <f>'AAPL and K'!F99</f>
        <v>4.5109042294686735E-2</v>
      </c>
      <c r="D102" s="1">
        <f t="shared" si="1"/>
        <v>4.0561779371471388E-2</v>
      </c>
    </row>
    <row r="103" spans="1:4" hidden="1" outlineLevel="1" x14ac:dyDescent="0.25">
      <c r="A103" s="5">
        <f>'AAPL and K'!A100</f>
        <v>40483</v>
      </c>
      <c r="B103" s="9">
        <f>'AAPL and K'!E100</f>
        <v>3.3230999815200966E-2</v>
      </c>
      <c r="C103" s="9">
        <f>'AAPL and K'!F100</f>
        <v>-2.0706576155375384E-2</v>
      </c>
      <c r="D103" s="1">
        <f t="shared" si="1"/>
        <v>6.2622118299127914E-3</v>
      </c>
    </row>
    <row r="104" spans="1:4" hidden="1" outlineLevel="1" x14ac:dyDescent="0.25">
      <c r="A104" s="5">
        <f>'AAPL and K'!A101</f>
        <v>40452</v>
      </c>
      <c r="B104" s="9">
        <f>'AAPL and K'!E101</f>
        <v>5.8950422157251561E-2</v>
      </c>
      <c r="C104" s="9">
        <f>'AAPL and K'!F101</f>
        <v>-4.9615651172647381E-3</v>
      </c>
      <c r="D104" s="1">
        <f t="shared" si="1"/>
        <v>2.699442851999341E-2</v>
      </c>
    </row>
    <row r="105" spans="1:4" hidden="1" outlineLevel="1" x14ac:dyDescent="0.25">
      <c r="A105" s="5">
        <f>'AAPL and K'!A102</f>
        <v>40422</v>
      </c>
      <c r="B105" s="9">
        <f>'AAPL and K'!E102</f>
        <v>0.15462062541137916</v>
      </c>
      <c r="C105" s="9">
        <f>'AAPL and K'!F102</f>
        <v>2.4622627812122235E-2</v>
      </c>
      <c r="D105" s="1">
        <f t="shared" si="1"/>
        <v>8.9621626611750702E-2</v>
      </c>
    </row>
    <row r="106" spans="1:4" hidden="1" outlineLevel="1" x14ac:dyDescent="0.25">
      <c r="A106" s="5">
        <f>'AAPL and K'!A103</f>
        <v>40391</v>
      </c>
      <c r="B106" s="9">
        <f>'AAPL and K'!E103</f>
        <v>-5.6575420975125419E-2</v>
      </c>
      <c r="C106" s="9">
        <f>'AAPL and K'!F103</f>
        <v>-7.4204705417428851E-3</v>
      </c>
      <c r="D106" s="1">
        <f t="shared" si="1"/>
        <v>-3.1997945758434149E-2</v>
      </c>
    </row>
    <row r="107" spans="1:4" hidden="1" outlineLevel="1" x14ac:dyDescent="0.25">
      <c r="A107" s="5">
        <f>'AAPL and K'!A104</f>
        <v>40360</v>
      </c>
      <c r="B107" s="9">
        <f>'AAPL and K'!E104</f>
        <v>2.2486219627365481E-2</v>
      </c>
      <c r="C107" s="9">
        <f>'AAPL and K'!F104</f>
        <v>-4.9821746845733709E-3</v>
      </c>
      <c r="D107" s="1">
        <f t="shared" si="1"/>
        <v>8.7520224713960558E-3</v>
      </c>
    </row>
    <row r="108" spans="1:4" hidden="1" outlineLevel="1" x14ac:dyDescent="0.25">
      <c r="A108" s="5">
        <f>'AAPL and K'!A105</f>
        <v>40330</v>
      </c>
      <c r="B108" s="9">
        <f>'AAPL and K'!E105</f>
        <v>-2.1047152257473754E-2</v>
      </c>
      <c r="C108" s="9">
        <f>'AAPL and K'!F105</f>
        <v>-5.3254588882322713E-2</v>
      </c>
      <c r="D108" s="1">
        <f t="shared" si="1"/>
        <v>-3.7150870569898235E-2</v>
      </c>
    </row>
    <row r="109" spans="1:4" hidden="1" outlineLevel="1" x14ac:dyDescent="0.25">
      <c r="A109" s="5">
        <f>'AAPL and K'!A106</f>
        <v>40299</v>
      </c>
      <c r="B109" s="9">
        <f>'AAPL and K'!E106</f>
        <v>-1.6255864688260405E-2</v>
      </c>
      <c r="C109" s="9">
        <f>'AAPL and K'!F106</f>
        <v>-2.7869342827523631E-2</v>
      </c>
      <c r="D109" s="1">
        <f t="shared" si="1"/>
        <v>-2.206260375789202E-2</v>
      </c>
    </row>
    <row r="110" spans="1:4" hidden="1" outlineLevel="1" x14ac:dyDescent="0.25">
      <c r="A110" s="5">
        <f>'AAPL and K'!A107</f>
        <v>40269</v>
      </c>
      <c r="B110" s="9">
        <f>'AAPL and K'!E107</f>
        <v>0.10527979060113814</v>
      </c>
      <c r="C110" s="9">
        <f>'AAPL and K'!F107</f>
        <v>2.7869342827523579E-2</v>
      </c>
      <c r="D110" s="1">
        <f t="shared" si="1"/>
        <v>6.657456671433086E-2</v>
      </c>
    </row>
    <row r="111" spans="1:4" hidden="1" outlineLevel="1" x14ac:dyDescent="0.25">
      <c r="A111" s="5">
        <f>'AAPL and K'!A108</f>
        <v>40238</v>
      </c>
      <c r="B111" s="9">
        <f>'AAPL and K'!E108</f>
        <v>0.13843072261054745</v>
      </c>
      <c r="C111" s="9">
        <f>'AAPL and K'!F108</f>
        <v>3.1442883779947424E-2</v>
      </c>
      <c r="D111" s="1">
        <f t="shared" si="1"/>
        <v>8.4936803195247434E-2</v>
      </c>
    </row>
    <row r="112" spans="1:4" hidden="1" outlineLevel="1" x14ac:dyDescent="0.25">
      <c r="A112" s="5">
        <f>'AAPL and K'!A109</f>
        <v>40210</v>
      </c>
      <c r="B112" s="9">
        <f>'AAPL and K'!E109</f>
        <v>6.3346820771750079E-2</v>
      </c>
      <c r="C112" s="9">
        <f>'AAPL and K'!F109</f>
        <v>-4.260778800395406E-2</v>
      </c>
      <c r="D112" s="1">
        <f t="shared" si="1"/>
        <v>1.0369516383898009E-2</v>
      </c>
    </row>
    <row r="113" spans="1:4" hidden="1" outlineLevel="1" x14ac:dyDescent="0.25">
      <c r="A113" s="5">
        <f>'AAPL and K'!A110</f>
        <v>40179</v>
      </c>
      <c r="B113" s="9">
        <f>'AAPL and K'!E110</f>
        <v>-9.2769972651683186E-2</v>
      </c>
      <c r="C113" s="9">
        <f>'AAPL and K'!F110</f>
        <v>2.2673225895911069E-2</v>
      </c>
      <c r="D113" s="1">
        <f t="shared" si="1"/>
        <v>-3.5048373377886057E-2</v>
      </c>
    </row>
    <row r="114" spans="1:4" hidden="1" outlineLevel="1" x14ac:dyDescent="0.25">
      <c r="A114" s="5">
        <f>'AAPL and K'!A111</f>
        <v>40148</v>
      </c>
      <c r="B114" s="9">
        <f>'AAPL and K'!E111</f>
        <v>5.271094910580109E-2</v>
      </c>
      <c r="C114" s="9">
        <f>'AAPL and K'!F111</f>
        <v>1.8827577427685521E-2</v>
      </c>
      <c r="D114" s="1">
        <f t="shared" si="1"/>
        <v>3.5769263266743304E-2</v>
      </c>
    </row>
    <row r="115" spans="1:4" hidden="1" outlineLevel="1" x14ac:dyDescent="0.25">
      <c r="A115" s="5">
        <f>'AAPL and K'!A112</f>
        <v>40118</v>
      </c>
      <c r="B115" s="9">
        <f>'AAPL and K'!E112</f>
        <v>5.8768730172218744E-2</v>
      </c>
      <c r="C115" s="9">
        <f>'AAPL and K'!F112</f>
        <v>1.997787119485684E-2</v>
      </c>
      <c r="D115" s="1">
        <f t="shared" si="1"/>
        <v>3.9373300683537796E-2</v>
      </c>
    </row>
    <row r="116" spans="1:4" hidden="1" outlineLevel="1" x14ac:dyDescent="0.25">
      <c r="A116" s="5">
        <f>'AAPL and K'!A113</f>
        <v>40087</v>
      </c>
      <c r="B116" s="9">
        <f>'AAPL and K'!E113</f>
        <v>1.6852054831431509E-2</v>
      </c>
      <c r="C116" s="9">
        <f>'AAPL and K'!F113</f>
        <v>4.5854840830725919E-2</v>
      </c>
      <c r="D116" s="1">
        <f t="shared" si="1"/>
        <v>3.1353447831078712E-2</v>
      </c>
    </row>
    <row r="117" spans="1:4" hidden="1" outlineLevel="1" x14ac:dyDescent="0.25">
      <c r="A117" s="5">
        <f>'AAPL and K'!A114</f>
        <v>40057</v>
      </c>
      <c r="B117" s="9">
        <f>'AAPL and K'!E114</f>
        <v>9.7032976419659439E-2</v>
      </c>
      <c r="C117" s="9">
        <f>'AAPL and K'!F114</f>
        <v>5.2459933479165811E-2</v>
      </c>
      <c r="D117" s="1">
        <f t="shared" si="1"/>
        <v>7.4746454949412622E-2</v>
      </c>
    </row>
    <row r="118" spans="1:4" hidden="1" outlineLevel="1" x14ac:dyDescent="0.25">
      <c r="A118" s="5">
        <f>'AAPL and K'!A115</f>
        <v>40026</v>
      </c>
      <c r="B118" s="9">
        <f>'AAPL and K'!E115</f>
        <v>2.9073316510300224E-2</v>
      </c>
      <c r="C118" s="9">
        <f>'AAPL and K'!F115</f>
        <v>-8.6692925354493293E-3</v>
      </c>
      <c r="D118" s="1">
        <f t="shared" si="1"/>
        <v>1.0202011987425447E-2</v>
      </c>
    </row>
    <row r="119" spans="1:4" hidden="1" outlineLevel="1" x14ac:dyDescent="0.25">
      <c r="A119" s="5">
        <f>'AAPL and K'!A116</f>
        <v>39995</v>
      </c>
      <c r="B119" s="9">
        <f>'AAPL and K'!E116</f>
        <v>0.13728922955037989</v>
      </c>
      <c r="C119" s="9">
        <f>'AAPL and K'!F116</f>
        <v>1.9773470388389794E-2</v>
      </c>
      <c r="D119" s="1">
        <f t="shared" si="1"/>
        <v>7.853134996938485E-2</v>
      </c>
    </row>
    <row r="120" spans="1:4" hidden="1" outlineLevel="1" x14ac:dyDescent="0.25">
      <c r="A120" s="5">
        <f>'AAPL and K'!A117</f>
        <v>39965</v>
      </c>
      <c r="B120" s="9">
        <f>'AAPL and K'!E117</f>
        <v>4.7593717264136394E-2</v>
      </c>
      <c r="C120" s="9">
        <f>'AAPL and K'!F117</f>
        <v>8.1855323308452549E-2</v>
      </c>
      <c r="D120" s="1">
        <f t="shared" si="1"/>
        <v>6.4724520286294468E-2</v>
      </c>
    </row>
    <row r="121" spans="1:4" hidden="1" outlineLevel="1" x14ac:dyDescent="0.25">
      <c r="A121" s="5">
        <f>'AAPL and K'!A118</f>
        <v>39934</v>
      </c>
      <c r="B121" s="9">
        <f>'AAPL and K'!E118</f>
        <v>7.6324928749680512E-2</v>
      </c>
      <c r="C121" s="9">
        <f>'AAPL and K'!F118</f>
        <v>2.6711765312306745E-2</v>
      </c>
      <c r="D121" s="1">
        <f t="shared" si="1"/>
        <v>5.151834703099363E-2</v>
      </c>
    </row>
    <row r="122" spans="1:4" collapsed="1" x14ac:dyDescent="0.25">
      <c r="A122" s="5">
        <f>'AAPL and K'!A119</f>
        <v>39904</v>
      </c>
      <c r="B122" s="9">
        <f>'AAPL and K'!E119</f>
        <v>0.17982937483629954</v>
      </c>
      <c r="C122" s="9">
        <f>'AAPL and K'!F119</f>
        <v>0.13941774256888045</v>
      </c>
      <c r="D122" s="1">
        <f t="shared" si="1"/>
        <v>0.15962355870258998</v>
      </c>
    </row>
    <row r="123" spans="1:4" x14ac:dyDescent="0.25">
      <c r="A123" s="5">
        <f>'AAPL and K'!A120</f>
        <v>39873</v>
      </c>
      <c r="B123" s="9">
        <f>'AAPL and K'!E120</f>
        <v>0.16298894786765122</v>
      </c>
      <c r="C123" s="9">
        <f>'AAPL and K'!F120</f>
        <v>-5.1818552970314548E-2</v>
      </c>
      <c r="D123" s="1">
        <f t="shared" si="1"/>
        <v>5.5585197448668341E-2</v>
      </c>
    </row>
    <row r="124" spans="1:4" x14ac:dyDescent="0.25">
      <c r="A124" s="5">
        <f>'AAPL and K'!A121</f>
        <v>39845</v>
      </c>
      <c r="B124" s="9">
        <f>'AAPL and K'!E121</f>
        <v>-9.1395831936074562E-3</v>
      </c>
      <c r="C124" s="9">
        <f>'AAPL and K'!F121</f>
        <v>-0.11561085485906979</v>
      </c>
      <c r="D124" s="1">
        <f t="shared" si="1"/>
        <v>-6.2375219026338621E-2</v>
      </c>
    </row>
    <row r="126" spans="1:4" x14ac:dyDescent="0.25">
      <c r="A126" s="10" t="s">
        <v>21</v>
      </c>
      <c r="B126" s="11" t="str">
        <f>'AAPL and K'!B2</f>
        <v>AAPL</v>
      </c>
      <c r="C126" s="25" t="str">
        <f>'AAPL and K'!C2</f>
        <v>Kellogg</v>
      </c>
    </row>
    <row r="127" spans="1:4" x14ac:dyDescent="0.25">
      <c r="A127" t="s">
        <v>22</v>
      </c>
      <c r="B127" s="3">
        <f>AVERAGE(B6:B124)</f>
        <v>2.442509304160731E-2</v>
      </c>
      <c r="C127" s="3">
        <f>AVERAGE(C6:C124)</f>
        <v>4.8103460140296057E-3</v>
      </c>
      <c r="D127" t="str">
        <f ca="1">"&lt;--"&amp;_xlfn.FORMULATEXT(C127)</f>
        <v>&lt;--=AVERAGE(C6:C124)</v>
      </c>
    </row>
    <row r="128" spans="1:4" x14ac:dyDescent="0.25">
      <c r="A128" t="s">
        <v>15</v>
      </c>
      <c r="B128" s="2">
        <f>_xlfn.VAR.S(B6:B124)</f>
        <v>5.3712821527955373E-3</v>
      </c>
      <c r="C128" s="2">
        <f>_xlfn.VAR.S(C6:C124)</f>
        <v>2.0585201434897477E-3</v>
      </c>
      <c r="D128" t="str">
        <f ca="1">"&lt;--"&amp;_xlfn.FORMULATEXT(C128)</f>
        <v>&lt;--=VAR.S(C6:C124)</v>
      </c>
    </row>
    <row r="129" spans="1:4" x14ac:dyDescent="0.25">
      <c r="A129" t="s">
        <v>16</v>
      </c>
      <c r="B129" s="1">
        <f>_xlfn.STDEV.S(B6:B124)</f>
        <v>7.328903159952066E-2</v>
      </c>
      <c r="C129" s="1">
        <f>_xlfn.STDEV.S(C6:C124)</f>
        <v>4.5370917375448204E-2</v>
      </c>
      <c r="D129" t="str">
        <f ca="1">"&lt;--"&amp;_xlfn.FORMULATEXT(C129)</f>
        <v>&lt;--=STDEV.S(C6:C124)</v>
      </c>
    </row>
    <row r="130" spans="1:4" x14ac:dyDescent="0.25">
      <c r="A130" t="s">
        <v>23</v>
      </c>
      <c r="B130" s="20">
        <f>_xlfn.COVARIANCE.S(B6:B124,C6:C124)</f>
        <v>8.52049577472749E-4</v>
      </c>
      <c r="C130" t="str">
        <f ca="1">"&lt;--"&amp;_xlfn.FORMULATEXT(B130)</f>
        <v>&lt;--=COVARIANCE.S(B6:B124,C6:C124)</v>
      </c>
    </row>
    <row r="132" spans="1:4" x14ac:dyDescent="0.25">
      <c r="A132" s="7" t="s">
        <v>24</v>
      </c>
    </row>
    <row r="133" spans="1:4" x14ac:dyDescent="0.25">
      <c r="A133" t="s">
        <v>57</v>
      </c>
      <c r="B133" s="3">
        <f>AVERAGE(D6:D124)</f>
        <v>1.4617719527818457E-2</v>
      </c>
      <c r="C133" t="str">
        <f ca="1">"&lt;--"&amp;_xlfn.FORMULATEXT(B133)</f>
        <v>&lt;--=AVERAGE(D6:D124)</v>
      </c>
    </row>
    <row r="134" spans="1:4" x14ac:dyDescent="0.25">
      <c r="A134" t="s">
        <v>58</v>
      </c>
      <c r="B134" s="1">
        <f>B2*B127+B3*C127</f>
        <v>1.4617719527818457E-2</v>
      </c>
      <c r="C134" t="str">
        <f ca="1">"&lt;--"&amp;_xlfn.FORMULATEXT(B134)</f>
        <v>&lt;--=B2*B127+B3*C127</v>
      </c>
    </row>
    <row r="135" spans="1:4" x14ac:dyDescent="0.25">
      <c r="B135" s="1"/>
    </row>
    <row r="136" spans="1:4" x14ac:dyDescent="0.25">
      <c r="A136" s="7" t="s">
        <v>25</v>
      </c>
    </row>
    <row r="137" spans="1:4" x14ac:dyDescent="0.25">
      <c r="A137" t="s">
        <v>57</v>
      </c>
      <c r="B137" s="2">
        <f>_xlfn.VAR.S(D6:D124)</f>
        <v>2.2834753628076959E-3</v>
      </c>
      <c r="C137" t="str">
        <f ca="1">"&lt;--"&amp;_xlfn.FORMULATEXT(B137)</f>
        <v>&lt;--=VAR.S(D6:D124)</v>
      </c>
    </row>
    <row r="138" spans="1:4" x14ac:dyDescent="0.25">
      <c r="A138" t="s">
        <v>58</v>
      </c>
      <c r="B138" s="2">
        <f>B2^2*B128+B3^2*C128+2*B2*B3*B130</f>
        <v>2.2834753628076959E-3</v>
      </c>
      <c r="C138" t="str">
        <f ca="1">"&lt;--"&amp;_xlfn.FORMULATEXT(B138)</f>
        <v>&lt;--=B2^2*B128+B3^2*C128+2*B2*B3*B130</v>
      </c>
    </row>
    <row r="139" spans="1:4" x14ac:dyDescent="0.25">
      <c r="B139" s="2"/>
    </row>
    <row r="140" spans="1:4" x14ac:dyDescent="0.25">
      <c r="A140" s="7" t="s">
        <v>26</v>
      </c>
      <c r="B140" s="2"/>
    </row>
    <row r="141" spans="1:4" x14ac:dyDescent="0.25">
      <c r="A141" t="s">
        <v>57</v>
      </c>
      <c r="B141" s="2">
        <f>_xlfn.STDEV.S(D6:D124)</f>
        <v>4.7785723420365793E-2</v>
      </c>
      <c r="C141" t="str">
        <f ca="1">"&lt;--"&amp;_xlfn.FORMULATEXT(B141)</f>
        <v>&lt;--=STDEV.S(D6:D124)</v>
      </c>
    </row>
    <row r="142" spans="1:4" x14ac:dyDescent="0.25">
      <c r="A142" t="s">
        <v>58</v>
      </c>
      <c r="B142" s="2">
        <f>SQRT(B138)</f>
        <v>4.7785723420365793E-2</v>
      </c>
      <c r="C142" t="str">
        <f ca="1">"&lt;--"&amp;_xlfn.FORMULATEXT(B142)</f>
        <v>&lt;--=SQRT(B138)</v>
      </c>
    </row>
  </sheetData>
  <mergeCells count="1">
    <mergeCell ref="A1:E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37"/>
  <sheetViews>
    <sheetView topLeftCell="A4" workbookViewId="0">
      <selection activeCell="C15" sqref="C15"/>
    </sheetView>
  </sheetViews>
  <sheetFormatPr defaultRowHeight="13.8" x14ac:dyDescent="0.25"/>
  <cols>
    <col min="1" max="1" width="28.5" customWidth="1"/>
    <col min="2" max="2" width="8.09765625" bestFit="1" customWidth="1"/>
    <col min="3" max="3" width="8.3984375" customWidth="1"/>
  </cols>
  <sheetData>
    <row r="1" spans="1:10" ht="17.399999999999999" x14ac:dyDescent="0.3">
      <c r="A1" s="67" t="s">
        <v>17</v>
      </c>
      <c r="B1" s="67"/>
      <c r="C1" s="67"/>
      <c r="D1" s="67"/>
      <c r="E1" s="67"/>
      <c r="F1" s="67"/>
      <c r="G1" s="67"/>
      <c r="H1" s="67"/>
      <c r="I1" s="67"/>
      <c r="J1" s="67"/>
    </row>
    <row r="2" spans="1:10" x14ac:dyDescent="0.25">
      <c r="A2" t="s">
        <v>21</v>
      </c>
      <c r="B2" s="33" t="str">
        <f>'AAPL and K'!B124</f>
        <v>AAPL</v>
      </c>
      <c r="C2" s="33" t="str">
        <f>'AAPL and K'!C124</f>
        <v>Kellogg</v>
      </c>
    </row>
    <row r="3" spans="1:10" x14ac:dyDescent="0.25">
      <c r="A3" s="12" t="s">
        <v>22</v>
      </c>
      <c r="B3" s="3">
        <f>'AAPL and K'!B125</f>
        <v>2.442509304160731E-2</v>
      </c>
      <c r="C3" s="3">
        <f>'AAPL and K'!C125</f>
        <v>4.8103460140296057E-3</v>
      </c>
    </row>
    <row r="4" spans="1:10" x14ac:dyDescent="0.25">
      <c r="A4" s="12" t="s">
        <v>15</v>
      </c>
      <c r="B4" s="34">
        <f>'AAPL and K'!B126</f>
        <v>5.3712821527955373E-3</v>
      </c>
      <c r="C4" s="34">
        <f>'AAPL and K'!C126</f>
        <v>2.0585201434897477E-3</v>
      </c>
    </row>
    <row r="5" spans="1:10" x14ac:dyDescent="0.25">
      <c r="A5" s="12" t="s">
        <v>16</v>
      </c>
      <c r="B5" s="3">
        <f>'AAPL and K'!B127</f>
        <v>7.328903159952066E-2</v>
      </c>
      <c r="C5" s="3">
        <f>'AAPL and K'!C127</f>
        <v>4.5370917375448204E-2</v>
      </c>
    </row>
    <row r="6" spans="1:10" x14ac:dyDescent="0.25">
      <c r="A6" s="12" t="s">
        <v>23</v>
      </c>
      <c r="B6" s="35">
        <f>'Portfolio mean and sigma'!B130</f>
        <v>8.52049577472749E-4</v>
      </c>
      <c r="C6" s="3"/>
    </row>
    <row r="8" spans="1:10" x14ac:dyDescent="0.25">
      <c r="A8" s="13" t="s">
        <v>18</v>
      </c>
      <c r="B8" s="17">
        <v>0.5</v>
      </c>
    </row>
    <row r="10" spans="1:10" x14ac:dyDescent="0.25">
      <c r="A10" s="13" t="s">
        <v>24</v>
      </c>
      <c r="B10" s="3">
        <f>B8*B3+(1-B8)*C3</f>
        <v>1.4617719527818457E-2</v>
      </c>
      <c r="C10" t="str">
        <f ca="1">"&lt;--"&amp;_xlfn.FORMULATEXT(B10)</f>
        <v>&lt;--=B8*B3+(1-B8)*C3</v>
      </c>
    </row>
    <row r="11" spans="1:10" x14ac:dyDescent="0.25">
      <c r="A11" t="s">
        <v>25</v>
      </c>
      <c r="B11" s="2">
        <f>B8^2*B4+(1-B8)^2*C4+2*B8*(1-B8)*B6</f>
        <v>2.2834753628076959E-3</v>
      </c>
      <c r="C11" t="str">
        <f ca="1">"&lt;--"&amp;_xlfn.FORMULATEXT(B11)</f>
        <v>&lt;--=B8^2*B4+(1-B8)^2*C4+2*B8*(1-B8)*B6</v>
      </c>
    </row>
    <row r="12" spans="1:10" x14ac:dyDescent="0.25">
      <c r="A12" s="13" t="s">
        <v>26</v>
      </c>
      <c r="B12" s="1">
        <f>SQRT(B11)</f>
        <v>4.7785723420365793E-2</v>
      </c>
      <c r="C12" t="str">
        <f ca="1">"&lt;--"&amp;_xlfn.FORMULATEXT(B12)</f>
        <v>&lt;--=SQRT(B11)</v>
      </c>
    </row>
    <row r="14" spans="1:10" x14ac:dyDescent="0.25">
      <c r="A14" s="7" t="s">
        <v>59</v>
      </c>
    </row>
    <row r="15" spans="1:10" ht="41.4" x14ac:dyDescent="0.25">
      <c r="B15" s="14" t="s">
        <v>27</v>
      </c>
      <c r="C15" s="14" t="s">
        <v>24</v>
      </c>
    </row>
    <row r="16" spans="1:10" x14ac:dyDescent="0.25">
      <c r="A16" t="s">
        <v>18</v>
      </c>
      <c r="B16" s="3">
        <f>B12</f>
        <v>4.7785723420365793E-2</v>
      </c>
      <c r="C16" s="3">
        <f>B10</f>
        <v>1.4617719527818457E-2</v>
      </c>
      <c r="D16" t="str">
        <f ca="1">getformula(C16)&amp;", data table header"</f>
        <v>&lt;--  =B10, data table header</v>
      </c>
    </row>
    <row r="17" spans="1:3" x14ac:dyDescent="0.25">
      <c r="A17" s="36">
        <v>-0.5</v>
      </c>
      <c r="B17" s="1">
        <f t="dataTable" ref="B17:C37" dt2D="0" dtr="0" r1="B8"/>
        <v>6.8530405622918164E-2</v>
      </c>
      <c r="C17" s="1">
        <v>-4.9970274997592464E-3</v>
      </c>
    </row>
    <row r="18" spans="1:3" x14ac:dyDescent="0.25">
      <c r="A18" s="36">
        <v>-0.4</v>
      </c>
      <c r="B18" s="1">
        <v>6.2767898633917255E-2</v>
      </c>
      <c r="C18" s="1">
        <v>-3.0355527970014774E-3</v>
      </c>
    </row>
    <row r="19" spans="1:3" x14ac:dyDescent="0.25">
      <c r="A19" s="36">
        <v>-0.3</v>
      </c>
      <c r="B19" s="1">
        <v>5.7425741317117779E-2</v>
      </c>
      <c r="C19" s="1">
        <v>-1.0740780942437049E-3</v>
      </c>
    </row>
    <row r="20" spans="1:3" x14ac:dyDescent="0.25">
      <c r="A20" s="36">
        <v>-0.2</v>
      </c>
      <c r="B20" s="1">
        <v>5.2632086178966329E-2</v>
      </c>
      <c r="C20" s="1">
        <v>8.8739660851406416E-4</v>
      </c>
    </row>
    <row r="21" spans="1:3" x14ac:dyDescent="0.25">
      <c r="A21" s="36">
        <v>-0.1</v>
      </c>
      <c r="B21" s="1">
        <v>4.8549678558220608E-2</v>
      </c>
      <c r="C21" s="1">
        <v>2.8488713112718358E-3</v>
      </c>
    </row>
    <row r="22" spans="1:3" x14ac:dyDescent="0.25">
      <c r="A22" s="36">
        <v>0</v>
      </c>
      <c r="B22" s="1">
        <v>4.5370917375448204E-2</v>
      </c>
      <c r="C22" s="1">
        <v>4.8103460140296057E-3</v>
      </c>
    </row>
    <row r="23" spans="1:3" x14ac:dyDescent="0.25">
      <c r="A23" s="36">
        <v>0.1</v>
      </c>
      <c r="B23" s="1">
        <v>4.3295300688408964E-2</v>
      </c>
      <c r="C23" s="1">
        <v>6.7718207167873764E-3</v>
      </c>
    </row>
    <row r="24" spans="1:3" x14ac:dyDescent="0.25">
      <c r="A24" s="36">
        <v>0.2</v>
      </c>
      <c r="B24" s="1">
        <v>4.2484821321697237E-2</v>
      </c>
      <c r="C24" s="1">
        <v>8.7332954195451472E-3</v>
      </c>
    </row>
    <row r="25" spans="1:3" x14ac:dyDescent="0.25">
      <c r="A25" s="36">
        <v>0.3</v>
      </c>
      <c r="B25" s="1">
        <v>4.301105772473085E-2</v>
      </c>
      <c r="C25" s="1">
        <v>1.0694770122302917E-2</v>
      </c>
    </row>
    <row r="26" spans="1:3" x14ac:dyDescent="0.25">
      <c r="A26" s="36">
        <v>0.4</v>
      </c>
      <c r="B26" s="1">
        <v>4.482695833190687E-2</v>
      </c>
      <c r="C26" s="1">
        <v>1.2656244825060687E-2</v>
      </c>
    </row>
    <row r="27" spans="1:3" x14ac:dyDescent="0.25">
      <c r="A27" s="36">
        <v>0.5</v>
      </c>
      <c r="B27" s="1">
        <v>4.7785723420365793E-2</v>
      </c>
      <c r="C27" s="1">
        <v>1.4617719527818457E-2</v>
      </c>
    </row>
    <row r="28" spans="1:3" x14ac:dyDescent="0.25">
      <c r="A28" s="36">
        <v>0.6</v>
      </c>
      <c r="B28" s="1">
        <v>5.1691475072314128E-2</v>
      </c>
      <c r="C28" s="1">
        <v>1.6579194230576227E-2</v>
      </c>
    </row>
    <row r="29" spans="1:3" x14ac:dyDescent="0.25">
      <c r="A29" s="36">
        <v>0.7</v>
      </c>
      <c r="B29" s="1">
        <v>5.634763429215503E-2</v>
      </c>
      <c r="C29" s="1">
        <v>1.8540668933333997E-2</v>
      </c>
    </row>
    <row r="30" spans="1:3" x14ac:dyDescent="0.25">
      <c r="A30" s="36">
        <v>0.8</v>
      </c>
      <c r="B30" s="1">
        <v>6.158422889279376E-2</v>
      </c>
      <c r="C30" s="1">
        <v>2.050214363609177E-2</v>
      </c>
    </row>
    <row r="31" spans="1:3" x14ac:dyDescent="0.25">
      <c r="A31" s="36">
        <v>0.9</v>
      </c>
      <c r="B31" s="1">
        <v>6.7265835824320053E-2</v>
      </c>
      <c r="C31" s="1">
        <v>2.246361833884954E-2</v>
      </c>
    </row>
    <row r="32" spans="1:3" x14ac:dyDescent="0.25">
      <c r="A32" s="36">
        <v>1</v>
      </c>
      <c r="B32" s="1">
        <v>7.328903159952066E-2</v>
      </c>
      <c r="C32" s="1">
        <v>2.442509304160731E-2</v>
      </c>
    </row>
    <row r="33" spans="1:3" x14ac:dyDescent="0.25">
      <c r="A33" s="36">
        <v>1.1000000000000001</v>
      </c>
      <c r="B33" s="1">
        <v>7.9576288549249988E-2</v>
      </c>
      <c r="C33" s="1">
        <v>2.6386567744365083E-2</v>
      </c>
    </row>
    <row r="34" spans="1:3" x14ac:dyDescent="0.25">
      <c r="A34" s="36">
        <v>1.2</v>
      </c>
      <c r="B34" s="1">
        <v>8.6069758385731762E-2</v>
      </c>
      <c r="C34" s="1">
        <v>2.834804244712285E-2</v>
      </c>
    </row>
    <row r="35" spans="1:3" x14ac:dyDescent="0.25">
      <c r="A35" s="36">
        <v>1.3</v>
      </c>
      <c r="B35" s="1">
        <v>9.2726128899624588E-2</v>
      </c>
      <c r="C35" s="1">
        <v>3.0309517149880623E-2</v>
      </c>
    </row>
    <row r="36" spans="1:3" x14ac:dyDescent="0.25">
      <c r="A36" s="36">
        <v>1.4</v>
      </c>
      <c r="B36" s="1">
        <v>9.9512716351570538E-2</v>
      </c>
      <c r="C36" s="1">
        <v>3.2270991852638389E-2</v>
      </c>
    </row>
    <row r="37" spans="1:3" x14ac:dyDescent="0.25">
      <c r="A37" s="36">
        <v>1.5</v>
      </c>
      <c r="B37" s="1">
        <v>0.10640460757623832</v>
      </c>
      <c r="C37" s="1">
        <v>3.4232466555396163E-2</v>
      </c>
    </row>
  </sheetData>
  <mergeCells count="1">
    <mergeCell ref="A1:J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A46F3-310F-43D4-835F-06751D1132A7}">
  <sheetPr codeName="Sheet9"/>
  <dimension ref="A1:J60"/>
  <sheetViews>
    <sheetView zoomScale="71" zoomScaleNormal="71" workbookViewId="0">
      <selection sqref="A1:G1"/>
    </sheetView>
  </sheetViews>
  <sheetFormatPr defaultRowHeight="13.8" x14ac:dyDescent="0.25"/>
  <cols>
    <col min="1" max="1" width="28.5" customWidth="1"/>
    <col min="2" max="2" width="10.09765625" customWidth="1"/>
    <col min="3" max="3" width="8.3984375" customWidth="1"/>
  </cols>
  <sheetData>
    <row r="1" spans="1:10" ht="17.399999999999999" x14ac:dyDescent="0.3">
      <c r="A1" s="67" t="s">
        <v>63</v>
      </c>
      <c r="B1" s="67"/>
      <c r="C1" s="67"/>
      <c r="D1" s="67"/>
      <c r="E1" s="67"/>
      <c r="F1" s="67"/>
      <c r="G1" s="67"/>
      <c r="H1" s="21"/>
      <c r="I1" s="21"/>
      <c r="J1" s="21"/>
    </row>
    <row r="2" spans="1:10" x14ac:dyDescent="0.25">
      <c r="A2" t="s">
        <v>21</v>
      </c>
      <c r="B2" s="33" t="str">
        <f>'AAPL and K'!B124</f>
        <v>AAPL</v>
      </c>
      <c r="C2" s="33" t="str">
        <f>'AAPL and K'!C124</f>
        <v>Kellogg</v>
      </c>
    </row>
    <row r="3" spans="1:10" x14ac:dyDescent="0.25">
      <c r="A3" s="12" t="s">
        <v>22</v>
      </c>
      <c r="B3" s="3">
        <f>'AAPL and K'!B125</f>
        <v>2.442509304160731E-2</v>
      </c>
      <c r="C3" s="3">
        <f>'AAPL and K'!C125</f>
        <v>4.8103460140296057E-3</v>
      </c>
    </row>
    <row r="4" spans="1:10" x14ac:dyDescent="0.25">
      <c r="A4" s="12" t="s">
        <v>15</v>
      </c>
      <c r="B4" s="34">
        <f>'AAPL and K'!B126</f>
        <v>5.3712821527955373E-3</v>
      </c>
      <c r="C4" s="34">
        <f>'AAPL and K'!C126</f>
        <v>2.0585201434897477E-3</v>
      </c>
    </row>
    <row r="5" spans="1:10" x14ac:dyDescent="0.25">
      <c r="A5" s="12" t="s">
        <v>16</v>
      </c>
      <c r="B5" s="3">
        <f>'AAPL and K'!B127</f>
        <v>7.328903159952066E-2</v>
      </c>
      <c r="C5" s="3">
        <f>'AAPL and K'!C127</f>
        <v>4.5370917375448204E-2</v>
      </c>
    </row>
    <row r="6" spans="1:10" x14ac:dyDescent="0.25">
      <c r="A6" s="12" t="s">
        <v>23</v>
      </c>
      <c r="B6" s="35">
        <f>'Portfolio mean and sigma'!B130</f>
        <v>8.52049577472749E-4</v>
      </c>
      <c r="C6" s="3"/>
    </row>
    <row r="8" spans="1:10" x14ac:dyDescent="0.25">
      <c r="A8" s="28" t="s">
        <v>61</v>
      </c>
    </row>
    <row r="9" spans="1:10" x14ac:dyDescent="0.25">
      <c r="A9" s="39" t="s">
        <v>94</v>
      </c>
    </row>
    <row r="10" spans="1:10" x14ac:dyDescent="0.25">
      <c r="A10" s="40" t="s">
        <v>18</v>
      </c>
      <c r="B10" s="41">
        <v>0.21071133730244662</v>
      </c>
      <c r="C10" s="38" t="s">
        <v>60</v>
      </c>
    </row>
    <row r="11" spans="1:10" x14ac:dyDescent="0.25">
      <c r="A11" s="13" t="s">
        <v>24</v>
      </c>
      <c r="B11" s="3">
        <f>B10*B3+(1-B10)*C3</f>
        <v>8.9433955910596941E-3</v>
      </c>
      <c r="C11" t="str">
        <f ca="1">"&lt;--"&amp;_xlfn.FORMULATEXT(B11)</f>
        <v>&lt;--=B10*B3+(1-B10)*C3</v>
      </c>
    </row>
    <row r="12" spans="1:10" x14ac:dyDescent="0.25">
      <c r="A12" t="s">
        <v>25</v>
      </c>
      <c r="B12" s="2">
        <f>B10^2*B4+(1-B10)^2*C4+2*B10*(1-B10)*B6</f>
        <v>1.8043031170854099E-3</v>
      </c>
      <c r="C12" t="str">
        <f ca="1">"&lt;--"&amp;_xlfn.FORMULATEXT(B12)</f>
        <v>&lt;--=B10^2*B4+(1-B10)^2*C4+2*B10*(1-B10)*B6</v>
      </c>
    </row>
    <row r="13" spans="1:10" x14ac:dyDescent="0.25">
      <c r="A13" s="13" t="s">
        <v>26</v>
      </c>
      <c r="B13" s="1">
        <f>SQRT(B12)</f>
        <v>4.2477089319836993E-2</v>
      </c>
      <c r="C13" t="str">
        <f ca="1">"&lt;--"&amp;_xlfn.FORMULATEXT(B13)</f>
        <v>&lt;--=SQRT(B12)</v>
      </c>
    </row>
    <row r="15" spans="1:10" x14ac:dyDescent="0.25">
      <c r="A15" s="39" t="s">
        <v>62</v>
      </c>
    </row>
    <row r="16" spans="1:10" x14ac:dyDescent="0.25">
      <c r="A16" s="40" t="s">
        <v>18</v>
      </c>
      <c r="B16" s="41">
        <f>(C4-B6)/(B4+C4-2*B6)</f>
        <v>0.21071133732139147</v>
      </c>
      <c r="C16" s="38" t="str">
        <f ca="1">"&lt;--"&amp;_xlfn.FORMULATEXT(B16)</f>
        <v>&lt;--=(C4-B6)/(B4+C4-2*B6)</v>
      </c>
    </row>
    <row r="17" spans="1:3" x14ac:dyDescent="0.25">
      <c r="A17" s="13" t="s">
        <v>24</v>
      </c>
      <c r="B17" s="3">
        <f>B16*B3+(1-B16)*C3</f>
        <v>8.9433955914312909E-3</v>
      </c>
      <c r="C17" t="str">
        <f ca="1">"&lt;--"&amp;_xlfn.FORMULATEXT(B17)</f>
        <v>&lt;--=B16*B3+(1-B16)*C3</v>
      </c>
    </row>
    <row r="18" spans="1:3" x14ac:dyDescent="0.25">
      <c r="A18" t="s">
        <v>25</v>
      </c>
      <c r="B18" s="2">
        <f>B16^2*B4+(1-B16)^2*C4+2*B16*(1-B16)*B6</f>
        <v>1.8043031170854099E-3</v>
      </c>
      <c r="C18" t="str">
        <f ca="1">"&lt;--"&amp;_xlfn.FORMULATEXT(B18)</f>
        <v>&lt;--=B16^2*B4+(1-B16)^2*C4+2*B16*(1-B16)*B6</v>
      </c>
    </row>
    <row r="19" spans="1:3" x14ac:dyDescent="0.25">
      <c r="A19" s="13" t="s">
        <v>26</v>
      </c>
      <c r="B19" s="1">
        <f>SQRT(B18)</f>
        <v>4.2477089319836993E-2</v>
      </c>
      <c r="C19" t="str">
        <f ca="1">"&lt;--"&amp;_xlfn.FORMULATEXT(B19)</f>
        <v>&lt;--=SQRT(B18)</v>
      </c>
    </row>
    <row r="37" spans="1:4" x14ac:dyDescent="0.25">
      <c r="A37" s="7" t="s">
        <v>59</v>
      </c>
    </row>
    <row r="38" spans="1:4" ht="41.4" x14ac:dyDescent="0.25">
      <c r="B38" s="14" t="s">
        <v>27</v>
      </c>
      <c r="C38" s="14" t="s">
        <v>24</v>
      </c>
    </row>
    <row r="39" spans="1:4" x14ac:dyDescent="0.25">
      <c r="A39" t="s">
        <v>18</v>
      </c>
      <c r="B39" s="3">
        <f>B13</f>
        <v>4.2477089319836993E-2</v>
      </c>
      <c r="C39" s="3">
        <f>B11</f>
        <v>8.9433955910596941E-3</v>
      </c>
      <c r="D39" t="str">
        <f ca="1">getformula(C39)&amp;", data table header"</f>
        <v>&lt;--  =B11, data table header</v>
      </c>
    </row>
    <row r="40" spans="1:4" x14ac:dyDescent="0.25">
      <c r="A40" s="36">
        <v>-0.5</v>
      </c>
      <c r="B40" s="1">
        <f t="dataTable" ref="B40:C60" dt2D="0" dtr="0" r1="B10"/>
        <v>6.8530405622918164E-2</v>
      </c>
      <c r="C40" s="1">
        <v>-4.9970274997592464E-3</v>
      </c>
    </row>
    <row r="41" spans="1:4" x14ac:dyDescent="0.25">
      <c r="A41" s="36">
        <v>-0.4</v>
      </c>
      <c r="B41" s="1">
        <v>6.2767898633917255E-2</v>
      </c>
      <c r="C41" s="1">
        <v>-3.0355527970014774E-3</v>
      </c>
    </row>
    <row r="42" spans="1:4" x14ac:dyDescent="0.25">
      <c r="A42" s="36">
        <v>-0.3</v>
      </c>
      <c r="B42" s="1">
        <v>5.7425741317117779E-2</v>
      </c>
      <c r="C42" s="1">
        <v>-1.0740780942437049E-3</v>
      </c>
    </row>
    <row r="43" spans="1:4" x14ac:dyDescent="0.25">
      <c r="A43" s="36">
        <v>-0.2</v>
      </c>
      <c r="B43" s="1">
        <v>5.2632086178966329E-2</v>
      </c>
      <c r="C43" s="1">
        <v>8.8739660851406416E-4</v>
      </c>
    </row>
    <row r="44" spans="1:4" x14ac:dyDescent="0.25">
      <c r="A44" s="36">
        <v>-0.1</v>
      </c>
      <c r="B44" s="1">
        <v>4.8549678558220608E-2</v>
      </c>
      <c r="C44" s="1">
        <v>2.8488713112718358E-3</v>
      </c>
    </row>
    <row r="45" spans="1:4" x14ac:dyDescent="0.25">
      <c r="A45" s="36">
        <v>0</v>
      </c>
      <c r="B45" s="1">
        <v>4.5370917375448204E-2</v>
      </c>
      <c r="C45" s="1">
        <v>4.8103460140296057E-3</v>
      </c>
    </row>
    <row r="46" spans="1:4" x14ac:dyDescent="0.25">
      <c r="A46" s="36">
        <v>0.1</v>
      </c>
      <c r="B46" s="1">
        <v>4.3295300688408964E-2</v>
      </c>
      <c r="C46" s="1">
        <v>6.7718207167873764E-3</v>
      </c>
    </row>
    <row r="47" spans="1:4" x14ac:dyDescent="0.25">
      <c r="A47" s="36">
        <v>0.2</v>
      </c>
      <c r="B47" s="1">
        <v>4.2484821321697237E-2</v>
      </c>
      <c r="C47" s="1">
        <v>8.7332954195451472E-3</v>
      </c>
    </row>
    <row r="48" spans="1:4" x14ac:dyDescent="0.25">
      <c r="A48" s="36">
        <v>0.3</v>
      </c>
      <c r="B48" s="1">
        <v>4.301105772473085E-2</v>
      </c>
      <c r="C48" s="1">
        <v>1.0694770122302917E-2</v>
      </c>
    </row>
    <row r="49" spans="1:3" x14ac:dyDescent="0.25">
      <c r="A49" s="36">
        <v>0.4</v>
      </c>
      <c r="B49" s="1">
        <v>4.482695833190687E-2</v>
      </c>
      <c r="C49" s="1">
        <v>1.2656244825060687E-2</v>
      </c>
    </row>
    <row r="50" spans="1:3" x14ac:dyDescent="0.25">
      <c r="A50" s="36">
        <v>0.5</v>
      </c>
      <c r="B50" s="1">
        <v>4.7785723420365793E-2</v>
      </c>
      <c r="C50" s="1">
        <v>1.4617719527818457E-2</v>
      </c>
    </row>
    <row r="51" spans="1:3" x14ac:dyDescent="0.25">
      <c r="A51" s="36">
        <v>0.6</v>
      </c>
      <c r="B51" s="1">
        <v>5.1691475072314128E-2</v>
      </c>
      <c r="C51" s="1">
        <v>1.6579194230576227E-2</v>
      </c>
    </row>
    <row r="52" spans="1:3" x14ac:dyDescent="0.25">
      <c r="A52" s="36">
        <v>0.7</v>
      </c>
      <c r="B52" s="1">
        <v>5.634763429215503E-2</v>
      </c>
      <c r="C52" s="1">
        <v>1.8540668933333997E-2</v>
      </c>
    </row>
    <row r="53" spans="1:3" x14ac:dyDescent="0.25">
      <c r="A53" s="36">
        <v>0.8</v>
      </c>
      <c r="B53" s="1">
        <v>6.158422889279376E-2</v>
      </c>
      <c r="C53" s="1">
        <v>2.050214363609177E-2</v>
      </c>
    </row>
    <row r="54" spans="1:3" x14ac:dyDescent="0.25">
      <c r="A54" s="36">
        <v>0.9</v>
      </c>
      <c r="B54" s="1">
        <v>6.7265835824320053E-2</v>
      </c>
      <c r="C54" s="1">
        <v>2.246361833884954E-2</v>
      </c>
    </row>
    <row r="55" spans="1:3" x14ac:dyDescent="0.25">
      <c r="A55" s="36">
        <v>1</v>
      </c>
      <c r="B55" s="1">
        <v>7.328903159952066E-2</v>
      </c>
      <c r="C55" s="1">
        <v>2.442509304160731E-2</v>
      </c>
    </row>
    <row r="56" spans="1:3" x14ac:dyDescent="0.25">
      <c r="A56" s="36">
        <v>1.1000000000000001</v>
      </c>
      <c r="B56" s="1">
        <v>7.9576288549249988E-2</v>
      </c>
      <c r="C56" s="1">
        <v>2.6386567744365083E-2</v>
      </c>
    </row>
    <row r="57" spans="1:3" x14ac:dyDescent="0.25">
      <c r="A57" s="36">
        <v>1.2</v>
      </c>
      <c r="B57" s="1">
        <v>8.6069758385731762E-2</v>
      </c>
      <c r="C57" s="1">
        <v>2.834804244712285E-2</v>
      </c>
    </row>
    <row r="58" spans="1:3" x14ac:dyDescent="0.25">
      <c r="A58" s="36">
        <v>1.3</v>
      </c>
      <c r="B58" s="1">
        <v>9.2726128899624588E-2</v>
      </c>
      <c r="C58" s="1">
        <v>3.0309517149880623E-2</v>
      </c>
    </row>
    <row r="59" spans="1:3" x14ac:dyDescent="0.25">
      <c r="A59" s="36">
        <v>1.4</v>
      </c>
      <c r="B59" s="1">
        <v>9.9512716351570538E-2</v>
      </c>
      <c r="C59" s="1">
        <v>3.2270991852638389E-2</v>
      </c>
    </row>
    <row r="60" spans="1:3" x14ac:dyDescent="0.25">
      <c r="A60" s="36">
        <v>1.5</v>
      </c>
      <c r="B60" s="1">
        <v>0.10640460757623832</v>
      </c>
      <c r="C60" s="1">
        <v>3.4232466555396163E-2</v>
      </c>
    </row>
  </sheetData>
  <mergeCells count="1">
    <mergeCell ref="A1:G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49"/>
  <sheetViews>
    <sheetView workbookViewId="0">
      <selection activeCell="B31" sqref="B31"/>
    </sheetView>
  </sheetViews>
  <sheetFormatPr defaultRowHeight="13.8" x14ac:dyDescent="0.25"/>
  <cols>
    <col min="1" max="1" width="13.8984375" customWidth="1"/>
    <col min="2" max="2" width="9.69921875" bestFit="1" customWidth="1"/>
    <col min="3" max="3" width="9.69921875" customWidth="1"/>
    <col min="4" max="5" width="8.796875" customWidth="1"/>
    <col min="6" max="6" width="6.796875" bestFit="1" customWidth="1"/>
    <col min="7" max="7" width="11.5" customWidth="1"/>
  </cols>
  <sheetData>
    <row r="1" spans="1:13" ht="17.399999999999999" x14ac:dyDescent="0.3">
      <c r="A1" s="67" t="s">
        <v>28</v>
      </c>
      <c r="B1" s="67"/>
      <c r="C1" s="67"/>
      <c r="D1" s="67"/>
      <c r="E1" s="67"/>
      <c r="F1" s="67"/>
      <c r="G1" s="67"/>
      <c r="H1" s="67"/>
    </row>
    <row r="2" spans="1:13" x14ac:dyDescent="0.25">
      <c r="B2" s="69" t="s">
        <v>29</v>
      </c>
      <c r="C2" s="69"/>
      <c r="D2" s="69"/>
      <c r="E2" s="69"/>
      <c r="G2" s="70" t="s">
        <v>30</v>
      </c>
      <c r="H2" s="15"/>
      <c r="I2" s="15"/>
      <c r="J2" s="15"/>
      <c r="K2" s="15"/>
      <c r="M2" s="17"/>
    </row>
    <row r="3" spans="1:13" x14ac:dyDescent="0.25">
      <c r="A3" s="31"/>
      <c r="B3" s="30" t="s">
        <v>64</v>
      </c>
      <c r="C3" s="30" t="s">
        <v>65</v>
      </c>
      <c r="D3" s="30" t="s">
        <v>66</v>
      </c>
      <c r="E3" s="30" t="s">
        <v>67</v>
      </c>
      <c r="G3" s="70"/>
      <c r="H3" s="15"/>
      <c r="I3" s="15"/>
      <c r="J3" s="15"/>
      <c r="K3" s="15"/>
      <c r="M3" s="17"/>
    </row>
    <row r="4" spans="1:13" x14ac:dyDescent="0.25">
      <c r="A4" s="30" t="s">
        <v>64</v>
      </c>
      <c r="B4" s="42">
        <v>0.1</v>
      </c>
      <c r="C4" s="42">
        <v>0.01</v>
      </c>
      <c r="D4" s="42">
        <v>0.03</v>
      </c>
      <c r="E4" s="42">
        <v>0.05</v>
      </c>
      <c r="G4" s="36">
        <v>0.06</v>
      </c>
      <c r="H4" s="15"/>
      <c r="I4" s="15"/>
      <c r="J4" s="15"/>
      <c r="K4" s="15"/>
      <c r="M4" s="17"/>
    </row>
    <row r="5" spans="1:13" x14ac:dyDescent="0.25">
      <c r="A5" s="30" t="s">
        <v>65</v>
      </c>
      <c r="B5" s="42">
        <v>0.01</v>
      </c>
      <c r="C5" s="42">
        <v>0.3</v>
      </c>
      <c r="D5" s="42">
        <v>0.06</v>
      </c>
      <c r="E5" s="42">
        <v>-0.04</v>
      </c>
      <c r="G5" s="36">
        <v>0.08</v>
      </c>
      <c r="H5" s="15"/>
      <c r="I5" s="15"/>
      <c r="J5" s="15"/>
      <c r="K5" s="15"/>
      <c r="M5" s="17"/>
    </row>
    <row r="6" spans="1:13" x14ac:dyDescent="0.25">
      <c r="A6" s="30" t="s">
        <v>66</v>
      </c>
      <c r="B6" s="42">
        <v>0.03</v>
      </c>
      <c r="C6" s="42">
        <v>0.06</v>
      </c>
      <c r="D6" s="42">
        <v>0.4</v>
      </c>
      <c r="E6" s="42">
        <v>0.02</v>
      </c>
      <c r="G6" s="36">
        <v>0.1</v>
      </c>
      <c r="H6" s="15"/>
      <c r="I6" s="15"/>
      <c r="J6" s="15"/>
      <c r="K6" s="15"/>
      <c r="M6" s="17"/>
    </row>
    <row r="7" spans="1:13" x14ac:dyDescent="0.25">
      <c r="A7" s="30" t="s">
        <v>67</v>
      </c>
      <c r="B7" s="42">
        <v>0.05</v>
      </c>
      <c r="C7" s="42">
        <v>-0.04</v>
      </c>
      <c r="D7" s="42">
        <v>0.02</v>
      </c>
      <c r="E7" s="42">
        <v>0.5</v>
      </c>
      <c r="G7" s="36">
        <v>0.15</v>
      </c>
      <c r="H7" s="15"/>
      <c r="I7" s="15"/>
      <c r="J7" s="15"/>
      <c r="K7" s="15"/>
    </row>
    <row r="9" spans="1:13" x14ac:dyDescent="0.25">
      <c r="B9" s="30" t="s">
        <v>64</v>
      </c>
      <c r="C9" s="30" t="s">
        <v>65</v>
      </c>
      <c r="D9" s="30" t="s">
        <v>66</v>
      </c>
      <c r="E9" s="30" t="s">
        <v>67</v>
      </c>
      <c r="F9" s="43"/>
    </row>
    <row r="10" spans="1:13" x14ac:dyDescent="0.25">
      <c r="A10" t="s">
        <v>31</v>
      </c>
      <c r="B10" s="15">
        <v>0.2</v>
      </c>
      <c r="C10" s="15">
        <v>0.3</v>
      </c>
      <c r="D10" s="15">
        <v>0.4</v>
      </c>
      <c r="E10" s="44">
        <f>1-SUM(B10:D10)</f>
        <v>9.9999999999999978E-2</v>
      </c>
      <c r="F10" s="45" t="str">
        <f ca="1">"&lt;--"&amp;_xlfn.FORMULATEXT(E10)</f>
        <v>&lt;--=1-SUM(B10:D10)</v>
      </c>
      <c r="G10" s="15"/>
      <c r="H10" s="15"/>
      <c r="I10" s="15"/>
      <c r="J10" s="15"/>
    </row>
    <row r="11" spans="1:13" x14ac:dyDescent="0.25">
      <c r="A11" t="s">
        <v>32</v>
      </c>
      <c r="B11" s="15">
        <v>0.2</v>
      </c>
      <c r="C11" s="15">
        <v>0.1</v>
      </c>
      <c r="D11" s="15">
        <v>0.1</v>
      </c>
      <c r="E11" s="44">
        <f>1-SUM(B11:D11)</f>
        <v>0.6</v>
      </c>
      <c r="F11" s="45" t="str">
        <f ca="1">"&lt;--"&amp;_xlfn.FORMULATEXT(E11)</f>
        <v>&lt;--=1-SUM(B11:D11)</v>
      </c>
      <c r="G11" s="15"/>
      <c r="H11" s="15"/>
      <c r="I11" s="15"/>
      <c r="J11" s="15"/>
    </row>
    <row r="12" spans="1:13" x14ac:dyDescent="0.25">
      <c r="G12" s="15"/>
      <c r="H12" s="15"/>
      <c r="I12" s="15"/>
      <c r="J12" s="15"/>
    </row>
    <row r="13" spans="1:13" x14ac:dyDescent="0.25">
      <c r="A13" s="7" t="s">
        <v>33</v>
      </c>
      <c r="G13" s="15"/>
      <c r="H13" s="15"/>
      <c r="I13" s="15"/>
      <c r="J13" s="15"/>
    </row>
    <row r="14" spans="1:13" x14ac:dyDescent="0.25">
      <c r="A14" s="7"/>
      <c r="B14" s="7" t="str">
        <f>A10</f>
        <v>Portfolio x</v>
      </c>
      <c r="C14" s="7" t="str">
        <f>A11</f>
        <v>Portfolio y</v>
      </c>
      <c r="G14" s="15"/>
      <c r="H14" s="15"/>
      <c r="I14" s="15"/>
      <c r="J14" s="15"/>
    </row>
    <row r="15" spans="1:13" ht="16.2" x14ac:dyDescent="0.35">
      <c r="A15" t="s">
        <v>68</v>
      </c>
      <c r="B15" s="1">
        <f t="array" ref="B15">MMULT(B10:E10,G4:G7)</f>
        <v>9.1000000000000011E-2</v>
      </c>
      <c r="C15" s="3">
        <f t="array" ref="C15">MMULT(B11:E11,G4:G7)</f>
        <v>0.12</v>
      </c>
      <c r="D15" t="str">
        <f ca="1">"&lt;--"&amp;_xlfn.FORMULATEXT(C15)</f>
        <v>&lt;--{=MMULT(B11:E11,G4:G7)}</v>
      </c>
      <c r="G15" s="15"/>
      <c r="H15" s="15"/>
      <c r="I15" s="15"/>
      <c r="J15" s="15"/>
    </row>
    <row r="16" spans="1:13" ht="17.399999999999999" x14ac:dyDescent="0.35">
      <c r="A16" t="s">
        <v>69</v>
      </c>
      <c r="B16">
        <f t="array" ref="B16">MMULT(MMULT(B10:E10,B4:E7),TRANSPOSE(B10:E10))</f>
        <v>0.1216</v>
      </c>
      <c r="C16">
        <f t="array" ref="C16">MMULT(MMULT(B11:E11,B4:E7),TRANSPOSE(B11:E11))</f>
        <v>0.2034</v>
      </c>
      <c r="D16" s="68" t="str">
        <f ca="1">"&lt;--"&amp;_xlfn.FORMULATEXT(C16)</f>
        <v>&lt;--{=MMULT(MMULT(B11:E11,B4:E7),TRANSPOSE(B11:E11))}</v>
      </c>
      <c r="E16" s="68"/>
      <c r="F16" s="68"/>
      <c r="G16" s="68"/>
      <c r="H16" s="68"/>
    </row>
    <row r="17" spans="1:6" ht="15.6" x14ac:dyDescent="0.35">
      <c r="A17" t="s">
        <v>70</v>
      </c>
      <c r="B17" s="3">
        <f>SQRT(B16)</f>
        <v>0.34871191548325386</v>
      </c>
      <c r="C17" s="3">
        <f>SQRT(C16)</f>
        <v>0.45099889135118726</v>
      </c>
      <c r="D17" s="13" t="str">
        <f ca="1">"&lt;--"&amp;_xlfn.FORMULATEXT(C17)</f>
        <v>&lt;--=SQRT(C16)</v>
      </c>
      <c r="E17" s="3"/>
    </row>
    <row r="18" spans="1:6" x14ac:dyDescent="0.25">
      <c r="A18" t="s">
        <v>34</v>
      </c>
      <c r="B18">
        <f t="array" ref="B18">MMULT(MMULT(B10:E10,B4:E7),TRANSPOSE(B11:E11))</f>
        <v>7.1399999999999991E-2</v>
      </c>
      <c r="C18" t="str">
        <f ca="1">"&lt;--"&amp;_xlfn.FORMULATEXT(B18)</f>
        <v>&lt;--{=MMULT(MMULT(B10:E10,B4:E7),TRANSPOSE(B11:E11))}</v>
      </c>
      <c r="D18" s="32"/>
    </row>
    <row r="19" spans="1:6" ht="17.55" customHeight="1" x14ac:dyDescent="0.35">
      <c r="A19" t="s">
        <v>35</v>
      </c>
      <c r="B19" s="2">
        <f>B18/(B17*C17)</f>
        <v>0.45400010156574272</v>
      </c>
      <c r="C19" t="str">
        <f ca="1">"&lt;--"&amp;_xlfn.FORMULATEXT(B19)</f>
        <v>&lt;--=B18/(B17*C17)</v>
      </c>
      <c r="D19" s="32"/>
      <c r="F19" s="46"/>
    </row>
    <row r="21" spans="1:6" x14ac:dyDescent="0.25">
      <c r="A21" s="7" t="s">
        <v>36</v>
      </c>
    </row>
    <row r="22" spans="1:6" x14ac:dyDescent="0.25">
      <c r="A22" t="s">
        <v>71</v>
      </c>
      <c r="C22">
        <v>0.3</v>
      </c>
    </row>
    <row r="23" spans="1:6" ht="16.2" x14ac:dyDescent="0.35">
      <c r="A23" s="46" t="s">
        <v>38</v>
      </c>
      <c r="C23" s="1">
        <f>C22*B15+(1-C22)*C15</f>
        <v>0.1113</v>
      </c>
      <c r="D23" t="str">
        <f ca="1">getformula(C23)</f>
        <v>&lt;--  =C22*B15+(1-C22)*C15</v>
      </c>
    </row>
    <row r="24" spans="1:6" ht="17.399999999999999" x14ac:dyDescent="0.35">
      <c r="A24" s="46" t="s">
        <v>39</v>
      </c>
      <c r="C24" s="2">
        <f>C22^2*B16+(1-C22)^2*C16+2*C22*(1-C22)*B18</f>
        <v>0.14059799999999997</v>
      </c>
      <c r="D24" t="str">
        <f ca="1">getformula(C24)</f>
        <v>&lt;--  =C22^2*B16+(1-C22)^2*C16+2*C22*(1-C22)*B18</v>
      </c>
    </row>
    <row r="25" spans="1:6" ht="16.2" x14ac:dyDescent="0.35">
      <c r="A25" s="46" t="s">
        <v>72</v>
      </c>
      <c r="C25" s="1">
        <f>SQRT(C24)</f>
        <v>0.37496399827183408</v>
      </c>
      <c r="D25" t="str">
        <f ca="1">getformula(C25)</f>
        <v>&lt;--  =SQRT(C24)</v>
      </c>
    </row>
    <row r="27" spans="1:6" x14ac:dyDescent="0.25">
      <c r="A27" s="7" t="s">
        <v>40</v>
      </c>
    </row>
    <row r="28" spans="1:6" ht="27.6" x14ac:dyDescent="0.25">
      <c r="A28" s="16" t="s">
        <v>37</v>
      </c>
      <c r="B28" s="16" t="s">
        <v>16</v>
      </c>
      <c r="C28" s="16" t="s">
        <v>41</v>
      </c>
    </row>
    <row r="29" spans="1:6" x14ac:dyDescent="0.25">
      <c r="B29" s="3">
        <f>C25</f>
        <v>0.37496399827183408</v>
      </c>
      <c r="C29" s="3">
        <f>C23</f>
        <v>0.1113</v>
      </c>
      <c r="D29" t="str">
        <f ca="1">"&lt;--"&amp;_xlfn.FORMULATEXT(C29)&amp;", data table header"</f>
        <v>&lt;--=C23, data table header</v>
      </c>
    </row>
    <row r="30" spans="1:6" x14ac:dyDescent="0.25">
      <c r="A30" s="18">
        <v>-0.5</v>
      </c>
      <c r="B30" s="1">
        <f t="dataTable" ref="B30:C49" dt2D="0" dtr="0" r1="C22"/>
        <v>0.6172114710534794</v>
      </c>
      <c r="C30" s="1">
        <v>0.13449999999999998</v>
      </c>
    </row>
    <row r="31" spans="1:6" x14ac:dyDescent="0.25">
      <c r="A31" s="18">
        <v>-0.4</v>
      </c>
      <c r="B31" s="1">
        <v>0.58150838343054012</v>
      </c>
      <c r="C31" s="1">
        <v>0.13159999999999997</v>
      </c>
    </row>
    <row r="32" spans="1:6" x14ac:dyDescent="0.25">
      <c r="A32" s="18">
        <v>-0.3</v>
      </c>
      <c r="B32" s="1">
        <v>0.54680709578424458</v>
      </c>
      <c r="C32" s="1">
        <v>0.12870000000000001</v>
      </c>
    </row>
    <row r="33" spans="1:3" x14ac:dyDescent="0.25">
      <c r="A33" s="18">
        <v>-0.2</v>
      </c>
      <c r="B33" s="1">
        <v>0.51331082201722567</v>
      </c>
      <c r="C33" s="1">
        <v>0.1258</v>
      </c>
    </row>
    <row r="34" spans="1:3" x14ac:dyDescent="0.25">
      <c r="A34" s="18">
        <v>-0.1</v>
      </c>
      <c r="B34" s="1">
        <v>0.48127123329781518</v>
      </c>
      <c r="C34" s="1">
        <v>0.12290000000000001</v>
      </c>
    </row>
    <row r="35" spans="1:3" x14ac:dyDescent="0.25">
      <c r="A35" s="18">
        <v>0</v>
      </c>
      <c r="B35" s="1">
        <v>0.45099889135118726</v>
      </c>
      <c r="C35" s="1">
        <v>0.12</v>
      </c>
    </row>
    <row r="36" spans="1:3" x14ac:dyDescent="0.25">
      <c r="A36" s="18">
        <v>0.1</v>
      </c>
      <c r="B36" s="1">
        <v>0.42287350354449971</v>
      </c>
      <c r="C36" s="1">
        <v>0.1171</v>
      </c>
    </row>
    <row r="37" spans="1:3" x14ac:dyDescent="0.25">
      <c r="A37" s="18">
        <v>0.2</v>
      </c>
      <c r="B37" s="1">
        <v>0.39735123002200462</v>
      </c>
      <c r="C37" s="1">
        <v>0.11420000000000001</v>
      </c>
    </row>
    <row r="38" spans="1:3" x14ac:dyDescent="0.25">
      <c r="A38" s="18">
        <v>0.3</v>
      </c>
      <c r="B38" s="1">
        <v>0.37496399827183408</v>
      </c>
      <c r="C38" s="1">
        <v>0.1113</v>
      </c>
    </row>
    <row r="39" spans="1:3" x14ac:dyDescent="0.25">
      <c r="A39" s="18">
        <v>0.4</v>
      </c>
      <c r="B39" s="1">
        <v>0.35630324163554844</v>
      </c>
      <c r="C39" s="1">
        <v>0.1084</v>
      </c>
    </row>
    <row r="40" spans="1:3" x14ac:dyDescent="0.25">
      <c r="A40" s="18">
        <v>0.5</v>
      </c>
      <c r="B40" s="1">
        <v>0.3419795315512319</v>
      </c>
      <c r="C40" s="1">
        <v>0.10550000000000001</v>
      </c>
    </row>
    <row r="41" spans="1:3" x14ac:dyDescent="0.25">
      <c r="A41" s="18">
        <v>0.6</v>
      </c>
      <c r="B41" s="1">
        <v>0.33255375505322443</v>
      </c>
      <c r="C41" s="1">
        <v>0.1026</v>
      </c>
    </row>
    <row r="42" spans="1:3" x14ac:dyDescent="0.25">
      <c r="A42" s="18">
        <v>0.7</v>
      </c>
      <c r="B42" s="1">
        <v>0.3284478649648982</v>
      </c>
      <c r="C42" s="1">
        <v>9.9700000000000011E-2</v>
      </c>
    </row>
    <row r="43" spans="1:3" x14ac:dyDescent="0.25">
      <c r="A43" s="18">
        <v>0.8</v>
      </c>
      <c r="B43" s="1">
        <v>0.32986057660775409</v>
      </c>
      <c r="C43" s="1">
        <v>9.6800000000000011E-2</v>
      </c>
    </row>
    <row r="44" spans="1:3" x14ac:dyDescent="0.25">
      <c r="A44" s="18">
        <v>0.9</v>
      </c>
      <c r="B44" s="1">
        <v>0.33672243762481879</v>
      </c>
      <c r="C44" s="1">
        <v>9.3900000000000011E-2</v>
      </c>
    </row>
    <row r="45" spans="1:3" x14ac:dyDescent="0.25">
      <c r="A45" s="18">
        <v>1</v>
      </c>
      <c r="B45" s="1">
        <v>0.34871191548325386</v>
      </c>
      <c r="C45" s="1">
        <v>9.1000000000000011E-2</v>
      </c>
    </row>
    <row r="46" spans="1:3" x14ac:dyDescent="0.25">
      <c r="A46" s="18">
        <v>1.1000000000000001</v>
      </c>
      <c r="B46" s="1">
        <v>0.36532451327552606</v>
      </c>
      <c r="C46" s="1">
        <v>8.8100000000000012E-2</v>
      </c>
    </row>
    <row r="47" spans="1:3" x14ac:dyDescent="0.25">
      <c r="A47" s="18">
        <v>1.2</v>
      </c>
      <c r="B47" s="1">
        <v>0.38596372886580932</v>
      </c>
      <c r="C47" s="1">
        <v>8.5200000000000012E-2</v>
      </c>
    </row>
    <row r="48" spans="1:3" x14ac:dyDescent="0.25">
      <c r="A48" s="18">
        <v>1.3</v>
      </c>
      <c r="B48" s="1">
        <v>0.41002195063191438</v>
      </c>
      <c r="C48" s="1">
        <v>8.2300000000000012E-2</v>
      </c>
    </row>
    <row r="49" spans="1:3" x14ac:dyDescent="0.25">
      <c r="A49" s="18">
        <v>1.4</v>
      </c>
      <c r="B49" s="1">
        <v>0.43693477774148393</v>
      </c>
      <c r="C49" s="1">
        <v>7.9400000000000026E-2</v>
      </c>
    </row>
  </sheetData>
  <mergeCells count="4">
    <mergeCell ref="D16:H16"/>
    <mergeCell ref="A1:H1"/>
    <mergeCell ref="B2:E2"/>
    <mergeCell ref="G2:G3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0445A-FA9B-41D8-80E0-8C20936A4378}">
  <sheetPr codeName="Sheet10"/>
  <dimension ref="A1:M49"/>
  <sheetViews>
    <sheetView workbookViewId="0">
      <selection activeCell="L20" sqref="L20"/>
    </sheetView>
  </sheetViews>
  <sheetFormatPr defaultRowHeight="13.8" x14ac:dyDescent="0.25"/>
  <cols>
    <col min="1" max="1" width="13.8984375" customWidth="1"/>
    <col min="2" max="2" width="9.69921875" bestFit="1" customWidth="1"/>
    <col min="3" max="3" width="9.69921875" customWidth="1"/>
    <col min="4" max="5" width="8.796875" customWidth="1"/>
    <col min="6" max="6" width="6.796875" bestFit="1" customWidth="1"/>
    <col min="7" max="7" width="11.5" customWidth="1"/>
  </cols>
  <sheetData>
    <row r="1" spans="1:13" ht="17.399999999999999" x14ac:dyDescent="0.3">
      <c r="A1" s="67" t="s">
        <v>28</v>
      </c>
      <c r="B1" s="67"/>
      <c r="C1" s="67"/>
      <c r="D1" s="67"/>
      <c r="E1" s="67"/>
      <c r="F1" s="67"/>
      <c r="G1" s="67"/>
      <c r="H1" s="67"/>
    </row>
    <row r="2" spans="1:13" x14ac:dyDescent="0.25">
      <c r="B2" s="69" t="s">
        <v>29</v>
      </c>
      <c r="C2" s="69"/>
      <c r="D2" s="69"/>
      <c r="E2" s="69"/>
      <c r="G2" s="70" t="s">
        <v>30</v>
      </c>
      <c r="H2" s="15"/>
      <c r="I2" s="15"/>
      <c r="J2" s="15"/>
      <c r="K2" s="15"/>
      <c r="M2" s="17"/>
    </row>
    <row r="3" spans="1:13" x14ac:dyDescent="0.25">
      <c r="A3" s="31"/>
      <c r="B3" s="30" t="s">
        <v>64</v>
      </c>
      <c r="C3" s="30" t="s">
        <v>65</v>
      </c>
      <c r="D3" s="30" t="s">
        <v>66</v>
      </c>
      <c r="E3" s="30" t="s">
        <v>67</v>
      </c>
      <c r="G3" s="70"/>
      <c r="H3" s="15"/>
      <c r="I3" s="15"/>
      <c r="J3" s="15" t="s">
        <v>73</v>
      </c>
      <c r="K3" s="15"/>
      <c r="M3" s="17"/>
    </row>
    <row r="4" spans="1:13" x14ac:dyDescent="0.25">
      <c r="A4" s="30" t="s">
        <v>64</v>
      </c>
      <c r="B4" s="42">
        <v>0.1</v>
      </c>
      <c r="C4" s="42">
        <v>0.01</v>
      </c>
      <c r="D4" s="42">
        <v>0.03</v>
      </c>
      <c r="E4" s="42">
        <v>0.05</v>
      </c>
      <c r="G4" s="36">
        <v>0.06</v>
      </c>
      <c r="H4" s="15"/>
      <c r="I4" s="15"/>
      <c r="J4" s="15">
        <f>SQRT(B4)</f>
        <v>0.31622776601683794</v>
      </c>
      <c r="K4" s="15" t="str">
        <f ca="1">"&lt;--"&amp;_xlfn.FORMULATEXT(J4)</f>
        <v>&lt;--=SQRT(B4)</v>
      </c>
      <c r="M4" s="17"/>
    </row>
    <row r="5" spans="1:13" x14ac:dyDescent="0.25">
      <c r="A5" s="30" t="s">
        <v>65</v>
      </c>
      <c r="B5" s="42">
        <v>0.01</v>
      </c>
      <c r="C5" s="42">
        <v>0.3</v>
      </c>
      <c r="D5" s="42">
        <v>0.06</v>
      </c>
      <c r="E5" s="42">
        <v>-0.04</v>
      </c>
      <c r="G5" s="36">
        <v>0.08</v>
      </c>
      <c r="H5" s="15"/>
      <c r="I5" s="15"/>
      <c r="J5" s="15">
        <f>SQRT(C5)</f>
        <v>0.54772255750516607</v>
      </c>
      <c r="K5" s="15" t="str">
        <f ca="1">"&lt;--"&amp;_xlfn.FORMULATEXT(J5)</f>
        <v>&lt;--=SQRT(C5)</v>
      </c>
      <c r="M5" s="17"/>
    </row>
    <row r="6" spans="1:13" x14ac:dyDescent="0.25">
      <c r="A6" s="30" t="s">
        <v>66</v>
      </c>
      <c r="B6" s="42">
        <v>0.03</v>
      </c>
      <c r="C6" s="42">
        <v>0.06</v>
      </c>
      <c r="D6" s="42">
        <v>0.4</v>
      </c>
      <c r="E6" s="42">
        <v>0.02</v>
      </c>
      <c r="G6" s="36">
        <v>0.1</v>
      </c>
      <c r="H6" s="15"/>
      <c r="I6" s="15"/>
      <c r="J6" s="15">
        <f>SQRT(D6)</f>
        <v>0.63245553203367588</v>
      </c>
      <c r="K6" s="15" t="str">
        <f ca="1">"&lt;--"&amp;_xlfn.FORMULATEXT(J6)</f>
        <v>&lt;--=SQRT(D6)</v>
      </c>
      <c r="M6" s="17"/>
    </row>
    <row r="7" spans="1:13" x14ac:dyDescent="0.25">
      <c r="A7" s="30" t="s">
        <v>67</v>
      </c>
      <c r="B7" s="42">
        <v>0.05</v>
      </c>
      <c r="C7" s="42">
        <v>-0.04</v>
      </c>
      <c r="D7" s="42">
        <v>0.02</v>
      </c>
      <c r="E7" s="42">
        <v>0.5</v>
      </c>
      <c r="G7" s="36">
        <v>0.15</v>
      </c>
      <c r="H7" s="15"/>
      <c r="I7" s="15"/>
      <c r="J7" s="15">
        <f>SQRT(E7)</f>
        <v>0.70710678118654757</v>
      </c>
      <c r="K7" s="15" t="str">
        <f ca="1">"&lt;--"&amp;_xlfn.FORMULATEXT(J7)</f>
        <v>&lt;--=SQRT(E7)</v>
      </c>
    </row>
    <row r="9" spans="1:13" x14ac:dyDescent="0.25">
      <c r="B9" s="30" t="s">
        <v>64</v>
      </c>
      <c r="C9" s="30" t="s">
        <v>65</v>
      </c>
      <c r="D9" s="30" t="s">
        <v>66</v>
      </c>
      <c r="E9" s="30" t="s">
        <v>67</v>
      </c>
      <c r="F9" s="43"/>
    </row>
    <row r="10" spans="1:13" x14ac:dyDescent="0.25">
      <c r="A10" t="s">
        <v>31</v>
      </c>
      <c r="B10" s="15">
        <v>0.2</v>
      </c>
      <c r="C10" s="15">
        <v>0.3</v>
      </c>
      <c r="D10" s="15">
        <v>0.4</v>
      </c>
      <c r="E10" s="44">
        <f>1-SUM(B10:D10)</f>
        <v>9.9999999999999978E-2</v>
      </c>
      <c r="F10" s="45" t="str">
        <f ca="1">"&lt;--"&amp;_xlfn.FORMULATEXT(E10)</f>
        <v>&lt;--=1-SUM(B10:D10)</v>
      </c>
      <c r="G10" s="15"/>
      <c r="H10" s="15"/>
      <c r="I10" s="15"/>
      <c r="J10" s="15"/>
    </row>
    <row r="11" spans="1:13" x14ac:dyDescent="0.25">
      <c r="A11" t="s">
        <v>32</v>
      </c>
      <c r="B11" s="15">
        <v>0.2</v>
      </c>
      <c r="C11" s="15">
        <v>0.1</v>
      </c>
      <c r="D11" s="15">
        <v>0.1</v>
      </c>
      <c r="E11" s="44">
        <f>1-SUM(B11:D11)</f>
        <v>0.6</v>
      </c>
      <c r="F11" s="45" t="str">
        <f ca="1">"&lt;--"&amp;_xlfn.FORMULATEXT(E11)</f>
        <v>&lt;--=1-SUM(B11:D11)</v>
      </c>
      <c r="G11" s="15"/>
      <c r="H11" s="15"/>
      <c r="I11" s="15"/>
      <c r="J11" s="15"/>
    </row>
    <row r="12" spans="1:13" x14ac:dyDescent="0.25">
      <c r="G12" s="15"/>
      <c r="H12" s="15"/>
      <c r="I12" s="15"/>
      <c r="J12" s="15"/>
    </row>
    <row r="13" spans="1:13" x14ac:dyDescent="0.25">
      <c r="A13" s="7" t="s">
        <v>33</v>
      </c>
      <c r="G13" s="15"/>
      <c r="H13" s="15"/>
      <c r="I13" s="15"/>
      <c r="J13" s="15"/>
    </row>
    <row r="14" spans="1:13" x14ac:dyDescent="0.25">
      <c r="A14" s="7"/>
      <c r="B14" s="7" t="str">
        <f>A10</f>
        <v>Portfolio x</v>
      </c>
      <c r="C14" s="7" t="str">
        <f>A11</f>
        <v>Portfolio y</v>
      </c>
      <c r="G14" s="15"/>
      <c r="H14" s="15"/>
      <c r="I14" s="15"/>
      <c r="J14" s="15"/>
    </row>
    <row r="15" spans="1:13" ht="16.2" x14ac:dyDescent="0.35">
      <c r="A15" t="s">
        <v>68</v>
      </c>
      <c r="B15" s="1">
        <f t="array" ref="B15">MMULT(B10:E10,G4:G7)</f>
        <v>9.1000000000000011E-2</v>
      </c>
      <c r="C15" s="3">
        <f t="array" ref="C15">MMULT(B11:E11,G4:G7)</f>
        <v>0.12</v>
      </c>
      <c r="D15" t="str">
        <f ca="1">"&lt;--"&amp;_xlfn.FORMULATEXT(C15)</f>
        <v>&lt;--{=MMULT(B11:E11,G4:G7)}</v>
      </c>
      <c r="G15" s="15"/>
      <c r="H15" s="15"/>
      <c r="I15" s="15"/>
      <c r="J15" s="15"/>
    </row>
    <row r="16" spans="1:13" ht="17.399999999999999" x14ac:dyDescent="0.35">
      <c r="A16" t="s">
        <v>69</v>
      </c>
      <c r="B16">
        <f t="array" ref="B16">MMULT(MMULT(B10:E10,B4:E7),TRANSPOSE(B10:E10))</f>
        <v>0.1216</v>
      </c>
      <c r="C16">
        <f t="array" ref="C16">MMULT(MMULT(B11:E11,B4:E7),TRANSPOSE(B11:E11))</f>
        <v>0.2034</v>
      </c>
      <c r="D16" s="68" t="str">
        <f ca="1">"&lt;--"&amp;_xlfn.FORMULATEXT(C16)</f>
        <v>&lt;--{=MMULT(MMULT(B11:E11,B4:E7),TRANSPOSE(B11:E11))}</v>
      </c>
      <c r="E16" s="68"/>
      <c r="F16" s="68"/>
      <c r="G16" s="68"/>
      <c r="H16" s="68"/>
    </row>
    <row r="17" spans="1:6" ht="15.6" x14ac:dyDescent="0.35">
      <c r="A17" t="s">
        <v>70</v>
      </c>
      <c r="B17" s="3">
        <f>SQRT(B16)</f>
        <v>0.34871191548325386</v>
      </c>
      <c r="C17" s="3">
        <f>SQRT(C16)</f>
        <v>0.45099889135118726</v>
      </c>
      <c r="D17" s="13" t="str">
        <f ca="1">"&lt;--"&amp;_xlfn.FORMULATEXT(C17)</f>
        <v>&lt;--=SQRT(C16)</v>
      </c>
      <c r="E17" s="3"/>
    </row>
    <row r="18" spans="1:6" x14ac:dyDescent="0.25">
      <c r="A18" t="s">
        <v>34</v>
      </c>
      <c r="B18">
        <f t="array" ref="B18">MMULT(MMULT(B10:E10,B4:E7),TRANSPOSE(B11:E11))</f>
        <v>7.1399999999999991E-2</v>
      </c>
      <c r="C18" t="str">
        <f ca="1">"&lt;--"&amp;_xlfn.FORMULATEXT(B18)</f>
        <v>&lt;--{=MMULT(MMULT(B10:E10,B4:E7),TRANSPOSE(B11:E11))}</v>
      </c>
      <c r="D18" s="32"/>
    </row>
    <row r="19" spans="1:6" ht="17.55" customHeight="1" x14ac:dyDescent="0.35">
      <c r="A19" t="s">
        <v>35</v>
      </c>
      <c r="B19" s="2">
        <f>B18/(B17*C17)</f>
        <v>0.45400010156574272</v>
      </c>
      <c r="C19" t="str">
        <f ca="1">"&lt;--"&amp;_xlfn.FORMULATEXT(B19)</f>
        <v>&lt;--=B18/(B17*C17)</v>
      </c>
      <c r="D19" s="32"/>
      <c r="F19" s="46"/>
    </row>
    <row r="21" spans="1:6" x14ac:dyDescent="0.25">
      <c r="A21" s="7" t="s">
        <v>36</v>
      </c>
    </row>
    <row r="22" spans="1:6" x14ac:dyDescent="0.25">
      <c r="A22" t="s">
        <v>71</v>
      </c>
      <c r="C22">
        <v>0.3</v>
      </c>
    </row>
    <row r="23" spans="1:6" ht="16.2" x14ac:dyDescent="0.35">
      <c r="A23" s="46" t="s">
        <v>38</v>
      </c>
      <c r="C23" s="1">
        <f>C22*B15+(1-C22)*C15</f>
        <v>0.1113</v>
      </c>
      <c r="D23" t="str">
        <f ca="1">getformula(C23)</f>
        <v>&lt;--  =C22*B15+(1-C22)*C15</v>
      </c>
    </row>
    <row r="24" spans="1:6" ht="17.399999999999999" x14ac:dyDescent="0.35">
      <c r="A24" s="46" t="s">
        <v>39</v>
      </c>
      <c r="C24" s="2">
        <f>C22^2*B16+(1-C22)^2*C16+2*C22*(1-C22)*B18</f>
        <v>0.14059799999999997</v>
      </c>
      <c r="D24" t="str">
        <f ca="1">getformula(C24)</f>
        <v>&lt;--  =C22^2*B16+(1-C22)^2*C16+2*C22*(1-C22)*B18</v>
      </c>
    </row>
    <row r="25" spans="1:6" ht="16.2" x14ac:dyDescent="0.35">
      <c r="A25" s="46" t="s">
        <v>72</v>
      </c>
      <c r="C25" s="1">
        <f>SQRT(C24)</f>
        <v>0.37496399827183408</v>
      </c>
      <c r="D25" t="str">
        <f ca="1">getformula(C25)</f>
        <v>&lt;--  =SQRT(C24)</v>
      </c>
    </row>
    <row r="27" spans="1:6" x14ac:dyDescent="0.25">
      <c r="A27" s="7" t="s">
        <v>40</v>
      </c>
    </row>
    <row r="28" spans="1:6" ht="27.6" x14ac:dyDescent="0.25">
      <c r="A28" s="16" t="s">
        <v>37</v>
      </c>
      <c r="B28" s="16" t="s">
        <v>16</v>
      </c>
      <c r="C28" s="16" t="s">
        <v>41</v>
      </c>
    </row>
    <row r="29" spans="1:6" x14ac:dyDescent="0.25">
      <c r="B29" s="3">
        <f>C25</f>
        <v>0.37496399827183408</v>
      </c>
      <c r="C29" s="3">
        <f>C23</f>
        <v>0.1113</v>
      </c>
      <c r="D29" t="str">
        <f ca="1">"&lt;--"&amp;_xlfn.FORMULATEXT(C29)&amp;", data table header"</f>
        <v>&lt;--=C23, data table header</v>
      </c>
    </row>
    <row r="30" spans="1:6" x14ac:dyDescent="0.25">
      <c r="A30" s="42">
        <v>-1</v>
      </c>
      <c r="B30" s="1">
        <f t="dataTable" ref="B30:C49" dt2D="0" dtr="0" r1="C22"/>
        <v>0.80597766718439545</v>
      </c>
      <c r="C30" s="1">
        <v>0.14899999999999997</v>
      </c>
    </row>
    <row r="31" spans="1:6" x14ac:dyDescent="0.25">
      <c r="A31" s="42">
        <f>A30+0.15</f>
        <v>-0.85</v>
      </c>
      <c r="B31" s="1">
        <v>0.74795688378408554</v>
      </c>
      <c r="C31" s="1">
        <v>0.14465</v>
      </c>
    </row>
    <row r="32" spans="1:6" x14ac:dyDescent="0.25">
      <c r="A32" s="42">
        <f t="shared" ref="A32:A49" si="0">A31+0.15</f>
        <v>-0.7</v>
      </c>
      <c r="B32" s="1">
        <v>0.69099782922958586</v>
      </c>
      <c r="C32" s="1">
        <v>0.14029999999999998</v>
      </c>
    </row>
    <row r="33" spans="1:3" x14ac:dyDescent="0.25">
      <c r="A33" s="42">
        <f t="shared" si="0"/>
        <v>-0.54999999999999993</v>
      </c>
      <c r="B33" s="1">
        <v>0.6353861030900817</v>
      </c>
      <c r="C33" s="1">
        <v>0.13594999999999996</v>
      </c>
    </row>
    <row r="34" spans="1:3" x14ac:dyDescent="0.25">
      <c r="A34" s="42">
        <f t="shared" si="0"/>
        <v>-0.39999999999999991</v>
      </c>
      <c r="B34" s="1">
        <v>0.58150838343054001</v>
      </c>
      <c r="C34" s="1">
        <v>0.13159999999999999</v>
      </c>
    </row>
    <row r="35" spans="1:3" x14ac:dyDescent="0.25">
      <c r="A35" s="42">
        <f t="shared" si="0"/>
        <v>-0.24999999999999992</v>
      </c>
      <c r="B35" s="1">
        <v>0.52989385729596827</v>
      </c>
      <c r="C35" s="1">
        <v>0.12725</v>
      </c>
    </row>
    <row r="36" spans="1:3" x14ac:dyDescent="0.25">
      <c r="A36" s="42">
        <f t="shared" si="0"/>
        <v>-9.9999999999999922E-2</v>
      </c>
      <c r="B36" s="1">
        <v>0.48127123329781507</v>
      </c>
      <c r="C36" s="1">
        <v>0.12289999999999998</v>
      </c>
    </row>
    <row r="37" spans="1:3" x14ac:dyDescent="0.25">
      <c r="A37" s="42">
        <f t="shared" si="0"/>
        <v>5.0000000000000072E-2</v>
      </c>
      <c r="B37" s="1">
        <v>0.43664115701568951</v>
      </c>
      <c r="C37" s="1">
        <v>0.11855</v>
      </c>
    </row>
    <row r="38" spans="1:3" x14ac:dyDescent="0.25">
      <c r="A38" s="42">
        <f t="shared" si="0"/>
        <v>0.20000000000000007</v>
      </c>
      <c r="B38" s="1">
        <v>0.39735123002200456</v>
      </c>
      <c r="C38" s="1">
        <v>0.1142</v>
      </c>
    </row>
    <row r="39" spans="1:3" x14ac:dyDescent="0.25">
      <c r="A39" s="42">
        <f t="shared" si="0"/>
        <v>0.35000000000000009</v>
      </c>
      <c r="B39" s="1">
        <v>0.36512942910699486</v>
      </c>
      <c r="C39" s="1">
        <v>0.10985</v>
      </c>
    </row>
    <row r="40" spans="1:3" x14ac:dyDescent="0.25">
      <c r="A40" s="42">
        <f t="shared" si="0"/>
        <v>0.50000000000000011</v>
      </c>
      <c r="B40" s="1">
        <v>0.34197953155123184</v>
      </c>
      <c r="C40" s="1">
        <v>0.1055</v>
      </c>
    </row>
    <row r="41" spans="1:3" x14ac:dyDescent="0.25">
      <c r="A41" s="42">
        <f t="shared" si="0"/>
        <v>0.65000000000000013</v>
      </c>
      <c r="B41" s="1">
        <v>0.32981737370854192</v>
      </c>
      <c r="C41" s="1">
        <v>0.10115</v>
      </c>
    </row>
    <row r="42" spans="1:3" x14ac:dyDescent="0.25">
      <c r="A42" s="42">
        <f t="shared" si="0"/>
        <v>0.80000000000000016</v>
      </c>
      <c r="B42" s="1">
        <v>0.32986057660775409</v>
      </c>
      <c r="C42" s="1">
        <v>9.6799999999999997E-2</v>
      </c>
    </row>
    <row r="43" spans="1:3" x14ac:dyDescent="0.25">
      <c r="A43" s="42">
        <f t="shared" si="0"/>
        <v>0.95000000000000018</v>
      </c>
      <c r="B43" s="1">
        <v>0.34210451619351651</v>
      </c>
      <c r="C43" s="1">
        <v>9.2450000000000004E-2</v>
      </c>
    </row>
    <row r="44" spans="1:3" x14ac:dyDescent="0.25">
      <c r="A44" s="42">
        <f t="shared" si="0"/>
        <v>1.1000000000000001</v>
      </c>
      <c r="B44" s="1">
        <v>0.36532451327552606</v>
      </c>
      <c r="C44" s="1">
        <v>8.8100000000000012E-2</v>
      </c>
    </row>
    <row r="45" spans="1:3" x14ac:dyDescent="0.25">
      <c r="A45" s="42">
        <f t="shared" si="0"/>
        <v>1.25</v>
      </c>
      <c r="B45" s="1">
        <v>0.39760218812275167</v>
      </c>
      <c r="C45" s="1">
        <v>8.3750000000000019E-2</v>
      </c>
    </row>
    <row r="46" spans="1:3" x14ac:dyDescent="0.25">
      <c r="A46" s="42">
        <f t="shared" si="0"/>
        <v>1.4</v>
      </c>
      <c r="B46" s="1">
        <v>0.43693477774148393</v>
      </c>
      <c r="C46" s="1">
        <v>7.9400000000000026E-2</v>
      </c>
    </row>
    <row r="47" spans="1:3" x14ac:dyDescent="0.25">
      <c r="A47" s="42">
        <f t="shared" si="0"/>
        <v>1.5499999999999998</v>
      </c>
      <c r="B47" s="1">
        <v>0.48159682307922252</v>
      </c>
      <c r="C47" s="1">
        <v>7.5050000000000033E-2</v>
      </c>
    </row>
    <row r="48" spans="1:3" x14ac:dyDescent="0.25">
      <c r="A48" s="42">
        <f t="shared" si="0"/>
        <v>1.6999999999999997</v>
      </c>
      <c r="B48" s="1">
        <v>0.5302433403636484</v>
      </c>
      <c r="C48" s="1">
        <v>7.0700000000000041E-2</v>
      </c>
    </row>
    <row r="49" spans="1:3" x14ac:dyDescent="0.25">
      <c r="A49" s="42">
        <f t="shared" si="0"/>
        <v>1.8499999999999996</v>
      </c>
      <c r="B49" s="1">
        <v>0.58187584586404673</v>
      </c>
      <c r="C49" s="1">
        <v>6.6350000000000048E-2</v>
      </c>
    </row>
  </sheetData>
  <mergeCells count="4">
    <mergeCell ref="A1:H1"/>
    <mergeCell ref="B2:E2"/>
    <mergeCell ref="G2:G3"/>
    <mergeCell ref="D16:H16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F96D9-4BD9-4D0F-AA18-2A42F3B26353}">
  <sheetPr codeName="Sheet11"/>
  <dimension ref="A1:X2772"/>
  <sheetViews>
    <sheetView workbookViewId="0">
      <selection activeCell="A5" sqref="A5"/>
    </sheetView>
  </sheetViews>
  <sheetFormatPr defaultRowHeight="13.8" x14ac:dyDescent="0.25"/>
  <cols>
    <col min="2" max="2" width="9.8984375" customWidth="1"/>
    <col min="3" max="3" width="8.796875" bestFit="1" customWidth="1"/>
    <col min="4" max="4" width="12.09765625" bestFit="1" customWidth="1"/>
    <col min="5" max="5" width="13.296875" customWidth="1"/>
    <col min="6" max="6" width="12.796875" customWidth="1"/>
    <col min="7" max="7" width="12.296875" bestFit="1" customWidth="1"/>
    <col min="8" max="8" width="21.5" bestFit="1" customWidth="1"/>
    <col min="12" max="12" width="9.296875" bestFit="1" customWidth="1"/>
    <col min="13" max="17" width="8.796875" style="6" customWidth="1"/>
    <col min="18" max="18" width="8.796875" style="58" customWidth="1"/>
    <col min="23" max="23" width="9.296875" bestFit="1" customWidth="1"/>
    <col min="24" max="24" width="9.3984375" style="49" bestFit="1" customWidth="1"/>
  </cols>
  <sheetData>
    <row r="1" spans="1:24" ht="17.399999999999999" x14ac:dyDescent="0.3">
      <c r="A1" s="67" t="s">
        <v>81</v>
      </c>
      <c r="B1" s="67"/>
      <c r="C1" s="67"/>
      <c r="D1" s="67"/>
      <c r="E1" s="67"/>
      <c r="F1" s="67"/>
    </row>
    <row r="2" spans="1:24" s="8" customFormat="1" ht="41.4" x14ac:dyDescent="0.25">
      <c r="A2" s="56" t="s">
        <v>82</v>
      </c>
      <c r="B2" s="56" t="s">
        <v>83</v>
      </c>
      <c r="C2" s="56" t="s">
        <v>84</v>
      </c>
      <c r="D2" s="56" t="s">
        <v>85</v>
      </c>
      <c r="E2" s="56" t="s">
        <v>86</v>
      </c>
      <c r="L2" s="7" t="s">
        <v>6</v>
      </c>
      <c r="M2" s="57" t="s">
        <v>74</v>
      </c>
      <c r="N2" s="57" t="s">
        <v>75</v>
      </c>
      <c r="O2" s="57" t="s">
        <v>76</v>
      </c>
      <c r="P2" s="57" t="s">
        <v>77</v>
      </c>
      <c r="Q2" s="57" t="s">
        <v>78</v>
      </c>
      <c r="R2" s="59" t="s">
        <v>79</v>
      </c>
      <c r="S2" s="7"/>
      <c r="T2" s="7"/>
      <c r="U2" s="7"/>
      <c r="V2" s="7"/>
      <c r="W2" s="7" t="s">
        <v>6</v>
      </c>
      <c r="X2" s="52" t="s">
        <v>80</v>
      </c>
    </row>
    <row r="3" spans="1:24" x14ac:dyDescent="0.25">
      <c r="A3">
        <v>2007</v>
      </c>
      <c r="B3" s="6">
        <f t="shared" ref="B3:B14" si="0">VLOOKUP(DATE(A3,12,31),L:R,5,1)</f>
        <v>52.43</v>
      </c>
      <c r="C3" s="6"/>
      <c r="F3" t="str">
        <f ca="1">_xlfn.FORMULATEXT(D4)</f>
        <v>=(B4+C4)/B3-1</v>
      </c>
      <c r="L3" s="47">
        <v>39447</v>
      </c>
      <c r="M3" s="48">
        <v>52.650002000000001</v>
      </c>
      <c r="N3" s="48">
        <v>52.990001999999997</v>
      </c>
      <c r="O3" s="48">
        <v>52.349997999999999</v>
      </c>
      <c r="P3" s="48">
        <v>52.43</v>
      </c>
      <c r="Q3" s="48">
        <v>37.224125000000001</v>
      </c>
      <c r="R3" s="60">
        <v>718700</v>
      </c>
      <c r="S3" s="8"/>
      <c r="T3" s="8"/>
      <c r="U3" s="8"/>
      <c r="V3" s="8"/>
      <c r="W3" s="26">
        <v>39507</v>
      </c>
      <c r="X3" s="49">
        <v>0.31</v>
      </c>
    </row>
    <row r="4" spans="1:24" x14ac:dyDescent="0.25">
      <c r="A4">
        <v>2008</v>
      </c>
      <c r="B4" s="6">
        <f t="shared" si="0"/>
        <v>43.849997999999999</v>
      </c>
      <c r="C4" s="6">
        <f t="shared" ref="C4:C14" si="1">SUMIFS(X:X,W:W,"&gt;="&amp;DATE(A4,1,1), W:W,"&lt;="&amp;DATE(A4,12,31))</f>
        <v>1.3</v>
      </c>
      <c r="D4" s="51">
        <f>(B4+C4)/B3-1</f>
        <v>-0.13885184054930388</v>
      </c>
      <c r="E4" s="51">
        <f>LN(SUM(B4:C4)/B3)</f>
        <v>-0.14948871101823652</v>
      </c>
      <c r="F4" t="str">
        <f ca="1">"&lt;--"&amp;_xlfn.FORMULATEXT(E4)</f>
        <v>&lt;--=LN(SUM(B4:C4)/B3)</v>
      </c>
      <c r="L4" s="26">
        <v>39449</v>
      </c>
      <c r="M4" s="6">
        <v>52.299999</v>
      </c>
      <c r="N4" s="6">
        <v>52.41</v>
      </c>
      <c r="O4" s="6">
        <v>51.549999</v>
      </c>
      <c r="P4" s="6">
        <v>51.57</v>
      </c>
      <c r="Q4" s="6">
        <v>36.613537000000001</v>
      </c>
      <c r="R4" s="58">
        <v>1408700</v>
      </c>
      <c r="W4" s="26">
        <v>39597</v>
      </c>
      <c r="X4" s="49">
        <v>0.31</v>
      </c>
    </row>
    <row r="5" spans="1:24" x14ac:dyDescent="0.25">
      <c r="A5">
        <v>2009</v>
      </c>
      <c r="B5" s="6">
        <f t="shared" si="0"/>
        <v>53.200001</v>
      </c>
      <c r="C5" s="6">
        <f t="shared" si="1"/>
        <v>1.4300000000000002</v>
      </c>
      <c r="D5" s="51">
        <f t="shared" ref="D5:D14" si="2">(B5+C5)/B4-1</f>
        <v>0.24583816400630165</v>
      </c>
      <c r="E5" s="51">
        <f t="shared" ref="E5:E14" si="3">LN(SUM(B5:C5)/B4)</f>
        <v>0.21980852750442995</v>
      </c>
      <c r="L5" s="26">
        <v>39450</v>
      </c>
      <c r="M5" s="6">
        <v>51.549999</v>
      </c>
      <c r="N5" s="6">
        <v>52.09</v>
      </c>
      <c r="O5" s="6">
        <v>51.5</v>
      </c>
      <c r="P5" s="6">
        <v>51.740001999999997</v>
      </c>
      <c r="Q5" s="6">
        <v>36.734240999999997</v>
      </c>
      <c r="R5" s="58">
        <v>1119900</v>
      </c>
      <c r="W5" s="26">
        <v>39688</v>
      </c>
      <c r="X5" s="49">
        <v>0.34</v>
      </c>
    </row>
    <row r="6" spans="1:24" x14ac:dyDescent="0.25">
      <c r="A6">
        <v>2010</v>
      </c>
      <c r="B6" s="6">
        <f t="shared" si="0"/>
        <v>51.080002</v>
      </c>
      <c r="C6" s="6">
        <f t="shared" si="1"/>
        <v>1.56</v>
      </c>
      <c r="D6" s="51">
        <f t="shared" si="2"/>
        <v>-1.0526296794618473E-2</v>
      </c>
      <c r="E6" s="51">
        <f t="shared" si="3"/>
        <v>-1.0582090133608984E-2</v>
      </c>
      <c r="L6" s="26">
        <v>39451</v>
      </c>
      <c r="M6" s="6">
        <v>51.41</v>
      </c>
      <c r="N6" s="6">
        <v>52.009998000000003</v>
      </c>
      <c r="O6" s="6">
        <v>51.169998</v>
      </c>
      <c r="P6" s="6">
        <v>51.169998</v>
      </c>
      <c r="Q6" s="6">
        <v>36.329548000000003</v>
      </c>
      <c r="R6" s="58">
        <v>1380400</v>
      </c>
      <c r="W6" s="26">
        <v>39783</v>
      </c>
      <c r="X6" s="49">
        <v>0.34</v>
      </c>
    </row>
    <row r="7" spans="1:24" x14ac:dyDescent="0.25">
      <c r="A7">
        <v>2011</v>
      </c>
      <c r="B7" s="6">
        <f t="shared" si="0"/>
        <v>50.57</v>
      </c>
      <c r="C7" s="6">
        <f t="shared" si="1"/>
        <v>1.67</v>
      </c>
      <c r="D7" s="51">
        <f t="shared" si="2"/>
        <v>2.2709435289372193E-2</v>
      </c>
      <c r="E7" s="51">
        <f t="shared" si="3"/>
        <v>2.2455414649570075E-2</v>
      </c>
      <c r="L7" s="26">
        <v>39454</v>
      </c>
      <c r="M7" s="6">
        <v>51.380001</v>
      </c>
      <c r="N7" s="6">
        <v>52.369999</v>
      </c>
      <c r="O7" s="6">
        <v>51.380001</v>
      </c>
      <c r="P7" s="6">
        <v>52.259998000000003</v>
      </c>
      <c r="Q7" s="6">
        <v>37.103428000000001</v>
      </c>
      <c r="R7" s="58">
        <v>1758800</v>
      </c>
      <c r="W7" s="26">
        <v>39871</v>
      </c>
      <c r="X7" s="49">
        <v>0.34</v>
      </c>
    </row>
    <row r="8" spans="1:24" x14ac:dyDescent="0.25">
      <c r="A8">
        <v>2012</v>
      </c>
      <c r="B8" s="6">
        <f t="shared" si="0"/>
        <v>55.849997999999999</v>
      </c>
      <c r="C8" s="6">
        <f t="shared" si="1"/>
        <v>1.74</v>
      </c>
      <c r="D8" s="51">
        <f t="shared" si="2"/>
        <v>0.13881744117065464</v>
      </c>
      <c r="E8" s="51">
        <f t="shared" si="3"/>
        <v>0.1299903916984374</v>
      </c>
      <c r="L8" s="26">
        <v>39455</v>
      </c>
      <c r="M8" s="6">
        <v>52.599997999999999</v>
      </c>
      <c r="N8" s="6">
        <v>53</v>
      </c>
      <c r="O8" s="6">
        <v>52.099997999999999</v>
      </c>
      <c r="P8" s="6">
        <v>52.200001</v>
      </c>
      <c r="Q8" s="6">
        <v>37.060833000000002</v>
      </c>
      <c r="R8" s="58">
        <v>2018900</v>
      </c>
      <c r="W8" s="26">
        <v>39961</v>
      </c>
      <c r="X8" s="49">
        <v>0.34</v>
      </c>
    </row>
    <row r="9" spans="1:24" x14ac:dyDescent="0.25">
      <c r="A9">
        <v>2013</v>
      </c>
      <c r="B9" s="6">
        <f t="shared" si="0"/>
        <v>61.07</v>
      </c>
      <c r="C9" s="6">
        <f t="shared" si="1"/>
        <v>1.8</v>
      </c>
      <c r="D9" s="51">
        <f t="shared" si="2"/>
        <v>0.12569386305080976</v>
      </c>
      <c r="E9" s="51">
        <f t="shared" si="3"/>
        <v>0.11839961268996654</v>
      </c>
      <c r="L9" s="26">
        <v>39456</v>
      </c>
      <c r="M9" s="6">
        <v>52.16</v>
      </c>
      <c r="N9" s="6">
        <v>52.16</v>
      </c>
      <c r="O9" s="6">
        <v>51.389999000000003</v>
      </c>
      <c r="P9" s="6">
        <v>51.919998</v>
      </c>
      <c r="Q9" s="6">
        <v>36.862026</v>
      </c>
      <c r="R9" s="58">
        <v>2090500</v>
      </c>
      <c r="W9" s="26">
        <v>40053</v>
      </c>
      <c r="X9" s="49">
        <v>0.375</v>
      </c>
    </row>
    <row r="10" spans="1:24" x14ac:dyDescent="0.25">
      <c r="A10">
        <v>2014</v>
      </c>
      <c r="B10" s="6">
        <f t="shared" si="0"/>
        <v>65.440002000000007</v>
      </c>
      <c r="C10" s="6">
        <f t="shared" si="1"/>
        <v>1.9000000000000001</v>
      </c>
      <c r="D10" s="51">
        <f t="shared" si="2"/>
        <v>0.1026691010316032</v>
      </c>
      <c r="E10" s="51">
        <f t="shared" si="3"/>
        <v>9.7733696197914416E-2</v>
      </c>
      <c r="L10" s="26">
        <v>39457</v>
      </c>
      <c r="M10" s="6">
        <v>51.630001</v>
      </c>
      <c r="N10" s="6">
        <v>52.610000999999997</v>
      </c>
      <c r="O10" s="6">
        <v>51.560001</v>
      </c>
      <c r="P10" s="6">
        <v>52.400002000000001</v>
      </c>
      <c r="Q10" s="6">
        <v>37.202824</v>
      </c>
      <c r="R10" s="58">
        <v>1641800</v>
      </c>
      <c r="W10" s="26">
        <v>40147</v>
      </c>
      <c r="X10" s="49">
        <v>0.375</v>
      </c>
    </row>
    <row r="11" spans="1:24" x14ac:dyDescent="0.25">
      <c r="A11">
        <v>2015</v>
      </c>
      <c r="B11" s="6">
        <f t="shared" si="0"/>
        <v>72.269997000000004</v>
      </c>
      <c r="C11" s="6">
        <f t="shared" si="1"/>
        <v>1.98</v>
      </c>
      <c r="D11" s="51">
        <f t="shared" si="2"/>
        <v>0.13462705884391624</v>
      </c>
      <c r="E11" s="51">
        <f t="shared" si="3"/>
        <v>0.1263040144219294</v>
      </c>
      <c r="L11" s="26">
        <v>39458</v>
      </c>
      <c r="M11" s="6">
        <v>52.02</v>
      </c>
      <c r="N11" s="6">
        <v>52.049999</v>
      </c>
      <c r="O11" s="6">
        <v>50.720001000000003</v>
      </c>
      <c r="P11" s="6">
        <v>50.889999000000003</v>
      </c>
      <c r="Q11" s="6">
        <v>36.130763999999999</v>
      </c>
      <c r="R11" s="58">
        <v>2353800</v>
      </c>
      <c r="W11" s="26">
        <v>40235</v>
      </c>
      <c r="X11" s="49">
        <v>0.375</v>
      </c>
    </row>
    <row r="12" spans="1:24" x14ac:dyDescent="0.25">
      <c r="A12">
        <v>2016</v>
      </c>
      <c r="B12" s="6">
        <f t="shared" si="0"/>
        <v>73.709998999999996</v>
      </c>
      <c r="C12" s="6">
        <f t="shared" si="1"/>
        <v>2.04</v>
      </c>
      <c r="D12" s="51">
        <f t="shared" si="2"/>
        <v>4.8152790154398328E-2</v>
      </c>
      <c r="E12" s="51">
        <f t="shared" si="3"/>
        <v>4.7029367404269849E-2</v>
      </c>
      <c r="L12" s="26">
        <v>39461</v>
      </c>
      <c r="M12" s="6">
        <v>50.990001999999997</v>
      </c>
      <c r="N12" s="6">
        <v>51.150002000000001</v>
      </c>
      <c r="O12" s="6">
        <v>50.150002000000001</v>
      </c>
      <c r="P12" s="6">
        <v>50.200001</v>
      </c>
      <c r="Q12" s="6">
        <v>35.640869000000002</v>
      </c>
      <c r="R12" s="58">
        <v>2478900</v>
      </c>
      <c r="W12" s="26">
        <v>40325</v>
      </c>
      <c r="X12" s="49">
        <v>0.375</v>
      </c>
    </row>
    <row r="13" spans="1:24" x14ac:dyDescent="0.25">
      <c r="A13">
        <v>2017</v>
      </c>
      <c r="B13" s="6">
        <f t="shared" si="0"/>
        <v>67.980002999999996</v>
      </c>
      <c r="C13" s="6">
        <f t="shared" si="1"/>
        <v>2.12</v>
      </c>
      <c r="D13" s="51">
        <f t="shared" si="2"/>
        <v>-4.8975662040098511E-2</v>
      </c>
      <c r="E13" s="51">
        <f t="shared" si="3"/>
        <v>-5.0215624797967907E-2</v>
      </c>
      <c r="L13" s="26">
        <v>39462</v>
      </c>
      <c r="M13" s="6">
        <v>50.139999000000003</v>
      </c>
      <c r="N13" s="6">
        <v>50.169998</v>
      </c>
      <c r="O13" s="6">
        <v>49.150002000000001</v>
      </c>
      <c r="P13" s="6">
        <v>49.630001</v>
      </c>
      <c r="Q13" s="6">
        <v>35.236187000000001</v>
      </c>
      <c r="R13" s="58">
        <v>3533900</v>
      </c>
      <c r="W13" s="26">
        <v>40420</v>
      </c>
      <c r="X13" s="49">
        <v>0.40500000000000003</v>
      </c>
    </row>
    <row r="14" spans="1:24" x14ac:dyDescent="0.25">
      <c r="A14">
        <v>2018</v>
      </c>
      <c r="B14" s="6">
        <f t="shared" si="0"/>
        <v>57.009998000000003</v>
      </c>
      <c r="C14" s="6">
        <f t="shared" si="1"/>
        <v>2.2000000000000002</v>
      </c>
      <c r="D14" s="51">
        <f t="shared" si="2"/>
        <v>-0.12900859977896717</v>
      </c>
      <c r="E14" s="51">
        <f t="shared" si="3"/>
        <v>-0.13812317563298926</v>
      </c>
      <c r="L14" s="26">
        <v>39463</v>
      </c>
      <c r="M14" s="6">
        <v>49.5</v>
      </c>
      <c r="N14" s="6">
        <v>50.150002000000001</v>
      </c>
      <c r="O14" s="6">
        <v>49.310001</v>
      </c>
      <c r="P14" s="6">
        <v>49.599997999999999</v>
      </c>
      <c r="Q14" s="6">
        <v>35.214893000000004</v>
      </c>
      <c r="R14" s="58">
        <v>2634000</v>
      </c>
      <c r="W14" s="26">
        <v>40511</v>
      </c>
      <c r="X14" s="49">
        <v>0.40500000000000003</v>
      </c>
    </row>
    <row r="15" spans="1:24" x14ac:dyDescent="0.25">
      <c r="C15" s="53" t="s">
        <v>87</v>
      </c>
      <c r="D15" s="54">
        <f>AVERAGE(D4:D14)</f>
        <v>4.4649586762187998E-2</v>
      </c>
      <c r="E15" s="54">
        <f>AVERAGE(E4:E14)</f>
        <v>3.7573765725792269E-2</v>
      </c>
      <c r="F15" t="str">
        <f ca="1">"&lt;--"&amp;_xlfn.FORMULATEXT(E15)</f>
        <v>&lt;--=AVERAGE(E4:E14)</v>
      </c>
      <c r="L15" s="26">
        <v>39464</v>
      </c>
      <c r="M15" s="6">
        <v>49.650002000000001</v>
      </c>
      <c r="N15" s="6">
        <v>50.130001</v>
      </c>
      <c r="O15" s="6">
        <v>49.189999</v>
      </c>
      <c r="P15" s="6">
        <v>49.310001</v>
      </c>
      <c r="Q15" s="6">
        <v>35.008999000000003</v>
      </c>
      <c r="R15" s="58">
        <v>2545800</v>
      </c>
      <c r="W15" s="26">
        <v>40599</v>
      </c>
      <c r="X15" s="49">
        <v>0.40500000000000003</v>
      </c>
    </row>
    <row r="16" spans="1:24" x14ac:dyDescent="0.25">
      <c r="C16" s="53" t="s">
        <v>88</v>
      </c>
      <c r="D16" s="55">
        <f>_xlfn.STDEV.S(D4:D14)</f>
        <v>0.11979501669650845</v>
      </c>
      <c r="E16" s="55">
        <f>_xlfn.STDEV.S(E4:E14)</f>
        <v>0.11661095782778809</v>
      </c>
      <c r="F16" t="str">
        <f ca="1">"&lt;--"&amp;_xlfn.FORMULATEXT(E16)</f>
        <v>&lt;--=STDEV.S(E4:E14)</v>
      </c>
      <c r="L16" s="26">
        <v>39465</v>
      </c>
      <c r="M16" s="6">
        <v>49.59</v>
      </c>
      <c r="N16" s="6">
        <v>49.669998</v>
      </c>
      <c r="O16" s="6">
        <v>48.259998000000003</v>
      </c>
      <c r="P16" s="6">
        <v>48.560001</v>
      </c>
      <c r="Q16" s="6">
        <v>34.476509</v>
      </c>
      <c r="R16" s="58">
        <v>3034200</v>
      </c>
      <c r="W16" s="26">
        <v>40690</v>
      </c>
      <c r="X16" s="49">
        <v>0.40500000000000003</v>
      </c>
    </row>
    <row r="17" spans="1:24" x14ac:dyDescent="0.25">
      <c r="L17" s="26">
        <v>39469</v>
      </c>
      <c r="M17" s="6">
        <v>47.07</v>
      </c>
      <c r="N17" s="6">
        <v>48.450001</v>
      </c>
      <c r="O17" s="6">
        <v>47.07</v>
      </c>
      <c r="P17" s="6">
        <v>47.5</v>
      </c>
      <c r="Q17" s="6">
        <v>33.723945999999998</v>
      </c>
      <c r="R17" s="58">
        <v>4170200</v>
      </c>
      <c r="W17" s="47">
        <v>40785</v>
      </c>
      <c r="X17" s="50">
        <v>0.43</v>
      </c>
    </row>
    <row r="18" spans="1:24" x14ac:dyDescent="0.25">
      <c r="L18" s="26">
        <v>39470</v>
      </c>
      <c r="M18" s="6">
        <v>46.939999</v>
      </c>
      <c r="N18" s="6">
        <v>47.889999000000003</v>
      </c>
      <c r="O18" s="6">
        <v>46.25</v>
      </c>
      <c r="P18" s="6">
        <v>47.810001</v>
      </c>
      <c r="Q18" s="6">
        <v>33.944031000000003</v>
      </c>
      <c r="R18" s="58">
        <v>3494800</v>
      </c>
      <c r="W18" s="26">
        <v>40876</v>
      </c>
      <c r="X18" s="49">
        <v>0.43</v>
      </c>
    </row>
    <row r="19" spans="1:24" ht="17.399999999999999" x14ac:dyDescent="0.3">
      <c r="A19" s="67" t="s">
        <v>89</v>
      </c>
      <c r="B19" s="67"/>
      <c r="C19" s="67"/>
      <c r="D19" s="67"/>
      <c r="E19" s="67"/>
      <c r="F19" s="67"/>
      <c r="G19" s="67"/>
      <c r="H19" s="67"/>
      <c r="L19" s="26">
        <v>39471</v>
      </c>
      <c r="M19" s="6">
        <v>48.169998</v>
      </c>
      <c r="N19" s="6">
        <v>48.169998</v>
      </c>
      <c r="O19" s="6">
        <v>47.150002000000001</v>
      </c>
      <c r="P19" s="6">
        <v>47.779998999999997</v>
      </c>
      <c r="Q19" s="6">
        <v>33.922728999999997</v>
      </c>
      <c r="R19" s="58">
        <v>3340400</v>
      </c>
      <c r="W19" s="26">
        <v>40967</v>
      </c>
      <c r="X19" s="49">
        <v>0.43</v>
      </c>
    </row>
    <row r="20" spans="1:24" ht="55.2" x14ac:dyDescent="0.25">
      <c r="A20" s="56" t="s">
        <v>82</v>
      </c>
      <c r="B20" s="56" t="s">
        <v>83</v>
      </c>
      <c r="C20" s="56" t="s">
        <v>84</v>
      </c>
      <c r="D20" s="56" t="s">
        <v>90</v>
      </c>
      <c r="E20" s="56" t="s">
        <v>91</v>
      </c>
      <c r="F20" s="56" t="s">
        <v>85</v>
      </c>
      <c r="G20" s="56" t="s">
        <v>86</v>
      </c>
      <c r="H20" s="8"/>
      <c r="L20" s="26">
        <v>39472</v>
      </c>
      <c r="M20" s="6">
        <v>48.209999000000003</v>
      </c>
      <c r="N20" s="6">
        <v>48.209999000000003</v>
      </c>
      <c r="O20" s="6">
        <v>47.299999</v>
      </c>
      <c r="P20" s="6">
        <v>47.59</v>
      </c>
      <c r="Q20" s="6">
        <v>33.787833999999997</v>
      </c>
      <c r="R20" s="58">
        <v>2657600</v>
      </c>
      <c r="W20" s="26">
        <v>41059</v>
      </c>
      <c r="X20" s="49">
        <v>0.43</v>
      </c>
    </row>
    <row r="21" spans="1:24" x14ac:dyDescent="0.25">
      <c r="A21">
        <v>2007</v>
      </c>
      <c r="B21" s="6">
        <f t="shared" ref="B21:B32" si="4">VLOOKUP(DATE(A21,12,31),L:R,5,1)</f>
        <v>52.43</v>
      </c>
      <c r="C21" s="6"/>
      <c r="D21" s="6">
        <v>1</v>
      </c>
      <c r="E21" s="6">
        <f>D21*B21</f>
        <v>52.43</v>
      </c>
      <c r="H21" t="str">
        <f ca="1">_xlfn.FORMULATEXT(F22)</f>
        <v>=E22/E21-1</v>
      </c>
      <c r="L21" s="26">
        <v>39475</v>
      </c>
      <c r="M21" s="6">
        <v>48.34</v>
      </c>
      <c r="N21" s="6">
        <v>49.599997999999999</v>
      </c>
      <c r="O21" s="6">
        <v>47.93</v>
      </c>
      <c r="P21" s="6">
        <v>49.540000999999997</v>
      </c>
      <c r="Q21" s="6">
        <v>35.172294999999998</v>
      </c>
      <c r="R21" s="58">
        <v>4011000</v>
      </c>
      <c r="W21" s="26">
        <v>41151</v>
      </c>
      <c r="X21" s="49">
        <v>0.44</v>
      </c>
    </row>
    <row r="22" spans="1:24" x14ac:dyDescent="0.25">
      <c r="A22">
        <v>2008</v>
      </c>
      <c r="B22" s="6">
        <f t="shared" si="4"/>
        <v>43.849997999999999</v>
      </c>
      <c r="C22" s="6">
        <f t="shared" ref="C22:C32" si="5">SUMIFS(X:X,W:W,"&gt;="&amp;DATE(A22,1,1), W:W,"&lt;="&amp;DATE(A22,12,31))</f>
        <v>1.3</v>
      </c>
      <c r="D22" s="6">
        <f>D21+C22*D21/B22</f>
        <v>1.0296465235870707</v>
      </c>
      <c r="E22" s="6">
        <f t="shared" ref="E22:E32" si="6">D22*B22</f>
        <v>45.149998000000004</v>
      </c>
      <c r="F22" s="51">
        <f>E22/E21-1</f>
        <v>-0.13885184054930377</v>
      </c>
      <c r="G22" s="51">
        <f>LN(E22/E21)</f>
        <v>-0.14948871101823638</v>
      </c>
      <c r="H22" t="str">
        <f ca="1">"&lt;--"&amp;_xlfn.FORMULATEXT(G22)</f>
        <v>&lt;--=LN(E22/E21)</v>
      </c>
      <c r="L22" s="26">
        <v>39476</v>
      </c>
      <c r="M22" s="6">
        <v>49.689999</v>
      </c>
      <c r="N22" s="6">
        <v>49.830002</v>
      </c>
      <c r="O22" s="6">
        <v>49.279998999999997</v>
      </c>
      <c r="P22" s="6">
        <v>49.619999</v>
      </c>
      <c r="Q22" s="6">
        <v>35.229084</v>
      </c>
      <c r="R22" s="58">
        <v>3452300</v>
      </c>
      <c r="W22" s="26">
        <v>41242</v>
      </c>
      <c r="X22" s="49">
        <v>0.44</v>
      </c>
    </row>
    <row r="23" spans="1:24" x14ac:dyDescent="0.25">
      <c r="A23">
        <v>2009</v>
      </c>
      <c r="B23" s="6">
        <f t="shared" si="4"/>
        <v>53.200001</v>
      </c>
      <c r="C23" s="6">
        <f t="shared" si="5"/>
        <v>1.4300000000000002</v>
      </c>
      <c r="D23" s="6">
        <f t="shared" ref="D23:D32" si="7">D22+C23*D22/B23</f>
        <v>1.0573231119527271</v>
      </c>
      <c r="E23" s="6">
        <f t="shared" si="6"/>
        <v>56.249590613208191</v>
      </c>
      <c r="F23" s="51">
        <f t="shared" ref="F23:F32" si="8">E23/E22-1</f>
        <v>0.24583816400630165</v>
      </c>
      <c r="G23" s="51">
        <f>LN(E23/E22)</f>
        <v>0.21980852750442995</v>
      </c>
      <c r="L23" s="26">
        <v>39477</v>
      </c>
      <c r="M23" s="6">
        <v>49.150002000000001</v>
      </c>
      <c r="N23" s="6">
        <v>50.66</v>
      </c>
      <c r="O23" s="6">
        <v>48.540000999999997</v>
      </c>
      <c r="P23" s="6">
        <v>49.110000999999997</v>
      </c>
      <c r="Q23" s="6">
        <v>34.867007999999998</v>
      </c>
      <c r="R23" s="58">
        <v>3960100</v>
      </c>
      <c r="W23" s="26">
        <v>41333</v>
      </c>
      <c r="X23" s="49">
        <v>0.44</v>
      </c>
    </row>
    <row r="24" spans="1:24" x14ac:dyDescent="0.25">
      <c r="A24">
        <v>2010</v>
      </c>
      <c r="B24" s="6">
        <f t="shared" si="4"/>
        <v>51.080002</v>
      </c>
      <c r="C24" s="6">
        <f t="shared" si="5"/>
        <v>1.56</v>
      </c>
      <c r="D24" s="6">
        <f t="shared" si="7"/>
        <v>1.0896141062766165</v>
      </c>
      <c r="E24" s="6">
        <f t="shared" si="6"/>
        <v>55.657490727837782</v>
      </c>
      <c r="F24" s="51">
        <f t="shared" si="8"/>
        <v>-1.0526296794618362E-2</v>
      </c>
      <c r="G24" s="51">
        <f t="shared" ref="G24:G32" si="9">LN(E24/E23)</f>
        <v>-1.0582090133608871E-2</v>
      </c>
      <c r="L24" s="26">
        <v>39478</v>
      </c>
      <c r="M24" s="6">
        <v>48.439999</v>
      </c>
      <c r="N24" s="6">
        <v>49.939999</v>
      </c>
      <c r="O24" s="6">
        <v>47.549999</v>
      </c>
      <c r="P24" s="6">
        <v>47.799999</v>
      </c>
      <c r="Q24" s="6">
        <v>33.936931999999999</v>
      </c>
      <c r="R24" s="58">
        <v>5257000</v>
      </c>
      <c r="W24" s="26">
        <v>41424</v>
      </c>
      <c r="X24" s="49">
        <v>0.44</v>
      </c>
    </row>
    <row r="25" spans="1:24" x14ac:dyDescent="0.25">
      <c r="A25">
        <v>2011</v>
      </c>
      <c r="B25" s="6">
        <f t="shared" si="4"/>
        <v>50.57</v>
      </c>
      <c r="C25" s="6">
        <f t="shared" si="5"/>
        <v>1.67</v>
      </c>
      <c r="D25" s="6">
        <f t="shared" si="7"/>
        <v>1.125597012297616</v>
      </c>
      <c r="E25" s="6">
        <f t="shared" si="6"/>
        <v>56.921440911890443</v>
      </c>
      <c r="F25" s="51">
        <f t="shared" si="8"/>
        <v>2.2709435289372193E-2</v>
      </c>
      <c r="G25" s="51">
        <f t="shared" si="9"/>
        <v>2.2455414649570075E-2</v>
      </c>
      <c r="L25" s="26">
        <v>39479</v>
      </c>
      <c r="M25" s="6">
        <v>48.18</v>
      </c>
      <c r="N25" s="6">
        <v>49.02</v>
      </c>
      <c r="O25" s="6">
        <v>48.060001</v>
      </c>
      <c r="P25" s="6">
        <v>49.02</v>
      </c>
      <c r="Q25" s="6">
        <v>34.803097000000001</v>
      </c>
      <c r="R25" s="58">
        <v>3520500</v>
      </c>
      <c r="W25" s="26">
        <v>41515</v>
      </c>
      <c r="X25" s="49">
        <v>0.46</v>
      </c>
    </row>
    <row r="26" spans="1:24" x14ac:dyDescent="0.25">
      <c r="A26">
        <v>2012</v>
      </c>
      <c r="B26" s="6">
        <f t="shared" si="4"/>
        <v>55.849997999999999</v>
      </c>
      <c r="C26" s="6">
        <f t="shared" si="5"/>
        <v>1.74</v>
      </c>
      <c r="D26" s="6">
        <f t="shared" si="7"/>
        <v>1.1606648524325047</v>
      </c>
      <c r="E26" s="6">
        <f t="shared" si="6"/>
        <v>64.823129687025684</v>
      </c>
      <c r="F26" s="51">
        <f t="shared" si="8"/>
        <v>0.13881744117065464</v>
      </c>
      <c r="G26" s="51">
        <f t="shared" si="9"/>
        <v>0.1299903916984374</v>
      </c>
      <c r="L26" s="26">
        <v>39482</v>
      </c>
      <c r="M26" s="6">
        <v>49.099997999999999</v>
      </c>
      <c r="N26" s="6">
        <v>49.349997999999999</v>
      </c>
      <c r="O26" s="6">
        <v>48.880001</v>
      </c>
      <c r="P26" s="6">
        <v>49.060001</v>
      </c>
      <c r="Q26" s="6">
        <v>34.831496999999999</v>
      </c>
      <c r="R26" s="58">
        <v>1961200</v>
      </c>
      <c r="W26" s="26">
        <v>41605</v>
      </c>
      <c r="X26" s="49">
        <v>0.46</v>
      </c>
    </row>
    <row r="27" spans="1:24" x14ac:dyDescent="0.25">
      <c r="A27">
        <v>2013</v>
      </c>
      <c r="B27" s="6">
        <f t="shared" si="4"/>
        <v>61.07</v>
      </c>
      <c r="C27" s="6">
        <f t="shared" si="5"/>
        <v>1.8</v>
      </c>
      <c r="D27" s="6">
        <f t="shared" si="7"/>
        <v>1.1948747219982245</v>
      </c>
      <c r="E27" s="6">
        <f t="shared" si="6"/>
        <v>72.97099927243157</v>
      </c>
      <c r="F27" s="51">
        <f t="shared" si="8"/>
        <v>0.12569386305080976</v>
      </c>
      <c r="G27" s="51">
        <f t="shared" si="9"/>
        <v>0.11839961268996654</v>
      </c>
      <c r="L27" s="26">
        <v>39483</v>
      </c>
      <c r="M27" s="6">
        <v>48.349997999999999</v>
      </c>
      <c r="N27" s="6">
        <v>48.790000999999997</v>
      </c>
      <c r="O27" s="6">
        <v>47.950001</v>
      </c>
      <c r="P27" s="6">
        <v>48.150002000000001</v>
      </c>
      <c r="Q27" s="6">
        <v>34.185425000000002</v>
      </c>
      <c r="R27" s="58">
        <v>3275600</v>
      </c>
      <c r="W27" s="26">
        <v>41702</v>
      </c>
      <c r="X27" s="49">
        <v>0.46</v>
      </c>
    </row>
    <row r="28" spans="1:24" x14ac:dyDescent="0.25">
      <c r="A28">
        <v>2014</v>
      </c>
      <c r="B28" s="6">
        <f t="shared" si="4"/>
        <v>65.440002000000007</v>
      </c>
      <c r="C28" s="6">
        <f t="shared" si="5"/>
        <v>1.9000000000000001</v>
      </c>
      <c r="D28" s="6">
        <f t="shared" si="7"/>
        <v>1.2295669882331282</v>
      </c>
      <c r="E28" s="6">
        <f t="shared" si="6"/>
        <v>80.462866169109887</v>
      </c>
      <c r="F28" s="51">
        <f t="shared" si="8"/>
        <v>0.1026691010316032</v>
      </c>
      <c r="G28" s="51">
        <f t="shared" si="9"/>
        <v>9.7733696197914416E-2</v>
      </c>
      <c r="L28" s="26">
        <v>39484</v>
      </c>
      <c r="M28" s="6">
        <v>48.380001</v>
      </c>
      <c r="N28" s="6">
        <v>49.310001</v>
      </c>
      <c r="O28" s="6">
        <v>48.130001</v>
      </c>
      <c r="P28" s="6">
        <v>49.09</v>
      </c>
      <c r="Q28" s="6">
        <v>34.852809999999998</v>
      </c>
      <c r="R28" s="58">
        <v>4739300</v>
      </c>
      <c r="W28" s="26">
        <v>41788</v>
      </c>
      <c r="X28" s="49">
        <v>0.46</v>
      </c>
    </row>
    <row r="29" spans="1:24" x14ac:dyDescent="0.25">
      <c r="A29">
        <v>2015</v>
      </c>
      <c r="B29" s="6">
        <f t="shared" si="4"/>
        <v>72.269997000000004</v>
      </c>
      <c r="C29" s="6">
        <f t="shared" si="5"/>
        <v>1.98</v>
      </c>
      <c r="D29" s="6">
        <f t="shared" si="7"/>
        <v>1.2632537564324071</v>
      </c>
      <c r="E29" s="6">
        <f t="shared" si="6"/>
        <v>91.295345187608802</v>
      </c>
      <c r="F29" s="51">
        <f t="shared" si="8"/>
        <v>0.13462705884391624</v>
      </c>
      <c r="G29" s="51">
        <f t="shared" si="9"/>
        <v>0.1263040144219294</v>
      </c>
      <c r="L29" s="26">
        <v>39485</v>
      </c>
      <c r="M29" s="6">
        <v>49</v>
      </c>
      <c r="N29" s="6">
        <v>49.950001</v>
      </c>
      <c r="O29" s="6">
        <v>48.990001999999997</v>
      </c>
      <c r="P29" s="6">
        <v>49.630001</v>
      </c>
      <c r="Q29" s="6">
        <v>35.236187000000001</v>
      </c>
      <c r="R29" s="58">
        <v>3498600</v>
      </c>
      <c r="W29" s="26">
        <v>41879</v>
      </c>
      <c r="X29" s="49">
        <v>0.49</v>
      </c>
    </row>
    <row r="30" spans="1:24" x14ac:dyDescent="0.25">
      <c r="A30">
        <v>2016</v>
      </c>
      <c r="B30" s="6">
        <f t="shared" si="4"/>
        <v>73.709998999999996</v>
      </c>
      <c r="C30" s="6">
        <f t="shared" si="5"/>
        <v>2.04</v>
      </c>
      <c r="D30" s="6">
        <f t="shared" si="7"/>
        <v>1.2982156028315925</v>
      </c>
      <c r="E30" s="6">
        <f t="shared" si="6"/>
        <v>95.691470786501085</v>
      </c>
      <c r="F30" s="51">
        <f t="shared" si="8"/>
        <v>4.8152790154398328E-2</v>
      </c>
      <c r="G30" s="51">
        <f t="shared" si="9"/>
        <v>4.7029367404269849E-2</v>
      </c>
      <c r="L30" s="26">
        <v>39486</v>
      </c>
      <c r="M30" s="6">
        <v>49.459999000000003</v>
      </c>
      <c r="N30" s="6">
        <v>49.869999</v>
      </c>
      <c r="O30" s="6">
        <v>49.139999000000003</v>
      </c>
      <c r="P30" s="6">
        <v>49.18</v>
      </c>
      <c r="Q30" s="6">
        <v>34.916694999999997</v>
      </c>
      <c r="R30" s="58">
        <v>2156800</v>
      </c>
      <c r="W30" s="26">
        <v>41969</v>
      </c>
      <c r="X30" s="49">
        <v>0.49</v>
      </c>
    </row>
    <row r="31" spans="1:24" x14ac:dyDescent="0.25">
      <c r="A31">
        <v>2017</v>
      </c>
      <c r="B31" s="6">
        <f t="shared" si="4"/>
        <v>67.980002999999996</v>
      </c>
      <c r="C31" s="6">
        <f t="shared" si="5"/>
        <v>2.12</v>
      </c>
      <c r="D31" s="6">
        <f t="shared" si="7"/>
        <v>1.3387012891591288</v>
      </c>
      <c r="E31" s="6">
        <f t="shared" si="6"/>
        <v>91.004917653141433</v>
      </c>
      <c r="F31" s="51">
        <f t="shared" si="8"/>
        <v>-4.8975662040098622E-2</v>
      </c>
      <c r="G31" s="51">
        <f t="shared" si="9"/>
        <v>-5.0215624797968018E-2</v>
      </c>
      <c r="L31" s="26">
        <v>39489</v>
      </c>
      <c r="M31" s="6">
        <v>49.669998</v>
      </c>
      <c r="N31" s="6">
        <v>49.669998</v>
      </c>
      <c r="O31" s="6">
        <v>48.900002000000001</v>
      </c>
      <c r="P31" s="6">
        <v>49.59</v>
      </c>
      <c r="Q31" s="6">
        <v>35.207797999999997</v>
      </c>
      <c r="R31" s="58">
        <v>1793500</v>
      </c>
      <c r="W31" s="26">
        <v>42067</v>
      </c>
      <c r="X31" s="49">
        <v>0.49</v>
      </c>
    </row>
    <row r="32" spans="1:24" x14ac:dyDescent="0.25">
      <c r="A32">
        <v>2018</v>
      </c>
      <c r="B32" s="6">
        <f t="shared" si="4"/>
        <v>57.009998000000003</v>
      </c>
      <c r="C32" s="6">
        <f t="shared" si="5"/>
        <v>2.2000000000000002</v>
      </c>
      <c r="D32" s="6">
        <f t="shared" si="7"/>
        <v>1.3903614003583975</v>
      </c>
      <c r="E32" s="6">
        <f t="shared" si="6"/>
        <v>79.264500653709447</v>
      </c>
      <c r="F32" s="51">
        <f t="shared" si="8"/>
        <v>-0.12900859977896717</v>
      </c>
      <c r="G32" s="51">
        <f t="shared" si="9"/>
        <v>-0.13812317563298926</v>
      </c>
      <c r="L32" s="26">
        <v>39490</v>
      </c>
      <c r="M32" s="6">
        <v>49.950001</v>
      </c>
      <c r="N32" s="6">
        <v>50.599997999999999</v>
      </c>
      <c r="O32" s="6">
        <v>49.73</v>
      </c>
      <c r="P32" s="6">
        <v>50.549999</v>
      </c>
      <c r="Q32" s="6">
        <v>35.88937</v>
      </c>
      <c r="R32" s="58">
        <v>2552100</v>
      </c>
      <c r="W32" s="26">
        <v>42152</v>
      </c>
      <c r="X32" s="49">
        <v>0.49</v>
      </c>
    </row>
    <row r="33" spans="2:24" x14ac:dyDescent="0.25">
      <c r="D33" s="6"/>
      <c r="E33" s="53" t="s">
        <v>87</v>
      </c>
      <c r="F33" s="54">
        <f>AVERAGE(F22:F32)</f>
        <v>4.4649586762188005E-2</v>
      </c>
      <c r="G33" s="54">
        <f>AVERAGE(G22:G32)</f>
        <v>3.7573765725792289E-2</v>
      </c>
      <c r="H33" t="str">
        <f ca="1">"&lt;--"&amp;_xlfn.FORMULATEXT(G33)</f>
        <v>&lt;--=AVERAGE(G22:G32)</v>
      </c>
      <c r="L33" s="26">
        <v>39491</v>
      </c>
      <c r="M33" s="6">
        <v>51.040000999999997</v>
      </c>
      <c r="N33" s="6">
        <v>51.380001</v>
      </c>
      <c r="O33" s="6">
        <v>50.720001000000003</v>
      </c>
      <c r="P33" s="6">
        <v>51.150002000000001</v>
      </c>
      <c r="Q33" s="6">
        <v>36.315361000000003</v>
      </c>
      <c r="R33" s="58">
        <v>3672000</v>
      </c>
      <c r="W33" s="26">
        <v>42244</v>
      </c>
      <c r="X33" s="49">
        <v>0.5</v>
      </c>
    </row>
    <row r="34" spans="2:24" x14ac:dyDescent="0.25">
      <c r="D34" s="6"/>
      <c r="E34" s="53" t="s">
        <v>88</v>
      </c>
      <c r="F34" s="55">
        <f>_xlfn.STDEV.S(F22:F32)</f>
        <v>0.11979501669650845</v>
      </c>
      <c r="G34" s="55">
        <f>_xlfn.STDEV.S(G22:G32)</f>
        <v>0.11661095782778808</v>
      </c>
      <c r="H34" t="str">
        <f ca="1">"&lt;--"&amp;_xlfn.FORMULATEXT(G34)</f>
        <v>&lt;--=STDEV.S(G22:G32)</v>
      </c>
      <c r="L34" s="26">
        <v>39492</v>
      </c>
      <c r="M34" s="6">
        <v>51.27</v>
      </c>
      <c r="N34" s="6">
        <v>51.400002000000001</v>
      </c>
      <c r="O34" s="6">
        <v>50.75</v>
      </c>
      <c r="P34" s="6">
        <v>50.869999</v>
      </c>
      <c r="Q34" s="6">
        <v>36.116557999999998</v>
      </c>
      <c r="R34" s="58">
        <v>1954900</v>
      </c>
      <c r="W34" s="26">
        <v>42335</v>
      </c>
      <c r="X34" s="49">
        <v>0.5</v>
      </c>
    </row>
    <row r="35" spans="2:24" ht="14.4" thickBot="1" x14ac:dyDescent="0.3">
      <c r="L35" s="26">
        <v>39493</v>
      </c>
      <c r="M35" s="6">
        <v>50.790000999999997</v>
      </c>
      <c r="N35" s="6">
        <v>51.799999</v>
      </c>
      <c r="O35" s="6">
        <v>50.790000999999997</v>
      </c>
      <c r="P35" s="6">
        <v>51.73</v>
      </c>
      <c r="Q35" s="6">
        <v>36.727134999999997</v>
      </c>
      <c r="R35" s="58">
        <v>2360200</v>
      </c>
      <c r="W35" s="26">
        <v>42426</v>
      </c>
      <c r="X35" s="49">
        <v>0.5</v>
      </c>
    </row>
    <row r="36" spans="2:24" x14ac:dyDescent="0.25">
      <c r="B36" s="71" t="str">
        <f ca="1">_xlfn.FORMULATEXT(D22)</f>
        <v>=D21+C22*D21/B22</v>
      </c>
      <c r="C36" s="72"/>
      <c r="E36" s="75" t="str">
        <f ca="1">_xlfn.FORMULATEXT(E22)</f>
        <v>=D22*B22</v>
      </c>
      <c r="L36" s="26">
        <v>39497</v>
      </c>
      <c r="M36" s="6">
        <v>52.720001000000003</v>
      </c>
      <c r="N36" s="6">
        <v>52.720001000000003</v>
      </c>
      <c r="O36" s="6">
        <v>51.580002</v>
      </c>
      <c r="P36" s="6">
        <v>51.849997999999999</v>
      </c>
      <c r="Q36" s="6">
        <v>36.812339999999999</v>
      </c>
      <c r="R36" s="58">
        <v>3286900</v>
      </c>
      <c r="W36" s="26">
        <v>42517</v>
      </c>
      <c r="X36" s="49">
        <v>0.5</v>
      </c>
    </row>
    <row r="37" spans="2:24" ht="14.4" thickBot="1" x14ac:dyDescent="0.3">
      <c r="B37" s="73"/>
      <c r="C37" s="74"/>
      <c r="E37" s="76"/>
      <c r="L37" s="26">
        <v>39498</v>
      </c>
      <c r="M37" s="6">
        <v>51.490001999999997</v>
      </c>
      <c r="N37" s="6">
        <v>51.540000999999997</v>
      </c>
      <c r="O37" s="6">
        <v>50.919998</v>
      </c>
      <c r="P37" s="6">
        <v>51.290000999999997</v>
      </c>
      <c r="Q37" s="6">
        <v>36.414752999999997</v>
      </c>
      <c r="R37" s="58">
        <v>1757100</v>
      </c>
      <c r="W37" s="26">
        <v>42612</v>
      </c>
      <c r="X37" s="49">
        <v>0.52</v>
      </c>
    </row>
    <row r="38" spans="2:24" x14ac:dyDescent="0.25">
      <c r="L38" s="26">
        <v>39499</v>
      </c>
      <c r="M38" s="6">
        <v>51.43</v>
      </c>
      <c r="N38" s="6">
        <v>51.57</v>
      </c>
      <c r="O38" s="6">
        <v>50.75</v>
      </c>
      <c r="P38" s="6">
        <v>51</v>
      </c>
      <c r="Q38" s="6">
        <v>36.208869999999997</v>
      </c>
      <c r="R38" s="58">
        <v>1858300</v>
      </c>
      <c r="W38" s="26">
        <v>42703</v>
      </c>
      <c r="X38" s="49">
        <v>0.52</v>
      </c>
    </row>
    <row r="39" spans="2:24" x14ac:dyDescent="0.25">
      <c r="L39" s="26">
        <v>39500</v>
      </c>
      <c r="M39" s="6">
        <v>51.110000999999997</v>
      </c>
      <c r="N39" s="6">
        <v>51.25</v>
      </c>
      <c r="O39" s="6">
        <v>50.470001000000003</v>
      </c>
      <c r="P39" s="6">
        <v>51.040000999999997</v>
      </c>
      <c r="Q39" s="6">
        <v>36.237262999999999</v>
      </c>
      <c r="R39" s="58">
        <v>2679900</v>
      </c>
      <c r="W39" s="26">
        <v>42793</v>
      </c>
      <c r="X39" s="49">
        <v>0.52</v>
      </c>
    </row>
    <row r="40" spans="2:24" x14ac:dyDescent="0.25">
      <c r="L40" s="26">
        <v>39503</v>
      </c>
      <c r="M40" s="6">
        <v>51.16</v>
      </c>
      <c r="N40" s="6">
        <v>51.360000999999997</v>
      </c>
      <c r="O40" s="6">
        <v>50.73</v>
      </c>
      <c r="P40" s="6">
        <v>51.240001999999997</v>
      </c>
      <c r="Q40" s="6">
        <v>36.379249999999999</v>
      </c>
      <c r="R40" s="58">
        <v>3691700</v>
      </c>
      <c r="W40" s="26">
        <v>42885</v>
      </c>
      <c r="X40" s="49">
        <v>0.52</v>
      </c>
    </row>
    <row r="41" spans="2:24" x14ac:dyDescent="0.25">
      <c r="L41" s="26">
        <v>39504</v>
      </c>
      <c r="M41" s="6">
        <v>51.09</v>
      </c>
      <c r="N41" s="6">
        <v>51.880001</v>
      </c>
      <c r="O41" s="6">
        <v>51.080002</v>
      </c>
      <c r="P41" s="6">
        <v>51.700001</v>
      </c>
      <c r="Q41" s="6">
        <v>36.705840999999999</v>
      </c>
      <c r="R41" s="58">
        <v>2363200</v>
      </c>
      <c r="W41" s="26">
        <v>42977</v>
      </c>
      <c r="X41" s="49">
        <v>0.54</v>
      </c>
    </row>
    <row r="42" spans="2:24" x14ac:dyDescent="0.25">
      <c r="L42" s="26">
        <v>39505</v>
      </c>
      <c r="M42" s="6">
        <v>51.490001999999997</v>
      </c>
      <c r="N42" s="6">
        <v>51.900002000000001</v>
      </c>
      <c r="O42" s="6">
        <v>51.310001</v>
      </c>
      <c r="P42" s="6">
        <v>51.700001</v>
      </c>
      <c r="Q42" s="6">
        <v>36.705840999999999</v>
      </c>
      <c r="R42" s="58">
        <v>2202200</v>
      </c>
      <c r="W42" s="26">
        <v>43069</v>
      </c>
      <c r="X42" s="49">
        <v>0.54</v>
      </c>
    </row>
    <row r="43" spans="2:24" x14ac:dyDescent="0.25">
      <c r="L43" s="26">
        <v>39506</v>
      </c>
      <c r="M43" s="6">
        <v>51.43</v>
      </c>
      <c r="N43" s="6">
        <v>51.810001</v>
      </c>
      <c r="O43" s="6">
        <v>51.119999</v>
      </c>
      <c r="P43" s="6">
        <v>51.5</v>
      </c>
      <c r="Q43" s="6">
        <v>36.563850000000002</v>
      </c>
      <c r="R43" s="58">
        <v>2130600</v>
      </c>
      <c r="W43" s="26">
        <v>43161</v>
      </c>
      <c r="X43" s="49">
        <v>0.54</v>
      </c>
    </row>
    <row r="44" spans="2:24" x14ac:dyDescent="0.25">
      <c r="L44" s="26">
        <v>39507</v>
      </c>
      <c r="M44" s="6">
        <v>51</v>
      </c>
      <c r="N44" s="6">
        <v>51.509998000000003</v>
      </c>
      <c r="O44" s="6">
        <v>50.610000999999997</v>
      </c>
      <c r="P44" s="6">
        <v>50.720001000000003</v>
      </c>
      <c r="Q44" s="6">
        <v>36.228141999999998</v>
      </c>
      <c r="R44" s="58">
        <v>2141600</v>
      </c>
      <c r="W44" s="26">
        <v>43251</v>
      </c>
      <c r="X44" s="49">
        <v>0.54</v>
      </c>
    </row>
    <row r="45" spans="2:24" x14ac:dyDescent="0.25">
      <c r="L45" s="26">
        <v>39510</v>
      </c>
      <c r="M45" s="6">
        <v>50.75</v>
      </c>
      <c r="N45" s="6">
        <v>50.900002000000001</v>
      </c>
      <c r="O45" s="6">
        <v>50.360000999999997</v>
      </c>
      <c r="P45" s="6">
        <v>50.709999000000003</v>
      </c>
      <c r="Q45" s="6">
        <v>36.220996999999997</v>
      </c>
      <c r="R45" s="58">
        <v>1704900</v>
      </c>
      <c r="W45" s="26">
        <v>43343</v>
      </c>
      <c r="X45" s="49">
        <v>0.56000000000000005</v>
      </c>
    </row>
    <row r="46" spans="2:24" x14ac:dyDescent="0.25">
      <c r="L46" s="26">
        <v>39511</v>
      </c>
      <c r="M46" s="6">
        <v>50.330002</v>
      </c>
      <c r="N46" s="6">
        <v>50.57</v>
      </c>
      <c r="O46" s="6">
        <v>50.110000999999997</v>
      </c>
      <c r="P46" s="6">
        <v>50.419998</v>
      </c>
      <c r="Q46" s="6">
        <v>36.013866</v>
      </c>
      <c r="R46" s="58">
        <v>2712900</v>
      </c>
      <c r="W46" s="26">
        <v>43434</v>
      </c>
      <c r="X46" s="49">
        <v>0.56000000000000005</v>
      </c>
    </row>
    <row r="47" spans="2:24" x14ac:dyDescent="0.25">
      <c r="L47" s="26">
        <v>39512</v>
      </c>
      <c r="M47" s="6">
        <v>50.869999</v>
      </c>
      <c r="N47" s="6">
        <v>50.869999</v>
      </c>
      <c r="O47" s="6">
        <v>49.790000999999997</v>
      </c>
      <c r="P47" s="6">
        <v>50.560001</v>
      </c>
      <c r="Q47" s="6">
        <v>36.113864999999997</v>
      </c>
      <c r="R47" s="58">
        <v>2403400</v>
      </c>
    </row>
    <row r="48" spans="2:24" x14ac:dyDescent="0.25">
      <c r="L48" s="26">
        <v>39513</v>
      </c>
      <c r="M48" s="6">
        <v>50.41</v>
      </c>
      <c r="N48" s="6">
        <v>50.470001000000003</v>
      </c>
      <c r="O48" s="6">
        <v>49.77</v>
      </c>
      <c r="P48" s="6">
        <v>49.84</v>
      </c>
      <c r="Q48" s="6">
        <v>35.599564000000001</v>
      </c>
      <c r="R48" s="58">
        <v>1514100</v>
      </c>
    </row>
    <row r="49" spans="12:18" x14ac:dyDescent="0.25">
      <c r="L49" s="26">
        <v>39514</v>
      </c>
      <c r="M49" s="6">
        <v>49.360000999999997</v>
      </c>
      <c r="N49" s="6">
        <v>49.990001999999997</v>
      </c>
      <c r="O49" s="6">
        <v>49.279998999999997</v>
      </c>
      <c r="P49" s="6">
        <v>49.450001</v>
      </c>
      <c r="Q49" s="6">
        <v>35.320991999999997</v>
      </c>
      <c r="R49" s="58">
        <v>2262900</v>
      </c>
    </row>
    <row r="50" spans="12:18" x14ac:dyDescent="0.25">
      <c r="L50" s="26">
        <v>39517</v>
      </c>
      <c r="M50" s="6">
        <v>49.549999</v>
      </c>
      <c r="N50" s="6">
        <v>50.099997999999999</v>
      </c>
      <c r="O50" s="6">
        <v>49.349997999999999</v>
      </c>
      <c r="P50" s="6">
        <v>49.759998000000003</v>
      </c>
      <c r="Q50" s="6">
        <v>35.542434999999998</v>
      </c>
      <c r="R50" s="58">
        <v>2849700</v>
      </c>
    </row>
    <row r="51" spans="12:18" x14ac:dyDescent="0.25">
      <c r="L51" s="26">
        <v>39518</v>
      </c>
      <c r="M51" s="6">
        <v>50.48</v>
      </c>
      <c r="N51" s="6">
        <v>50.860000999999997</v>
      </c>
      <c r="O51" s="6">
        <v>50</v>
      </c>
      <c r="P51" s="6">
        <v>50.849997999999999</v>
      </c>
      <c r="Q51" s="6">
        <v>36.320991999999997</v>
      </c>
      <c r="R51" s="58">
        <v>2578000</v>
      </c>
    </row>
    <row r="52" spans="12:18" x14ac:dyDescent="0.25">
      <c r="L52" s="26">
        <v>39519</v>
      </c>
      <c r="M52" s="6">
        <v>50.98</v>
      </c>
      <c r="N52" s="6">
        <v>51.349997999999999</v>
      </c>
      <c r="O52" s="6">
        <v>50.709999000000003</v>
      </c>
      <c r="P52" s="6">
        <v>51.060001</v>
      </c>
      <c r="Q52" s="6">
        <v>36.470984999999999</v>
      </c>
      <c r="R52" s="58">
        <v>2143500</v>
      </c>
    </row>
    <row r="53" spans="12:18" x14ac:dyDescent="0.25">
      <c r="L53" s="26">
        <v>39520</v>
      </c>
      <c r="M53" s="6">
        <v>50.470001000000003</v>
      </c>
      <c r="N53" s="6">
        <v>50.849997999999999</v>
      </c>
      <c r="O53" s="6">
        <v>49.98</v>
      </c>
      <c r="P53" s="6">
        <v>50.310001</v>
      </c>
      <c r="Q53" s="6">
        <v>35.935279999999999</v>
      </c>
      <c r="R53" s="58">
        <v>2881600</v>
      </c>
    </row>
    <row r="54" spans="12:18" x14ac:dyDescent="0.25">
      <c r="L54" s="26">
        <v>39521</v>
      </c>
      <c r="M54" s="6">
        <v>50.57</v>
      </c>
      <c r="N54" s="6">
        <v>51.110000999999997</v>
      </c>
      <c r="O54" s="6">
        <v>49.639999000000003</v>
      </c>
      <c r="P54" s="6">
        <v>49.889999000000003</v>
      </c>
      <c r="Q54" s="6">
        <v>35.635272999999998</v>
      </c>
      <c r="R54" s="58">
        <v>2464400</v>
      </c>
    </row>
    <row r="55" spans="12:18" x14ac:dyDescent="0.25">
      <c r="L55" s="26">
        <v>39524</v>
      </c>
      <c r="M55" s="6">
        <v>49.02</v>
      </c>
      <c r="N55" s="6">
        <v>50.119999</v>
      </c>
      <c r="O55" s="6">
        <v>48.900002000000001</v>
      </c>
      <c r="P55" s="6">
        <v>49.759998000000003</v>
      </c>
      <c r="Q55" s="6">
        <v>35.542434999999998</v>
      </c>
      <c r="R55" s="58">
        <v>2545300</v>
      </c>
    </row>
    <row r="56" spans="12:18" x14ac:dyDescent="0.25">
      <c r="L56" s="26">
        <v>39525</v>
      </c>
      <c r="M56" s="6">
        <v>50.599997999999999</v>
      </c>
      <c r="N56" s="6">
        <v>51.139999000000003</v>
      </c>
      <c r="O56" s="6">
        <v>49.939999</v>
      </c>
      <c r="P56" s="6">
        <v>51.139999000000003</v>
      </c>
      <c r="Q56" s="6">
        <v>36.528137000000001</v>
      </c>
      <c r="R56" s="58">
        <v>2726600</v>
      </c>
    </row>
    <row r="57" spans="12:18" x14ac:dyDescent="0.25">
      <c r="L57" s="26">
        <v>39526</v>
      </c>
      <c r="M57" s="6">
        <v>51.490001999999997</v>
      </c>
      <c r="N57" s="6">
        <v>51.889999000000003</v>
      </c>
      <c r="O57" s="6">
        <v>51.099997999999999</v>
      </c>
      <c r="P57" s="6">
        <v>51.220001000000003</v>
      </c>
      <c r="Q57" s="6">
        <v>36.585284999999999</v>
      </c>
      <c r="R57" s="58">
        <v>2899400</v>
      </c>
    </row>
    <row r="58" spans="12:18" x14ac:dyDescent="0.25">
      <c r="L58" s="26">
        <v>39527</v>
      </c>
      <c r="M58" s="6">
        <v>51.290000999999997</v>
      </c>
      <c r="N58" s="6">
        <v>51.75</v>
      </c>
      <c r="O58" s="6">
        <v>51.119999</v>
      </c>
      <c r="P58" s="6">
        <v>51.619999</v>
      </c>
      <c r="Q58" s="6">
        <v>36.870975000000001</v>
      </c>
      <c r="R58" s="58">
        <v>3721900</v>
      </c>
    </row>
    <row r="59" spans="12:18" x14ac:dyDescent="0.25">
      <c r="L59" s="26">
        <v>39531</v>
      </c>
      <c r="M59" s="6">
        <v>51.650002000000001</v>
      </c>
      <c r="N59" s="6">
        <v>51.93</v>
      </c>
      <c r="O59" s="6">
        <v>51.200001</v>
      </c>
      <c r="P59" s="6">
        <v>51.450001</v>
      </c>
      <c r="Q59" s="6">
        <v>36.749554000000003</v>
      </c>
      <c r="R59" s="58">
        <v>1584900</v>
      </c>
    </row>
    <row r="60" spans="12:18" x14ac:dyDescent="0.25">
      <c r="L60" s="26">
        <v>39532</v>
      </c>
      <c r="M60" s="6">
        <v>51.689999</v>
      </c>
      <c r="N60" s="6">
        <v>52.060001</v>
      </c>
      <c r="O60" s="6">
        <v>51.470001000000003</v>
      </c>
      <c r="P60" s="6">
        <v>51.880001</v>
      </c>
      <c r="Q60" s="6">
        <v>37.056697999999997</v>
      </c>
      <c r="R60" s="58">
        <v>2042200</v>
      </c>
    </row>
    <row r="61" spans="12:18" x14ac:dyDescent="0.25">
      <c r="L61" s="26">
        <v>39533</v>
      </c>
      <c r="M61" s="6">
        <v>51.790000999999997</v>
      </c>
      <c r="N61" s="6">
        <v>51.919998</v>
      </c>
      <c r="O61" s="6">
        <v>51.459999000000003</v>
      </c>
      <c r="P61" s="6">
        <v>51.669998</v>
      </c>
      <c r="Q61" s="6">
        <v>36.906708000000002</v>
      </c>
      <c r="R61" s="58">
        <v>1722700</v>
      </c>
    </row>
    <row r="62" spans="12:18" x14ac:dyDescent="0.25">
      <c r="L62" s="26">
        <v>39534</v>
      </c>
      <c r="M62" s="6">
        <v>52.029998999999997</v>
      </c>
      <c r="N62" s="6">
        <v>52.049999</v>
      </c>
      <c r="O62" s="6">
        <v>51.43</v>
      </c>
      <c r="P62" s="6">
        <v>51.919998</v>
      </c>
      <c r="Q62" s="6">
        <v>37.085270000000001</v>
      </c>
      <c r="R62" s="58">
        <v>2390400</v>
      </c>
    </row>
    <row r="63" spans="12:18" x14ac:dyDescent="0.25">
      <c r="L63" s="26">
        <v>39535</v>
      </c>
      <c r="M63" s="6">
        <v>52.07</v>
      </c>
      <c r="N63" s="6">
        <v>52.73</v>
      </c>
      <c r="O63" s="6">
        <v>51.98</v>
      </c>
      <c r="P63" s="6">
        <v>52.48</v>
      </c>
      <c r="Q63" s="6">
        <v>37.485267999999998</v>
      </c>
      <c r="R63" s="58">
        <v>2200700</v>
      </c>
    </row>
    <row r="64" spans="12:18" x14ac:dyDescent="0.25">
      <c r="L64" s="26">
        <v>39538</v>
      </c>
      <c r="M64" s="6">
        <v>52.48</v>
      </c>
      <c r="N64" s="6">
        <v>52.639999000000003</v>
      </c>
      <c r="O64" s="6">
        <v>51.880001</v>
      </c>
      <c r="P64" s="6">
        <v>52.560001</v>
      </c>
      <c r="Q64" s="6">
        <v>37.542416000000003</v>
      </c>
      <c r="R64" s="58">
        <v>2157400</v>
      </c>
    </row>
    <row r="65" spans="12:18" x14ac:dyDescent="0.25">
      <c r="L65" s="26">
        <v>39539</v>
      </c>
      <c r="M65" s="6">
        <v>52.779998999999997</v>
      </c>
      <c r="N65" s="6">
        <v>54.150002000000001</v>
      </c>
      <c r="O65" s="6">
        <v>52.549999</v>
      </c>
      <c r="P65" s="6">
        <v>54.099997999999999</v>
      </c>
      <c r="Q65" s="6">
        <v>38.642398999999997</v>
      </c>
      <c r="R65" s="58">
        <v>3539800</v>
      </c>
    </row>
    <row r="66" spans="12:18" x14ac:dyDescent="0.25">
      <c r="L66" s="26">
        <v>39540</v>
      </c>
      <c r="M66" s="6">
        <v>53.93</v>
      </c>
      <c r="N66" s="6">
        <v>54</v>
      </c>
      <c r="O66" s="6">
        <v>52.98</v>
      </c>
      <c r="P66" s="6">
        <v>53.080002</v>
      </c>
      <c r="Q66" s="6">
        <v>37.913826</v>
      </c>
      <c r="R66" s="58">
        <v>3562900</v>
      </c>
    </row>
    <row r="67" spans="12:18" x14ac:dyDescent="0.25">
      <c r="L67" s="26">
        <v>39541</v>
      </c>
      <c r="M67" s="6">
        <v>53.060001</v>
      </c>
      <c r="N67" s="6">
        <v>53.220001000000003</v>
      </c>
      <c r="O67" s="6">
        <v>52.549999</v>
      </c>
      <c r="P67" s="6">
        <v>53</v>
      </c>
      <c r="Q67" s="6">
        <v>37.856693</v>
      </c>
      <c r="R67" s="58">
        <v>1858100</v>
      </c>
    </row>
    <row r="68" spans="12:18" x14ac:dyDescent="0.25">
      <c r="L68" s="26">
        <v>39542</v>
      </c>
      <c r="M68" s="6">
        <v>53</v>
      </c>
      <c r="N68" s="6">
        <v>53.32</v>
      </c>
      <c r="O68" s="6">
        <v>52.669998</v>
      </c>
      <c r="P68" s="6">
        <v>53.150002000000001</v>
      </c>
      <c r="Q68" s="6">
        <v>37.963836999999998</v>
      </c>
      <c r="R68" s="58">
        <v>2617500</v>
      </c>
    </row>
    <row r="69" spans="12:18" x14ac:dyDescent="0.25">
      <c r="L69" s="26">
        <v>39545</v>
      </c>
      <c r="M69" s="6">
        <v>53.5</v>
      </c>
      <c r="N69" s="6">
        <v>53.560001</v>
      </c>
      <c r="O69" s="6">
        <v>52.919998</v>
      </c>
      <c r="P69" s="6">
        <v>53.060001</v>
      </c>
      <c r="Q69" s="6">
        <v>37.899548000000003</v>
      </c>
      <c r="R69" s="58">
        <v>2255200</v>
      </c>
    </row>
    <row r="70" spans="12:18" x14ac:dyDescent="0.25">
      <c r="L70" s="26">
        <v>39546</v>
      </c>
      <c r="M70" s="6">
        <v>52.849997999999999</v>
      </c>
      <c r="N70" s="6">
        <v>53.07</v>
      </c>
      <c r="O70" s="6">
        <v>52.43</v>
      </c>
      <c r="P70" s="6">
        <v>52.970001000000003</v>
      </c>
      <c r="Q70" s="6">
        <v>37.835258000000003</v>
      </c>
      <c r="R70" s="58">
        <v>1211300</v>
      </c>
    </row>
    <row r="71" spans="12:18" x14ac:dyDescent="0.25">
      <c r="L71" s="26">
        <v>39547</v>
      </c>
      <c r="M71" s="6">
        <v>52.84</v>
      </c>
      <c r="N71" s="6">
        <v>53.130001</v>
      </c>
      <c r="O71" s="6">
        <v>52.630001</v>
      </c>
      <c r="P71" s="6">
        <v>52.830002</v>
      </c>
      <c r="Q71" s="6">
        <v>37.735264000000001</v>
      </c>
      <c r="R71" s="58">
        <v>926800</v>
      </c>
    </row>
    <row r="72" spans="12:18" x14ac:dyDescent="0.25">
      <c r="L72" s="26">
        <v>39548</v>
      </c>
      <c r="M72" s="6">
        <v>52.98</v>
      </c>
      <c r="N72" s="6">
        <v>53.099997999999999</v>
      </c>
      <c r="O72" s="6">
        <v>52.389999000000003</v>
      </c>
      <c r="P72" s="6">
        <v>52.580002</v>
      </c>
      <c r="Q72" s="6">
        <v>37.556690000000003</v>
      </c>
      <c r="R72" s="58">
        <v>1379300</v>
      </c>
    </row>
    <row r="73" spans="12:18" x14ac:dyDescent="0.25">
      <c r="L73" s="26">
        <v>39549</v>
      </c>
      <c r="M73" s="6">
        <v>52.259998000000003</v>
      </c>
      <c r="N73" s="6">
        <v>52.380001</v>
      </c>
      <c r="O73" s="6">
        <v>51.84</v>
      </c>
      <c r="P73" s="6">
        <v>51.950001</v>
      </c>
      <c r="Q73" s="6">
        <v>37.106701000000001</v>
      </c>
      <c r="R73" s="58">
        <v>1261500</v>
      </c>
    </row>
    <row r="74" spans="12:18" x14ac:dyDescent="0.25">
      <c r="L74" s="26">
        <v>39552</v>
      </c>
      <c r="M74" s="6">
        <v>52.029998999999997</v>
      </c>
      <c r="N74" s="6">
        <v>52.5</v>
      </c>
      <c r="O74" s="6">
        <v>51.849997999999999</v>
      </c>
      <c r="P74" s="6">
        <v>52.32</v>
      </c>
      <c r="Q74" s="6">
        <v>37.370978999999998</v>
      </c>
      <c r="R74" s="58">
        <v>1330500</v>
      </c>
    </row>
    <row r="75" spans="12:18" x14ac:dyDescent="0.25">
      <c r="L75" s="26">
        <v>39553</v>
      </c>
      <c r="M75" s="6">
        <v>52.549999</v>
      </c>
      <c r="N75" s="6">
        <v>53.380001</v>
      </c>
      <c r="O75" s="6">
        <v>52.23</v>
      </c>
      <c r="P75" s="6">
        <v>53.119999</v>
      </c>
      <c r="Q75" s="6">
        <v>37.942397999999997</v>
      </c>
      <c r="R75" s="58">
        <v>2594000</v>
      </c>
    </row>
    <row r="76" spans="12:18" x14ac:dyDescent="0.25">
      <c r="L76" s="26">
        <v>39554</v>
      </c>
      <c r="M76" s="6">
        <v>53.080002</v>
      </c>
      <c r="N76" s="6">
        <v>53.369999</v>
      </c>
      <c r="O76" s="6">
        <v>52.939999</v>
      </c>
      <c r="P76" s="6">
        <v>53.220001000000003</v>
      </c>
      <c r="Q76" s="6">
        <v>38.013843999999999</v>
      </c>
      <c r="R76" s="58">
        <v>2682400</v>
      </c>
    </row>
    <row r="77" spans="12:18" x14ac:dyDescent="0.25">
      <c r="L77" s="26">
        <v>39555</v>
      </c>
      <c r="M77" s="6">
        <v>52.970001000000003</v>
      </c>
      <c r="N77" s="6">
        <v>53.169998</v>
      </c>
      <c r="O77" s="6">
        <v>52.610000999999997</v>
      </c>
      <c r="P77" s="6">
        <v>52.939999</v>
      </c>
      <c r="Q77" s="6">
        <v>37.813823999999997</v>
      </c>
      <c r="R77" s="58">
        <v>1844400</v>
      </c>
    </row>
    <row r="78" spans="12:18" x14ac:dyDescent="0.25">
      <c r="L78" s="26">
        <v>39556</v>
      </c>
      <c r="M78" s="6">
        <v>53.73</v>
      </c>
      <c r="N78" s="6">
        <v>53.73</v>
      </c>
      <c r="O78" s="6">
        <v>52.630001</v>
      </c>
      <c r="P78" s="6">
        <v>52.66</v>
      </c>
      <c r="Q78" s="6">
        <v>37.613841999999998</v>
      </c>
      <c r="R78" s="58">
        <v>2851200</v>
      </c>
    </row>
    <row r="79" spans="12:18" x14ac:dyDescent="0.25">
      <c r="L79" s="26">
        <v>39559</v>
      </c>
      <c r="M79" s="6">
        <v>52.490001999999997</v>
      </c>
      <c r="N79" s="6">
        <v>52.669998</v>
      </c>
      <c r="O79" s="6">
        <v>51.860000999999997</v>
      </c>
      <c r="P79" s="6">
        <v>51.959999000000003</v>
      </c>
      <c r="Q79" s="6">
        <v>37.113841999999998</v>
      </c>
      <c r="R79" s="58">
        <v>2734400</v>
      </c>
    </row>
    <row r="80" spans="12:18" x14ac:dyDescent="0.25">
      <c r="L80" s="26">
        <v>39560</v>
      </c>
      <c r="M80" s="6">
        <v>51.970001000000003</v>
      </c>
      <c r="N80" s="6">
        <v>51.990001999999997</v>
      </c>
      <c r="O80" s="6">
        <v>51.16</v>
      </c>
      <c r="P80" s="6">
        <v>51.439999</v>
      </c>
      <c r="Q80" s="6">
        <v>36.742409000000002</v>
      </c>
      <c r="R80" s="58">
        <v>1954100</v>
      </c>
    </row>
    <row r="81" spans="12:18" x14ac:dyDescent="0.25">
      <c r="L81" s="26">
        <v>39561</v>
      </c>
      <c r="M81" s="6">
        <v>51.560001</v>
      </c>
      <c r="N81" s="6">
        <v>52.189999</v>
      </c>
      <c r="O81" s="6">
        <v>51.41</v>
      </c>
      <c r="P81" s="6">
        <v>51.959999000000003</v>
      </c>
      <c r="Q81" s="6">
        <v>37.113841999999998</v>
      </c>
      <c r="R81" s="58">
        <v>1966700</v>
      </c>
    </row>
    <row r="82" spans="12:18" x14ac:dyDescent="0.25">
      <c r="L82" s="26">
        <v>39562</v>
      </c>
      <c r="M82" s="6">
        <v>52.099997999999999</v>
      </c>
      <c r="N82" s="6">
        <v>52.27</v>
      </c>
      <c r="O82" s="6">
        <v>51.380001</v>
      </c>
      <c r="P82" s="6">
        <v>51.810001</v>
      </c>
      <c r="Q82" s="6">
        <v>37.006709999999998</v>
      </c>
      <c r="R82" s="58">
        <v>1600600</v>
      </c>
    </row>
    <row r="83" spans="12:18" x14ac:dyDescent="0.25">
      <c r="L83" s="26">
        <v>39563</v>
      </c>
      <c r="M83" s="6">
        <v>51.970001000000003</v>
      </c>
      <c r="N83" s="6">
        <v>52</v>
      </c>
      <c r="O83" s="6">
        <v>51.209999000000003</v>
      </c>
      <c r="P83" s="6">
        <v>51.369999</v>
      </c>
      <c r="Q83" s="6">
        <v>36.692416999999999</v>
      </c>
      <c r="R83" s="58">
        <v>1698800</v>
      </c>
    </row>
    <row r="84" spans="12:18" x14ac:dyDescent="0.25">
      <c r="L84" s="26">
        <v>39566</v>
      </c>
      <c r="M84" s="6">
        <v>51.689999</v>
      </c>
      <c r="N84" s="6">
        <v>51.810001</v>
      </c>
      <c r="O84" s="6">
        <v>51.099997999999999</v>
      </c>
      <c r="P84" s="6">
        <v>51.169998</v>
      </c>
      <c r="Q84" s="6">
        <v>36.549553000000003</v>
      </c>
      <c r="R84" s="58">
        <v>1695200</v>
      </c>
    </row>
    <row r="85" spans="12:18" x14ac:dyDescent="0.25">
      <c r="L85" s="26">
        <v>39567</v>
      </c>
      <c r="M85" s="6">
        <v>51.110000999999997</v>
      </c>
      <c r="N85" s="6">
        <v>52.150002000000001</v>
      </c>
      <c r="O85" s="6">
        <v>51.080002</v>
      </c>
      <c r="P85" s="6">
        <v>51.98</v>
      </c>
      <c r="Q85" s="6">
        <v>37.128117000000003</v>
      </c>
      <c r="R85" s="58">
        <v>2720200</v>
      </c>
    </row>
    <row r="86" spans="12:18" x14ac:dyDescent="0.25">
      <c r="L86" s="26">
        <v>39568</v>
      </c>
      <c r="M86" s="6">
        <v>52.470001000000003</v>
      </c>
      <c r="N86" s="6">
        <v>52.470001000000003</v>
      </c>
      <c r="O86" s="6">
        <v>50.939999</v>
      </c>
      <c r="P86" s="6">
        <v>51.169998</v>
      </c>
      <c r="Q86" s="6">
        <v>36.549553000000003</v>
      </c>
      <c r="R86" s="58">
        <v>2518400</v>
      </c>
    </row>
    <row r="87" spans="12:18" x14ac:dyDescent="0.25">
      <c r="L87" s="26">
        <v>39569</v>
      </c>
      <c r="M87" s="6">
        <v>50.700001</v>
      </c>
      <c r="N87" s="6">
        <v>52.639999000000003</v>
      </c>
      <c r="O87" s="6">
        <v>50.700001</v>
      </c>
      <c r="P87" s="6">
        <v>52.43</v>
      </c>
      <c r="Q87" s="6">
        <v>37.449547000000003</v>
      </c>
      <c r="R87" s="58">
        <v>2301900</v>
      </c>
    </row>
    <row r="88" spans="12:18" x14ac:dyDescent="0.25">
      <c r="L88" s="26">
        <v>39570</v>
      </c>
      <c r="M88" s="6">
        <v>52.630001</v>
      </c>
      <c r="N88" s="6">
        <v>52.869999</v>
      </c>
      <c r="O88" s="6">
        <v>52.130001</v>
      </c>
      <c r="P88" s="6">
        <v>52.400002000000001</v>
      </c>
      <c r="Q88" s="6">
        <v>37.42812</v>
      </c>
      <c r="R88" s="58">
        <v>2012500</v>
      </c>
    </row>
    <row r="89" spans="12:18" x14ac:dyDescent="0.25">
      <c r="L89" s="26">
        <v>39573</v>
      </c>
      <c r="M89" s="6">
        <v>52.080002</v>
      </c>
      <c r="N89" s="6">
        <v>52.5</v>
      </c>
      <c r="O89" s="6">
        <v>52.080002</v>
      </c>
      <c r="P89" s="6">
        <v>52.169998</v>
      </c>
      <c r="Q89" s="6">
        <v>37.263840000000002</v>
      </c>
      <c r="R89" s="58">
        <v>1104900</v>
      </c>
    </row>
    <row r="90" spans="12:18" x14ac:dyDescent="0.25">
      <c r="L90" s="26">
        <v>39574</v>
      </c>
      <c r="M90" s="6">
        <v>52.040000999999997</v>
      </c>
      <c r="N90" s="6">
        <v>52.040000999999997</v>
      </c>
      <c r="O90" s="6">
        <v>51.509998000000003</v>
      </c>
      <c r="P90" s="6">
        <v>51.889999000000003</v>
      </c>
      <c r="Q90" s="6">
        <v>37.063839000000002</v>
      </c>
      <c r="R90" s="58">
        <v>1196900</v>
      </c>
    </row>
    <row r="91" spans="12:18" x14ac:dyDescent="0.25">
      <c r="L91" s="26">
        <v>39575</v>
      </c>
      <c r="M91" s="6">
        <v>51.98</v>
      </c>
      <c r="N91" s="6">
        <v>51.990001999999997</v>
      </c>
      <c r="O91" s="6">
        <v>51.380001</v>
      </c>
      <c r="P91" s="6">
        <v>51.43</v>
      </c>
      <c r="Q91" s="6">
        <v>36.735270999999997</v>
      </c>
      <c r="R91" s="58">
        <v>985100</v>
      </c>
    </row>
    <row r="92" spans="12:18" x14ac:dyDescent="0.25">
      <c r="L92" s="26">
        <v>39576</v>
      </c>
      <c r="M92" s="6">
        <v>51.470001000000003</v>
      </c>
      <c r="N92" s="6">
        <v>51.700001</v>
      </c>
      <c r="O92" s="6">
        <v>50.709999000000003</v>
      </c>
      <c r="P92" s="6">
        <v>51.389999000000003</v>
      </c>
      <c r="Q92" s="6">
        <v>36.706699</v>
      </c>
      <c r="R92" s="58">
        <v>2105700</v>
      </c>
    </row>
    <row r="93" spans="12:18" x14ac:dyDescent="0.25">
      <c r="L93" s="26">
        <v>39577</v>
      </c>
      <c r="M93" s="6">
        <v>51.25</v>
      </c>
      <c r="N93" s="6">
        <v>51.25</v>
      </c>
      <c r="O93" s="6">
        <v>50.470001000000003</v>
      </c>
      <c r="P93" s="6">
        <v>50.869999</v>
      </c>
      <c r="Q93" s="6">
        <v>36.335278000000002</v>
      </c>
      <c r="R93" s="58">
        <v>1426100</v>
      </c>
    </row>
    <row r="94" spans="12:18" x14ac:dyDescent="0.25">
      <c r="L94" s="26">
        <v>39580</v>
      </c>
      <c r="M94" s="6">
        <v>50.900002000000001</v>
      </c>
      <c r="N94" s="6">
        <v>51.41</v>
      </c>
      <c r="O94" s="6">
        <v>50.740001999999997</v>
      </c>
      <c r="P94" s="6">
        <v>51.349997999999999</v>
      </c>
      <c r="Q94" s="6">
        <v>36.678134999999997</v>
      </c>
      <c r="R94" s="58">
        <v>1272800</v>
      </c>
    </row>
    <row r="95" spans="12:18" x14ac:dyDescent="0.25">
      <c r="L95" s="26">
        <v>39581</v>
      </c>
      <c r="M95" s="6">
        <v>51.380001</v>
      </c>
      <c r="N95" s="6">
        <v>51.84</v>
      </c>
      <c r="O95" s="6">
        <v>51.240001999999997</v>
      </c>
      <c r="P95" s="6">
        <v>51.450001</v>
      </c>
      <c r="Q95" s="6">
        <v>36.749554000000003</v>
      </c>
      <c r="R95" s="58">
        <v>1168600</v>
      </c>
    </row>
    <row r="96" spans="12:18" x14ac:dyDescent="0.25">
      <c r="L96" s="26">
        <v>39582</v>
      </c>
      <c r="M96" s="6">
        <v>51.610000999999997</v>
      </c>
      <c r="N96" s="6">
        <v>51.93</v>
      </c>
      <c r="O96" s="6">
        <v>51.41</v>
      </c>
      <c r="P96" s="6">
        <v>51.52</v>
      </c>
      <c r="Q96" s="6">
        <v>36.799548999999999</v>
      </c>
      <c r="R96" s="58">
        <v>1239600</v>
      </c>
    </row>
    <row r="97" spans="12:18" x14ac:dyDescent="0.25">
      <c r="L97" s="26">
        <v>39583</v>
      </c>
      <c r="M97" s="6">
        <v>51.43</v>
      </c>
      <c r="N97" s="6">
        <v>51.610000999999997</v>
      </c>
      <c r="O97" s="6">
        <v>51.029998999999997</v>
      </c>
      <c r="P97" s="6">
        <v>51.529998999999997</v>
      </c>
      <c r="Q97" s="6">
        <v>36.806697999999997</v>
      </c>
      <c r="R97" s="58">
        <v>1201400</v>
      </c>
    </row>
    <row r="98" spans="12:18" x14ac:dyDescent="0.25">
      <c r="L98" s="26">
        <v>39584</v>
      </c>
      <c r="M98" s="6">
        <v>51.5</v>
      </c>
      <c r="N98" s="6">
        <v>51.599997999999999</v>
      </c>
      <c r="O98" s="6">
        <v>50.82</v>
      </c>
      <c r="P98" s="6">
        <v>51.490001999999997</v>
      </c>
      <c r="Q98" s="6">
        <v>36.778132999999997</v>
      </c>
      <c r="R98" s="58">
        <v>2584900</v>
      </c>
    </row>
    <row r="99" spans="12:18" x14ac:dyDescent="0.25">
      <c r="L99" s="26">
        <v>39587</v>
      </c>
      <c r="M99" s="6">
        <v>51.5</v>
      </c>
      <c r="N99" s="6">
        <v>51.5</v>
      </c>
      <c r="O99" s="6">
        <v>50.509998000000003</v>
      </c>
      <c r="P99" s="6">
        <v>51.279998999999997</v>
      </c>
      <c r="Q99" s="6">
        <v>36.628127999999997</v>
      </c>
      <c r="R99" s="58">
        <v>1953600</v>
      </c>
    </row>
    <row r="100" spans="12:18" x14ac:dyDescent="0.25">
      <c r="L100" s="26">
        <v>39588</v>
      </c>
      <c r="M100" s="6">
        <v>51.150002000000001</v>
      </c>
      <c r="N100" s="6">
        <v>51.439999</v>
      </c>
      <c r="O100" s="6">
        <v>50.810001</v>
      </c>
      <c r="P100" s="6">
        <v>51.16</v>
      </c>
      <c r="Q100" s="6">
        <v>36.542416000000003</v>
      </c>
      <c r="R100" s="58">
        <v>1645100</v>
      </c>
    </row>
    <row r="101" spans="12:18" x14ac:dyDescent="0.25">
      <c r="L101" s="26">
        <v>39589</v>
      </c>
      <c r="M101" s="6">
        <v>51.25</v>
      </c>
      <c r="N101" s="6">
        <v>51.259998000000003</v>
      </c>
      <c r="O101" s="6">
        <v>50.73</v>
      </c>
      <c r="P101" s="6">
        <v>50.900002000000001</v>
      </c>
      <c r="Q101" s="6">
        <v>36.356701000000001</v>
      </c>
      <c r="R101" s="58">
        <v>2377000</v>
      </c>
    </row>
    <row r="102" spans="12:18" x14ac:dyDescent="0.25">
      <c r="L102" s="26">
        <v>39590</v>
      </c>
      <c r="M102" s="6">
        <v>51.060001</v>
      </c>
      <c r="N102" s="6">
        <v>51.130001</v>
      </c>
      <c r="O102" s="6">
        <v>50.630001</v>
      </c>
      <c r="P102" s="6">
        <v>50.759998000000003</v>
      </c>
      <c r="Q102" s="6">
        <v>36.256706000000001</v>
      </c>
      <c r="R102" s="58">
        <v>1612400</v>
      </c>
    </row>
    <row r="103" spans="12:18" x14ac:dyDescent="0.25">
      <c r="L103" s="26">
        <v>39591</v>
      </c>
      <c r="M103" s="6">
        <v>50.669998</v>
      </c>
      <c r="N103" s="6">
        <v>50.73</v>
      </c>
      <c r="O103" s="6">
        <v>50.16</v>
      </c>
      <c r="P103" s="6">
        <v>50.560001</v>
      </c>
      <c r="Q103" s="6">
        <v>36.113864999999997</v>
      </c>
      <c r="R103" s="58">
        <v>2236800</v>
      </c>
    </row>
    <row r="104" spans="12:18" x14ac:dyDescent="0.25">
      <c r="L104" s="26">
        <v>39595</v>
      </c>
      <c r="M104" s="6">
        <v>50.68</v>
      </c>
      <c r="N104" s="6">
        <v>51.34</v>
      </c>
      <c r="O104" s="6">
        <v>50.66</v>
      </c>
      <c r="P104" s="6">
        <v>51.18</v>
      </c>
      <c r="Q104" s="6">
        <v>36.556697999999997</v>
      </c>
      <c r="R104" s="58">
        <v>2020200</v>
      </c>
    </row>
    <row r="105" spans="12:18" x14ac:dyDescent="0.25">
      <c r="L105" s="26">
        <v>39596</v>
      </c>
      <c r="M105" s="6">
        <v>51.34</v>
      </c>
      <c r="N105" s="6">
        <v>51.34</v>
      </c>
      <c r="O105" s="6">
        <v>50.68</v>
      </c>
      <c r="P105" s="6">
        <v>50.799999</v>
      </c>
      <c r="Q105" s="6">
        <v>36.285290000000003</v>
      </c>
      <c r="R105" s="58">
        <v>1771600</v>
      </c>
    </row>
    <row r="106" spans="12:18" x14ac:dyDescent="0.25">
      <c r="L106" s="26">
        <v>39597</v>
      </c>
      <c r="M106" s="6">
        <v>50.759998000000003</v>
      </c>
      <c r="N106" s="6">
        <v>51.689999</v>
      </c>
      <c r="O106" s="6">
        <v>50.419998</v>
      </c>
      <c r="P106" s="6">
        <v>51.330002</v>
      </c>
      <c r="Q106" s="6">
        <v>36.888953999999998</v>
      </c>
      <c r="R106" s="58">
        <v>1402900</v>
      </c>
    </row>
    <row r="107" spans="12:18" x14ac:dyDescent="0.25">
      <c r="L107" s="26">
        <v>39598</v>
      </c>
      <c r="M107" s="6">
        <v>51.25</v>
      </c>
      <c r="N107" s="6">
        <v>52.040000999999997</v>
      </c>
      <c r="O107" s="6">
        <v>50.830002</v>
      </c>
      <c r="P107" s="6">
        <v>51.810001</v>
      </c>
      <c r="Q107" s="6">
        <v>37.233913000000001</v>
      </c>
      <c r="R107" s="58">
        <v>2679600</v>
      </c>
    </row>
    <row r="108" spans="12:18" x14ac:dyDescent="0.25">
      <c r="L108" s="26">
        <v>39601</v>
      </c>
      <c r="M108" s="6">
        <v>51.759998000000003</v>
      </c>
      <c r="N108" s="6">
        <v>51.799999</v>
      </c>
      <c r="O108" s="6">
        <v>51.099997999999999</v>
      </c>
      <c r="P108" s="6">
        <v>51.380001</v>
      </c>
      <c r="Q108" s="6">
        <v>36.924889</v>
      </c>
      <c r="R108" s="58">
        <v>1819600</v>
      </c>
    </row>
    <row r="109" spans="12:18" x14ac:dyDescent="0.25">
      <c r="L109" s="26">
        <v>39602</v>
      </c>
      <c r="M109" s="6">
        <v>51.43</v>
      </c>
      <c r="N109" s="6">
        <v>51.669998</v>
      </c>
      <c r="O109" s="6">
        <v>50.740001999999997</v>
      </c>
      <c r="P109" s="6">
        <v>50.869999</v>
      </c>
      <c r="Q109" s="6">
        <v>36.558371999999999</v>
      </c>
      <c r="R109" s="58">
        <v>2013400</v>
      </c>
    </row>
    <row r="110" spans="12:18" x14ac:dyDescent="0.25">
      <c r="L110" s="26">
        <v>39603</v>
      </c>
      <c r="M110" s="6">
        <v>50.900002000000001</v>
      </c>
      <c r="N110" s="6">
        <v>51.459999000000003</v>
      </c>
      <c r="O110" s="6">
        <v>50.779998999999997</v>
      </c>
      <c r="P110" s="6">
        <v>51.360000999999997</v>
      </c>
      <c r="Q110" s="6">
        <v>36.910514999999997</v>
      </c>
      <c r="R110" s="58">
        <v>1417300</v>
      </c>
    </row>
    <row r="111" spans="12:18" x14ac:dyDescent="0.25">
      <c r="L111" s="26">
        <v>39604</v>
      </c>
      <c r="M111" s="6">
        <v>51.700001</v>
      </c>
      <c r="N111" s="6">
        <v>51.700001</v>
      </c>
      <c r="O111" s="6">
        <v>51.009998000000003</v>
      </c>
      <c r="P111" s="6">
        <v>51.400002000000001</v>
      </c>
      <c r="Q111" s="6">
        <v>36.93927</v>
      </c>
      <c r="R111" s="58">
        <v>1201400</v>
      </c>
    </row>
    <row r="112" spans="12:18" x14ac:dyDescent="0.25">
      <c r="L112" s="26">
        <v>39605</v>
      </c>
      <c r="M112" s="6">
        <v>51.279998999999997</v>
      </c>
      <c r="N112" s="6">
        <v>51.279998999999997</v>
      </c>
      <c r="O112" s="6">
        <v>50.049999</v>
      </c>
      <c r="P112" s="6">
        <v>50.049999</v>
      </c>
      <c r="Q112" s="6">
        <v>35.969070000000002</v>
      </c>
      <c r="R112" s="58">
        <v>3203100</v>
      </c>
    </row>
    <row r="113" spans="12:18" x14ac:dyDescent="0.25">
      <c r="L113" s="26">
        <v>39608</v>
      </c>
      <c r="M113" s="6">
        <v>50.169998</v>
      </c>
      <c r="N113" s="6">
        <v>50.540000999999997</v>
      </c>
      <c r="O113" s="6">
        <v>49.91</v>
      </c>
      <c r="P113" s="6">
        <v>50.32</v>
      </c>
      <c r="Q113" s="6">
        <v>36.163105000000002</v>
      </c>
      <c r="R113" s="58">
        <v>2001600</v>
      </c>
    </row>
    <row r="114" spans="12:18" x14ac:dyDescent="0.25">
      <c r="L114" s="26">
        <v>39609</v>
      </c>
      <c r="M114" s="6">
        <v>50.939999</v>
      </c>
      <c r="N114" s="6">
        <v>52.23</v>
      </c>
      <c r="O114" s="6">
        <v>50.330002</v>
      </c>
      <c r="P114" s="6">
        <v>52.009998000000003</v>
      </c>
      <c r="Q114" s="6">
        <v>37.377631999999998</v>
      </c>
      <c r="R114" s="58">
        <v>4419200</v>
      </c>
    </row>
    <row r="115" spans="12:18" x14ac:dyDescent="0.25">
      <c r="L115" s="26">
        <v>39610</v>
      </c>
      <c r="M115" s="6">
        <v>52.009998000000003</v>
      </c>
      <c r="N115" s="6">
        <v>52.009998000000003</v>
      </c>
      <c r="O115" s="6">
        <v>51.619999</v>
      </c>
      <c r="P115" s="6">
        <v>51.68</v>
      </c>
      <c r="Q115" s="6">
        <v>37.140490999999997</v>
      </c>
      <c r="R115" s="58">
        <v>2288200</v>
      </c>
    </row>
    <row r="116" spans="12:18" x14ac:dyDescent="0.25">
      <c r="L116" s="26">
        <v>39611</v>
      </c>
      <c r="M116" s="6">
        <v>52</v>
      </c>
      <c r="N116" s="6">
        <v>52</v>
      </c>
      <c r="O116" s="6">
        <v>51.529998999999997</v>
      </c>
      <c r="P116" s="6">
        <v>51.75</v>
      </c>
      <c r="Q116" s="6">
        <v>37.190795999999999</v>
      </c>
      <c r="R116" s="58">
        <v>2060000</v>
      </c>
    </row>
    <row r="117" spans="12:18" x14ac:dyDescent="0.25">
      <c r="L117" s="26">
        <v>39612</v>
      </c>
      <c r="M117" s="6">
        <v>51.830002</v>
      </c>
      <c r="N117" s="6">
        <v>52</v>
      </c>
      <c r="O117" s="6">
        <v>51.560001</v>
      </c>
      <c r="P117" s="6">
        <v>52</v>
      </c>
      <c r="Q117" s="6">
        <v>37.370457000000002</v>
      </c>
      <c r="R117" s="58">
        <v>1715400</v>
      </c>
    </row>
    <row r="118" spans="12:18" x14ac:dyDescent="0.25">
      <c r="L118" s="26">
        <v>39615</v>
      </c>
      <c r="M118" s="6">
        <v>52</v>
      </c>
      <c r="N118" s="6">
        <v>52.16</v>
      </c>
      <c r="O118" s="6">
        <v>50.950001</v>
      </c>
      <c r="P118" s="6">
        <v>51.490001999999997</v>
      </c>
      <c r="Q118" s="6">
        <v>37.003940999999998</v>
      </c>
      <c r="R118" s="58">
        <v>3229800</v>
      </c>
    </row>
    <row r="119" spans="12:18" x14ac:dyDescent="0.25">
      <c r="L119" s="26">
        <v>39616</v>
      </c>
      <c r="M119" s="6">
        <v>51.639999000000003</v>
      </c>
      <c r="N119" s="6">
        <v>51.639999000000003</v>
      </c>
      <c r="O119" s="6">
        <v>50.59</v>
      </c>
      <c r="P119" s="6">
        <v>50.669998</v>
      </c>
      <c r="Q119" s="6">
        <v>36.414634999999997</v>
      </c>
      <c r="R119" s="58">
        <v>2659400</v>
      </c>
    </row>
    <row r="120" spans="12:18" x14ac:dyDescent="0.25">
      <c r="L120" s="26">
        <v>39617</v>
      </c>
      <c r="M120" s="6">
        <v>50.740001999999997</v>
      </c>
      <c r="N120" s="6">
        <v>51.419998</v>
      </c>
      <c r="O120" s="6">
        <v>50.709999000000003</v>
      </c>
      <c r="P120" s="6">
        <v>51.119999</v>
      </c>
      <c r="Q120" s="6">
        <v>36.738028999999997</v>
      </c>
      <c r="R120" s="58">
        <v>3045500</v>
      </c>
    </row>
    <row r="121" spans="12:18" x14ac:dyDescent="0.25">
      <c r="L121" s="26">
        <v>39618</v>
      </c>
      <c r="M121" s="6">
        <v>51.049999</v>
      </c>
      <c r="N121" s="6">
        <v>51.5</v>
      </c>
      <c r="O121" s="6">
        <v>50.830002</v>
      </c>
      <c r="P121" s="6">
        <v>51.389999000000003</v>
      </c>
      <c r="Q121" s="6">
        <v>36.932076000000002</v>
      </c>
      <c r="R121" s="58">
        <v>2612500</v>
      </c>
    </row>
    <row r="122" spans="12:18" x14ac:dyDescent="0.25">
      <c r="L122" s="26">
        <v>39619</v>
      </c>
      <c r="M122" s="6">
        <v>51.139999000000003</v>
      </c>
      <c r="N122" s="6">
        <v>51.459999000000003</v>
      </c>
      <c r="O122" s="6">
        <v>50.529998999999997</v>
      </c>
      <c r="P122" s="6">
        <v>51</v>
      </c>
      <c r="Q122" s="6">
        <v>36.651791000000003</v>
      </c>
      <c r="R122" s="58">
        <v>3374000</v>
      </c>
    </row>
    <row r="123" spans="12:18" x14ac:dyDescent="0.25">
      <c r="L123" s="26">
        <v>39622</v>
      </c>
      <c r="M123" s="6">
        <v>51.009998000000003</v>
      </c>
      <c r="N123" s="6">
        <v>51.130001</v>
      </c>
      <c r="O123" s="6">
        <v>50.529998999999997</v>
      </c>
      <c r="P123" s="6">
        <v>50.849997999999999</v>
      </c>
      <c r="Q123" s="6">
        <v>36.544002999999996</v>
      </c>
      <c r="R123" s="58">
        <v>1904100</v>
      </c>
    </row>
    <row r="124" spans="12:18" x14ac:dyDescent="0.25">
      <c r="L124" s="26">
        <v>39623</v>
      </c>
      <c r="M124" s="6">
        <v>50.619999</v>
      </c>
      <c r="N124" s="6">
        <v>51.68</v>
      </c>
      <c r="O124" s="6">
        <v>50.200001</v>
      </c>
      <c r="P124" s="6">
        <v>50.259998000000003</v>
      </c>
      <c r="Q124" s="6">
        <v>36.119987000000002</v>
      </c>
      <c r="R124" s="58">
        <v>3641000</v>
      </c>
    </row>
    <row r="125" spans="12:18" x14ac:dyDescent="0.25">
      <c r="L125" s="26">
        <v>39624</v>
      </c>
      <c r="M125" s="6">
        <v>50.25</v>
      </c>
      <c r="N125" s="6">
        <v>50.25</v>
      </c>
      <c r="O125" s="6">
        <v>49.709999000000003</v>
      </c>
      <c r="P125" s="6">
        <v>49.810001</v>
      </c>
      <c r="Q125" s="6">
        <v>35.796596999999998</v>
      </c>
      <c r="R125" s="58">
        <v>3269100</v>
      </c>
    </row>
    <row r="126" spans="12:18" x14ac:dyDescent="0.25">
      <c r="L126" s="26">
        <v>39625</v>
      </c>
      <c r="M126" s="6">
        <v>49.689999</v>
      </c>
      <c r="N126" s="6">
        <v>49.689999</v>
      </c>
      <c r="O126" s="6">
        <v>48.5</v>
      </c>
      <c r="P126" s="6">
        <v>48.52</v>
      </c>
      <c r="Q126" s="6">
        <v>34.869514000000002</v>
      </c>
      <c r="R126" s="58">
        <v>3509100</v>
      </c>
    </row>
    <row r="127" spans="12:18" x14ac:dyDescent="0.25">
      <c r="L127" s="26">
        <v>39626</v>
      </c>
      <c r="M127" s="6">
        <v>48.630001</v>
      </c>
      <c r="N127" s="6">
        <v>48.75</v>
      </c>
      <c r="O127" s="6">
        <v>47.869999</v>
      </c>
      <c r="P127" s="6">
        <v>47.959999000000003</v>
      </c>
      <c r="Q127" s="6">
        <v>34.467072000000002</v>
      </c>
      <c r="R127" s="58">
        <v>3902400</v>
      </c>
    </row>
    <row r="128" spans="12:18" x14ac:dyDescent="0.25">
      <c r="L128" s="26">
        <v>39629</v>
      </c>
      <c r="M128" s="6">
        <v>47.970001000000003</v>
      </c>
      <c r="N128" s="6">
        <v>48.5</v>
      </c>
      <c r="O128" s="6">
        <v>47.810001</v>
      </c>
      <c r="P128" s="6">
        <v>48.02</v>
      </c>
      <c r="Q128" s="6">
        <v>34.510185</v>
      </c>
      <c r="R128" s="58">
        <v>2712000</v>
      </c>
    </row>
    <row r="129" spans="12:18" x14ac:dyDescent="0.25">
      <c r="L129" s="26">
        <v>39630</v>
      </c>
      <c r="M129" s="6">
        <v>47.619999</v>
      </c>
      <c r="N129" s="6">
        <v>48.189999</v>
      </c>
      <c r="O129" s="6">
        <v>47.619999</v>
      </c>
      <c r="P129" s="6">
        <v>48.040000999999997</v>
      </c>
      <c r="Q129" s="6">
        <v>34.524554999999999</v>
      </c>
      <c r="R129" s="58">
        <v>2469300</v>
      </c>
    </row>
    <row r="130" spans="12:18" x14ac:dyDescent="0.25">
      <c r="L130" s="26">
        <v>39631</v>
      </c>
      <c r="M130" s="6">
        <v>48.18</v>
      </c>
      <c r="N130" s="6">
        <v>48.66</v>
      </c>
      <c r="O130" s="6">
        <v>47.98</v>
      </c>
      <c r="P130" s="6">
        <v>48.459999000000003</v>
      </c>
      <c r="Q130" s="6">
        <v>34.826388999999999</v>
      </c>
      <c r="R130" s="58">
        <v>3198700</v>
      </c>
    </row>
    <row r="131" spans="12:18" x14ac:dyDescent="0.25">
      <c r="L131" s="26">
        <v>39632</v>
      </c>
      <c r="M131" s="6">
        <v>48.720001000000003</v>
      </c>
      <c r="N131" s="6">
        <v>49.080002</v>
      </c>
      <c r="O131" s="6">
        <v>48.360000999999997</v>
      </c>
      <c r="P131" s="6">
        <v>48.799999</v>
      </c>
      <c r="Q131" s="6">
        <v>35.070740000000001</v>
      </c>
      <c r="R131" s="58">
        <v>1806200</v>
      </c>
    </row>
    <row r="132" spans="12:18" x14ac:dyDescent="0.25">
      <c r="L132" s="26">
        <v>39636</v>
      </c>
      <c r="M132" s="6">
        <v>49.200001</v>
      </c>
      <c r="N132" s="6">
        <v>49.669998</v>
      </c>
      <c r="O132" s="6">
        <v>48.900002000000001</v>
      </c>
      <c r="P132" s="6">
        <v>49.200001</v>
      </c>
      <c r="Q132" s="6">
        <v>35.358204000000001</v>
      </c>
      <c r="R132" s="58">
        <v>2509500</v>
      </c>
    </row>
    <row r="133" spans="12:18" x14ac:dyDescent="0.25">
      <c r="L133" s="26">
        <v>39637</v>
      </c>
      <c r="M133" s="6">
        <v>49.419998</v>
      </c>
      <c r="N133" s="6">
        <v>50.18</v>
      </c>
      <c r="O133" s="6">
        <v>49.169998</v>
      </c>
      <c r="P133" s="6">
        <v>50.169998</v>
      </c>
      <c r="Q133" s="6">
        <v>36.055312999999998</v>
      </c>
      <c r="R133" s="58">
        <v>2354900</v>
      </c>
    </row>
    <row r="134" spans="12:18" x14ac:dyDescent="0.25">
      <c r="L134" s="26">
        <v>39638</v>
      </c>
      <c r="M134" s="6">
        <v>50.130001</v>
      </c>
      <c r="N134" s="6">
        <v>50.810001</v>
      </c>
      <c r="O134" s="6">
        <v>50.029998999999997</v>
      </c>
      <c r="P134" s="6">
        <v>50.509998000000003</v>
      </c>
      <c r="Q134" s="6">
        <v>36.299647999999998</v>
      </c>
      <c r="R134" s="58">
        <v>2646300</v>
      </c>
    </row>
    <row r="135" spans="12:18" x14ac:dyDescent="0.25">
      <c r="L135" s="26">
        <v>39639</v>
      </c>
      <c r="M135" s="6">
        <v>50.790000999999997</v>
      </c>
      <c r="N135" s="6">
        <v>50.869999</v>
      </c>
      <c r="O135" s="6">
        <v>50.099997999999999</v>
      </c>
      <c r="P135" s="6">
        <v>50.849997999999999</v>
      </c>
      <c r="Q135" s="6">
        <v>36.544002999999996</v>
      </c>
      <c r="R135" s="58">
        <v>2217000</v>
      </c>
    </row>
    <row r="136" spans="12:18" x14ac:dyDescent="0.25">
      <c r="L136" s="26">
        <v>39640</v>
      </c>
      <c r="M136" s="6">
        <v>50.459999000000003</v>
      </c>
      <c r="N136" s="6">
        <v>51.049999</v>
      </c>
      <c r="O136" s="6">
        <v>50.279998999999997</v>
      </c>
      <c r="P136" s="6">
        <v>50.869999</v>
      </c>
      <c r="Q136" s="6">
        <v>36.558371999999999</v>
      </c>
      <c r="R136" s="58">
        <v>3277100</v>
      </c>
    </row>
    <row r="137" spans="12:18" x14ac:dyDescent="0.25">
      <c r="L137" s="26">
        <v>39643</v>
      </c>
      <c r="M137" s="6">
        <v>50.970001000000003</v>
      </c>
      <c r="N137" s="6">
        <v>51.150002000000001</v>
      </c>
      <c r="O137" s="6">
        <v>50.240001999999997</v>
      </c>
      <c r="P137" s="6">
        <v>50.549999</v>
      </c>
      <c r="Q137" s="6">
        <v>36.328400000000002</v>
      </c>
      <c r="R137" s="58">
        <v>1912600</v>
      </c>
    </row>
    <row r="138" spans="12:18" x14ac:dyDescent="0.25">
      <c r="L138" s="26">
        <v>39644</v>
      </c>
      <c r="M138" s="6">
        <v>50.259998000000003</v>
      </c>
      <c r="N138" s="6">
        <v>51.18</v>
      </c>
      <c r="O138" s="6">
        <v>50.240001999999997</v>
      </c>
      <c r="P138" s="6">
        <v>50.91</v>
      </c>
      <c r="Q138" s="6">
        <v>36.587119999999999</v>
      </c>
      <c r="R138" s="58">
        <v>2952800</v>
      </c>
    </row>
    <row r="139" spans="12:18" x14ac:dyDescent="0.25">
      <c r="L139" s="26">
        <v>39645</v>
      </c>
      <c r="M139" s="6">
        <v>50.880001</v>
      </c>
      <c r="N139" s="6">
        <v>52.43</v>
      </c>
      <c r="O139" s="6">
        <v>50.549999</v>
      </c>
      <c r="P139" s="6">
        <v>52.389999000000003</v>
      </c>
      <c r="Q139" s="6">
        <v>37.650734</v>
      </c>
      <c r="R139" s="58">
        <v>4541100</v>
      </c>
    </row>
    <row r="140" spans="12:18" x14ac:dyDescent="0.25">
      <c r="L140" s="26">
        <v>39646</v>
      </c>
      <c r="M140" s="6">
        <v>52.560001</v>
      </c>
      <c r="N140" s="6">
        <v>52.560001</v>
      </c>
      <c r="O140" s="6">
        <v>51.529998999999997</v>
      </c>
      <c r="P140" s="6">
        <v>52.040000999999997</v>
      </c>
      <c r="Q140" s="6">
        <v>37.399216000000003</v>
      </c>
      <c r="R140" s="58">
        <v>3357400</v>
      </c>
    </row>
    <row r="141" spans="12:18" x14ac:dyDescent="0.25">
      <c r="L141" s="26">
        <v>39647</v>
      </c>
      <c r="M141" s="6">
        <v>52</v>
      </c>
      <c r="N141" s="6">
        <v>52.259998000000003</v>
      </c>
      <c r="O141" s="6">
        <v>51.25</v>
      </c>
      <c r="P141" s="6">
        <v>51.599997999999999</v>
      </c>
      <c r="Q141" s="6">
        <v>37.083008</v>
      </c>
      <c r="R141" s="58">
        <v>2471300</v>
      </c>
    </row>
    <row r="142" spans="12:18" x14ac:dyDescent="0.25">
      <c r="L142" s="26">
        <v>39650</v>
      </c>
      <c r="M142" s="6">
        <v>51.720001000000003</v>
      </c>
      <c r="N142" s="6">
        <v>51.720001000000003</v>
      </c>
      <c r="O142" s="6">
        <v>50.830002</v>
      </c>
      <c r="P142" s="6">
        <v>51.380001</v>
      </c>
      <c r="Q142" s="6">
        <v>36.924889</v>
      </c>
      <c r="R142" s="58">
        <v>1852200</v>
      </c>
    </row>
    <row r="143" spans="12:18" x14ac:dyDescent="0.25">
      <c r="L143" s="26">
        <v>39651</v>
      </c>
      <c r="M143" s="6">
        <v>51.220001000000003</v>
      </c>
      <c r="N143" s="6">
        <v>52.299999</v>
      </c>
      <c r="O143" s="6">
        <v>51.099997999999999</v>
      </c>
      <c r="P143" s="6">
        <v>52.299999</v>
      </c>
      <c r="Q143" s="6">
        <v>37.586060000000003</v>
      </c>
      <c r="R143" s="58">
        <v>1610900</v>
      </c>
    </row>
    <row r="144" spans="12:18" x14ac:dyDescent="0.25">
      <c r="L144" s="26">
        <v>39652</v>
      </c>
      <c r="M144" s="6">
        <v>52.48</v>
      </c>
      <c r="N144" s="6">
        <v>53.549999</v>
      </c>
      <c r="O144" s="6">
        <v>52.040000999999997</v>
      </c>
      <c r="P144" s="6">
        <v>53.549999</v>
      </c>
      <c r="Q144" s="6">
        <v>38.484383000000001</v>
      </c>
      <c r="R144" s="58">
        <v>2981200</v>
      </c>
    </row>
    <row r="145" spans="12:18" x14ac:dyDescent="0.25">
      <c r="L145" s="26">
        <v>39653</v>
      </c>
      <c r="M145" s="6">
        <v>53.650002000000001</v>
      </c>
      <c r="N145" s="6">
        <v>53.73</v>
      </c>
      <c r="O145" s="6">
        <v>52.759998000000003</v>
      </c>
      <c r="P145" s="6">
        <v>52.84</v>
      </c>
      <c r="Q145" s="6">
        <v>37.974144000000003</v>
      </c>
      <c r="R145" s="58">
        <v>1785000</v>
      </c>
    </row>
    <row r="146" spans="12:18" x14ac:dyDescent="0.25">
      <c r="L146" s="26">
        <v>39654</v>
      </c>
      <c r="M146" s="6">
        <v>52.82</v>
      </c>
      <c r="N146" s="6">
        <v>52.939999</v>
      </c>
      <c r="O146" s="6">
        <v>51.970001000000003</v>
      </c>
      <c r="P146" s="6">
        <v>52.27</v>
      </c>
      <c r="Q146" s="6">
        <v>37.564498999999998</v>
      </c>
      <c r="R146" s="58">
        <v>1853300</v>
      </c>
    </row>
    <row r="147" spans="12:18" x14ac:dyDescent="0.25">
      <c r="L147" s="26">
        <v>39657</v>
      </c>
      <c r="M147" s="6">
        <v>52.07</v>
      </c>
      <c r="N147" s="6">
        <v>52.98</v>
      </c>
      <c r="O147" s="6">
        <v>51.830002</v>
      </c>
      <c r="P147" s="6">
        <v>52.849997999999999</v>
      </c>
      <c r="Q147" s="6">
        <v>37.981312000000003</v>
      </c>
      <c r="R147" s="58">
        <v>2604900</v>
      </c>
    </row>
    <row r="148" spans="12:18" x14ac:dyDescent="0.25">
      <c r="L148" s="26">
        <v>39658</v>
      </c>
      <c r="M148" s="6">
        <v>52.630001</v>
      </c>
      <c r="N148" s="6">
        <v>53.450001</v>
      </c>
      <c r="O148" s="6">
        <v>52.630001</v>
      </c>
      <c r="P148" s="6">
        <v>53.450001</v>
      </c>
      <c r="Q148" s="6">
        <v>38.412533000000003</v>
      </c>
      <c r="R148" s="58">
        <v>1613200</v>
      </c>
    </row>
    <row r="149" spans="12:18" x14ac:dyDescent="0.25">
      <c r="L149" s="26">
        <v>39659</v>
      </c>
      <c r="M149" s="6">
        <v>53.369999</v>
      </c>
      <c r="N149" s="6">
        <v>54.16</v>
      </c>
      <c r="O149" s="6">
        <v>53.369999</v>
      </c>
      <c r="P149" s="6">
        <v>54.150002000000001</v>
      </c>
      <c r="Q149" s="6">
        <v>38.915588</v>
      </c>
      <c r="R149" s="58">
        <v>2154900</v>
      </c>
    </row>
    <row r="150" spans="12:18" x14ac:dyDescent="0.25">
      <c r="L150" s="26">
        <v>39660</v>
      </c>
      <c r="M150" s="6">
        <v>52.369999</v>
      </c>
      <c r="N150" s="6">
        <v>54.25</v>
      </c>
      <c r="O150" s="6">
        <v>52.360000999999997</v>
      </c>
      <c r="P150" s="6">
        <v>53.060001</v>
      </c>
      <c r="Q150" s="6">
        <v>38.132255999999998</v>
      </c>
      <c r="R150" s="58">
        <v>2671000</v>
      </c>
    </row>
    <row r="151" spans="12:18" x14ac:dyDescent="0.25">
      <c r="L151" s="26">
        <v>39661</v>
      </c>
      <c r="M151" s="6">
        <v>53.150002000000001</v>
      </c>
      <c r="N151" s="6">
        <v>53.259998000000003</v>
      </c>
      <c r="O151" s="6">
        <v>51.950001</v>
      </c>
      <c r="P151" s="6">
        <v>52.459999000000003</v>
      </c>
      <c r="Q151" s="6">
        <v>37.701034999999997</v>
      </c>
      <c r="R151" s="58">
        <v>1923600</v>
      </c>
    </row>
    <row r="152" spans="12:18" x14ac:dyDescent="0.25">
      <c r="L152" s="26">
        <v>39664</v>
      </c>
      <c r="M152" s="6">
        <v>52.470001000000003</v>
      </c>
      <c r="N152" s="6">
        <v>54.099997999999999</v>
      </c>
      <c r="O152" s="6">
        <v>52.279998999999997</v>
      </c>
      <c r="P152" s="6">
        <v>53.93</v>
      </c>
      <c r="Q152" s="6">
        <v>38.757472999999997</v>
      </c>
      <c r="R152" s="58">
        <v>1959300</v>
      </c>
    </row>
    <row r="153" spans="12:18" x14ac:dyDescent="0.25">
      <c r="L153" s="26">
        <v>39665</v>
      </c>
      <c r="M153" s="6">
        <v>54.18</v>
      </c>
      <c r="N153" s="6">
        <v>54.360000999999997</v>
      </c>
      <c r="O153" s="6">
        <v>53.75</v>
      </c>
      <c r="P153" s="6">
        <v>54.360000999999997</v>
      </c>
      <c r="Q153" s="6">
        <v>39.066513</v>
      </c>
      <c r="R153" s="58">
        <v>2397400</v>
      </c>
    </row>
    <row r="154" spans="12:18" x14ac:dyDescent="0.25">
      <c r="L154" s="26">
        <v>39666</v>
      </c>
      <c r="M154" s="6">
        <v>54.299999</v>
      </c>
      <c r="N154" s="6">
        <v>54.84</v>
      </c>
      <c r="O154" s="6">
        <v>54</v>
      </c>
      <c r="P154" s="6">
        <v>54.779998999999997</v>
      </c>
      <c r="Q154" s="6">
        <v>39.368335999999999</v>
      </c>
      <c r="R154" s="58">
        <v>1812000</v>
      </c>
    </row>
    <row r="155" spans="12:18" x14ac:dyDescent="0.25">
      <c r="L155" s="26">
        <v>39667</v>
      </c>
      <c r="M155" s="6">
        <v>54.380001</v>
      </c>
      <c r="N155" s="6">
        <v>54.490001999999997</v>
      </c>
      <c r="O155" s="6">
        <v>53.419998</v>
      </c>
      <c r="P155" s="6">
        <v>53.560001</v>
      </c>
      <c r="Q155" s="6">
        <v>38.491576999999999</v>
      </c>
      <c r="R155" s="58">
        <v>2339800</v>
      </c>
    </row>
    <row r="156" spans="12:18" x14ac:dyDescent="0.25">
      <c r="L156" s="26">
        <v>39668</v>
      </c>
      <c r="M156" s="6">
        <v>53.68</v>
      </c>
      <c r="N156" s="6">
        <v>55.84</v>
      </c>
      <c r="O156" s="6">
        <v>53.599997999999999</v>
      </c>
      <c r="P156" s="6">
        <v>55.709999000000003</v>
      </c>
      <c r="Q156" s="6">
        <v>40.036701000000001</v>
      </c>
      <c r="R156" s="58">
        <v>2976100</v>
      </c>
    </row>
    <row r="157" spans="12:18" x14ac:dyDescent="0.25">
      <c r="L157" s="26">
        <v>39671</v>
      </c>
      <c r="M157" s="6">
        <v>55.52</v>
      </c>
      <c r="N157" s="6">
        <v>55.77</v>
      </c>
      <c r="O157" s="6">
        <v>54.610000999999997</v>
      </c>
      <c r="P157" s="6">
        <v>55.709999000000003</v>
      </c>
      <c r="Q157" s="6">
        <v>40.036701000000001</v>
      </c>
      <c r="R157" s="58">
        <v>4495100</v>
      </c>
    </row>
    <row r="158" spans="12:18" x14ac:dyDescent="0.25">
      <c r="L158" s="26">
        <v>39672</v>
      </c>
      <c r="M158" s="6">
        <v>55.639999000000003</v>
      </c>
      <c r="N158" s="6">
        <v>55.779998999999997</v>
      </c>
      <c r="O158" s="6">
        <v>55.029998999999997</v>
      </c>
      <c r="P158" s="6">
        <v>55.450001</v>
      </c>
      <c r="Q158" s="6">
        <v>39.849857</v>
      </c>
      <c r="R158" s="58">
        <v>2449800</v>
      </c>
    </row>
    <row r="159" spans="12:18" x14ac:dyDescent="0.25">
      <c r="L159" s="26">
        <v>39673</v>
      </c>
      <c r="M159" s="6">
        <v>55.25</v>
      </c>
      <c r="N159" s="6">
        <v>55.389999000000003</v>
      </c>
      <c r="O159" s="6">
        <v>54.580002</v>
      </c>
      <c r="P159" s="6">
        <v>54.740001999999997</v>
      </c>
      <c r="Q159" s="6">
        <v>39.339599999999997</v>
      </c>
      <c r="R159" s="58">
        <v>1888000</v>
      </c>
    </row>
    <row r="160" spans="12:18" x14ac:dyDescent="0.25">
      <c r="L160" s="26">
        <v>39674</v>
      </c>
      <c r="M160" s="6">
        <v>54.049999</v>
      </c>
      <c r="N160" s="6">
        <v>55.09</v>
      </c>
      <c r="O160" s="6">
        <v>53.779998999999997</v>
      </c>
      <c r="P160" s="6">
        <v>54.610000999999997</v>
      </c>
      <c r="Q160" s="6">
        <v>39.246178</v>
      </c>
      <c r="R160" s="58">
        <v>1678600</v>
      </c>
    </row>
    <row r="161" spans="12:18" x14ac:dyDescent="0.25">
      <c r="L161" s="26">
        <v>39675</v>
      </c>
      <c r="M161" s="6">
        <v>54.740001999999997</v>
      </c>
      <c r="N161" s="6">
        <v>55.630001</v>
      </c>
      <c r="O161" s="6">
        <v>54.610000999999997</v>
      </c>
      <c r="P161" s="6">
        <v>55.5</v>
      </c>
      <c r="Q161" s="6">
        <v>39.885787999999998</v>
      </c>
      <c r="R161" s="58">
        <v>1756900</v>
      </c>
    </row>
    <row r="162" spans="12:18" x14ac:dyDescent="0.25">
      <c r="L162" s="26">
        <v>39678</v>
      </c>
      <c r="M162" s="6">
        <v>55.369999</v>
      </c>
      <c r="N162" s="6">
        <v>55.459999000000003</v>
      </c>
      <c r="O162" s="6">
        <v>54.540000999999997</v>
      </c>
      <c r="P162" s="6">
        <v>54.689999</v>
      </c>
      <c r="Q162" s="6">
        <v>39.303660999999998</v>
      </c>
      <c r="R162" s="58">
        <v>1252500</v>
      </c>
    </row>
    <row r="163" spans="12:18" x14ac:dyDescent="0.25">
      <c r="L163" s="26">
        <v>39679</v>
      </c>
      <c r="M163" s="6">
        <v>54.549999</v>
      </c>
      <c r="N163" s="6">
        <v>54.84</v>
      </c>
      <c r="O163" s="6">
        <v>53.849997999999999</v>
      </c>
      <c r="P163" s="6">
        <v>53.889999000000003</v>
      </c>
      <c r="Q163" s="6">
        <v>38.728740999999999</v>
      </c>
      <c r="R163" s="58">
        <v>1764600</v>
      </c>
    </row>
    <row r="164" spans="12:18" x14ac:dyDescent="0.25">
      <c r="L164" s="26">
        <v>39680</v>
      </c>
      <c r="M164" s="6">
        <v>53.919998</v>
      </c>
      <c r="N164" s="6">
        <v>54.509998000000003</v>
      </c>
      <c r="O164" s="6">
        <v>53.040000999999997</v>
      </c>
      <c r="P164" s="6">
        <v>54.419998</v>
      </c>
      <c r="Q164" s="6">
        <v>39.109614999999998</v>
      </c>
      <c r="R164" s="58">
        <v>1694300</v>
      </c>
    </row>
    <row r="165" spans="12:18" x14ac:dyDescent="0.25">
      <c r="L165" s="26">
        <v>39681</v>
      </c>
      <c r="M165" s="6">
        <v>54.009998000000003</v>
      </c>
      <c r="N165" s="6">
        <v>54.419998</v>
      </c>
      <c r="O165" s="6">
        <v>53.860000999999997</v>
      </c>
      <c r="P165" s="6">
        <v>54.18</v>
      </c>
      <c r="Q165" s="6">
        <v>38.937137999999997</v>
      </c>
      <c r="R165" s="58">
        <v>778400</v>
      </c>
    </row>
    <row r="166" spans="12:18" x14ac:dyDescent="0.25">
      <c r="L166" s="26">
        <v>39682</v>
      </c>
      <c r="M166" s="6">
        <v>54.290000999999997</v>
      </c>
      <c r="N166" s="6">
        <v>54.619999</v>
      </c>
      <c r="O166" s="6">
        <v>53.990001999999997</v>
      </c>
      <c r="P166" s="6">
        <v>54.389999000000003</v>
      </c>
      <c r="Q166" s="6">
        <v>39.088073999999999</v>
      </c>
      <c r="R166" s="58">
        <v>838100</v>
      </c>
    </row>
    <row r="167" spans="12:18" x14ac:dyDescent="0.25">
      <c r="L167" s="26">
        <v>39685</v>
      </c>
      <c r="M167" s="6">
        <v>54.209999000000003</v>
      </c>
      <c r="N167" s="6">
        <v>54.240001999999997</v>
      </c>
      <c r="O167" s="6">
        <v>53.450001</v>
      </c>
      <c r="P167" s="6">
        <v>53.91</v>
      </c>
      <c r="Q167" s="6">
        <v>38.743107000000002</v>
      </c>
      <c r="R167" s="58">
        <v>1686800</v>
      </c>
    </row>
    <row r="168" spans="12:18" x14ac:dyDescent="0.25">
      <c r="L168" s="26">
        <v>39686</v>
      </c>
      <c r="M168" s="6">
        <v>53.810001</v>
      </c>
      <c r="N168" s="6">
        <v>53.810001</v>
      </c>
      <c r="O168" s="6">
        <v>53.240001999999997</v>
      </c>
      <c r="P168" s="6">
        <v>53.389999000000003</v>
      </c>
      <c r="Q168" s="6">
        <v>38.369399999999999</v>
      </c>
      <c r="R168" s="58">
        <v>1392100</v>
      </c>
    </row>
    <row r="169" spans="12:18" x14ac:dyDescent="0.25">
      <c r="L169" s="26">
        <v>39687</v>
      </c>
      <c r="M169" s="6">
        <v>53.400002000000001</v>
      </c>
      <c r="N169" s="6">
        <v>54.450001</v>
      </c>
      <c r="O169" s="6">
        <v>53.400002000000001</v>
      </c>
      <c r="P169" s="6">
        <v>54.32</v>
      </c>
      <c r="Q169" s="6">
        <v>39.037757999999997</v>
      </c>
      <c r="R169" s="58">
        <v>1404800</v>
      </c>
    </row>
    <row r="170" spans="12:18" x14ac:dyDescent="0.25">
      <c r="L170" s="26">
        <v>39688</v>
      </c>
      <c r="M170" s="6">
        <v>54.32</v>
      </c>
      <c r="N170" s="6">
        <v>54.860000999999997</v>
      </c>
      <c r="O170" s="6">
        <v>53.98</v>
      </c>
      <c r="P170" s="6">
        <v>54.860000999999997</v>
      </c>
      <c r="Q170" s="6">
        <v>39.674187000000003</v>
      </c>
      <c r="R170" s="58">
        <v>2052400</v>
      </c>
    </row>
    <row r="171" spans="12:18" x14ac:dyDescent="0.25">
      <c r="L171" s="26">
        <v>39689</v>
      </c>
      <c r="M171" s="6">
        <v>54.700001</v>
      </c>
      <c r="N171" s="6">
        <v>55</v>
      </c>
      <c r="O171" s="6">
        <v>54.349997999999999</v>
      </c>
      <c r="P171" s="6">
        <v>54.439999</v>
      </c>
      <c r="Q171" s="6">
        <v>39.370415000000001</v>
      </c>
      <c r="R171" s="58">
        <v>2508500</v>
      </c>
    </row>
    <row r="172" spans="12:18" x14ac:dyDescent="0.25">
      <c r="L172" s="26">
        <v>39693</v>
      </c>
      <c r="M172" s="6">
        <v>54.830002</v>
      </c>
      <c r="N172" s="6">
        <v>55.700001</v>
      </c>
      <c r="O172" s="6">
        <v>54.669998</v>
      </c>
      <c r="P172" s="6">
        <v>55.380001</v>
      </c>
      <c r="Q172" s="6">
        <v>40.050217000000004</v>
      </c>
      <c r="R172" s="58">
        <v>2432700</v>
      </c>
    </row>
    <row r="173" spans="12:18" x14ac:dyDescent="0.25">
      <c r="L173" s="26">
        <v>39694</v>
      </c>
      <c r="M173" s="6">
        <v>55.759998000000003</v>
      </c>
      <c r="N173" s="6">
        <v>55.759998000000003</v>
      </c>
      <c r="O173" s="6">
        <v>54.389999000000003</v>
      </c>
      <c r="P173" s="6">
        <v>54.470001000000003</v>
      </c>
      <c r="Q173" s="6">
        <v>39.392139</v>
      </c>
      <c r="R173" s="58">
        <v>1844100</v>
      </c>
    </row>
    <row r="174" spans="12:18" x14ac:dyDescent="0.25">
      <c r="L174" s="26">
        <v>39695</v>
      </c>
      <c r="M174" s="6">
        <v>54.259998000000003</v>
      </c>
      <c r="N174" s="6">
        <v>54.84</v>
      </c>
      <c r="O174" s="6">
        <v>54.02</v>
      </c>
      <c r="P174" s="6">
        <v>54.279998999999997</v>
      </c>
      <c r="Q174" s="6">
        <v>39.254714999999997</v>
      </c>
      <c r="R174" s="58">
        <v>2583800</v>
      </c>
    </row>
    <row r="175" spans="12:18" x14ac:dyDescent="0.25">
      <c r="L175" s="26">
        <v>39696</v>
      </c>
      <c r="M175" s="6">
        <v>54.040000999999997</v>
      </c>
      <c r="N175" s="6">
        <v>55.150002000000001</v>
      </c>
      <c r="O175" s="6">
        <v>54</v>
      </c>
      <c r="P175" s="6">
        <v>55.009998000000003</v>
      </c>
      <c r="Q175" s="6">
        <v>39.782654000000001</v>
      </c>
      <c r="R175" s="58">
        <v>1786100</v>
      </c>
    </row>
    <row r="176" spans="12:18" x14ac:dyDescent="0.25">
      <c r="L176" s="26">
        <v>39699</v>
      </c>
      <c r="M176" s="6">
        <v>55.799999</v>
      </c>
      <c r="N176" s="6">
        <v>56.299999</v>
      </c>
      <c r="O176" s="6">
        <v>55.099997999999999</v>
      </c>
      <c r="P176" s="6">
        <v>56.220001000000003</v>
      </c>
      <c r="Q176" s="6">
        <v>40.657696000000001</v>
      </c>
      <c r="R176" s="58">
        <v>2415600</v>
      </c>
    </row>
    <row r="177" spans="12:18" x14ac:dyDescent="0.25">
      <c r="L177" s="26">
        <v>39700</v>
      </c>
      <c r="M177" s="6">
        <v>56.220001000000003</v>
      </c>
      <c r="N177" s="6">
        <v>56.549999</v>
      </c>
      <c r="O177" s="6">
        <v>55.68</v>
      </c>
      <c r="P177" s="6">
        <v>55.68</v>
      </c>
      <c r="Q177" s="6">
        <v>40.267184999999998</v>
      </c>
      <c r="R177" s="58">
        <v>2604000</v>
      </c>
    </row>
    <row r="178" spans="12:18" x14ac:dyDescent="0.25">
      <c r="L178" s="26">
        <v>39701</v>
      </c>
      <c r="M178" s="6">
        <v>55.919998</v>
      </c>
      <c r="N178" s="6">
        <v>56.040000999999997</v>
      </c>
      <c r="O178" s="6">
        <v>55.27</v>
      </c>
      <c r="P178" s="6">
        <v>55.43</v>
      </c>
      <c r="Q178" s="6">
        <v>40.086371999999997</v>
      </c>
      <c r="R178" s="58">
        <v>1939000</v>
      </c>
    </row>
    <row r="179" spans="12:18" x14ac:dyDescent="0.25">
      <c r="L179" s="26">
        <v>39702</v>
      </c>
      <c r="M179" s="6">
        <v>55.310001</v>
      </c>
      <c r="N179" s="6">
        <v>55.93</v>
      </c>
      <c r="O179" s="6">
        <v>54.93</v>
      </c>
      <c r="P179" s="6">
        <v>55.860000999999997</v>
      </c>
      <c r="Q179" s="6">
        <v>40.397354</v>
      </c>
      <c r="R179" s="58">
        <v>1676700</v>
      </c>
    </row>
    <row r="180" spans="12:18" x14ac:dyDescent="0.25">
      <c r="L180" s="26">
        <v>39703</v>
      </c>
      <c r="M180" s="6">
        <v>55.529998999999997</v>
      </c>
      <c r="N180" s="6">
        <v>56.299999</v>
      </c>
      <c r="O180" s="6">
        <v>55.369999</v>
      </c>
      <c r="P180" s="6">
        <v>56.209999000000003</v>
      </c>
      <c r="Q180" s="6">
        <v>40.650478</v>
      </c>
      <c r="R180" s="58">
        <v>2059800</v>
      </c>
    </row>
    <row r="181" spans="12:18" x14ac:dyDescent="0.25">
      <c r="L181" s="26">
        <v>39706</v>
      </c>
      <c r="M181" s="6">
        <v>55.52</v>
      </c>
      <c r="N181" s="6">
        <v>56.470001000000003</v>
      </c>
      <c r="O181" s="6">
        <v>55.18</v>
      </c>
      <c r="P181" s="6">
        <v>55.68</v>
      </c>
      <c r="Q181" s="6">
        <v>40.267184999999998</v>
      </c>
      <c r="R181" s="58">
        <v>1735500</v>
      </c>
    </row>
    <row r="182" spans="12:18" x14ac:dyDescent="0.25">
      <c r="L182" s="26">
        <v>39707</v>
      </c>
      <c r="M182" s="6">
        <v>55.75</v>
      </c>
      <c r="N182" s="6">
        <v>56.310001</v>
      </c>
      <c r="O182" s="6">
        <v>54.580002</v>
      </c>
      <c r="P182" s="6">
        <v>56.119999</v>
      </c>
      <c r="Q182" s="6">
        <v>40.585377000000001</v>
      </c>
      <c r="R182" s="58">
        <v>1910400</v>
      </c>
    </row>
    <row r="183" spans="12:18" x14ac:dyDescent="0.25">
      <c r="L183" s="26">
        <v>39708</v>
      </c>
      <c r="M183" s="6">
        <v>55.560001</v>
      </c>
      <c r="N183" s="6">
        <v>57.330002</v>
      </c>
      <c r="O183" s="6">
        <v>55.560001</v>
      </c>
      <c r="P183" s="6">
        <v>56.41</v>
      </c>
      <c r="Q183" s="6">
        <v>40.795101000000003</v>
      </c>
      <c r="R183" s="58">
        <v>3803900</v>
      </c>
    </row>
    <row r="184" spans="12:18" x14ac:dyDescent="0.25">
      <c r="L184" s="26">
        <v>39709</v>
      </c>
      <c r="M184" s="6">
        <v>57.040000999999997</v>
      </c>
      <c r="N184" s="6">
        <v>57.48</v>
      </c>
      <c r="O184" s="6">
        <v>55.599997999999999</v>
      </c>
      <c r="P184" s="6">
        <v>56.939999</v>
      </c>
      <c r="Q184" s="6">
        <v>41.178393999999997</v>
      </c>
      <c r="R184" s="58">
        <v>3109000</v>
      </c>
    </row>
    <row r="185" spans="12:18" x14ac:dyDescent="0.25">
      <c r="L185" s="26">
        <v>39710</v>
      </c>
      <c r="M185" s="6">
        <v>57.110000999999997</v>
      </c>
      <c r="N185" s="6">
        <v>58.509998000000003</v>
      </c>
      <c r="O185" s="6">
        <v>55.75</v>
      </c>
      <c r="P185" s="6">
        <v>56.68</v>
      </c>
      <c r="Q185" s="6">
        <v>40.990360000000003</v>
      </c>
      <c r="R185" s="58">
        <v>3150200</v>
      </c>
    </row>
    <row r="186" spans="12:18" x14ac:dyDescent="0.25">
      <c r="L186" s="26">
        <v>39713</v>
      </c>
      <c r="M186" s="6">
        <v>56.27</v>
      </c>
      <c r="N186" s="6">
        <v>56.669998</v>
      </c>
      <c r="O186" s="6">
        <v>55.169998</v>
      </c>
      <c r="P186" s="6">
        <v>55.360000999999997</v>
      </c>
      <c r="Q186" s="6">
        <v>40.035755000000002</v>
      </c>
      <c r="R186" s="58">
        <v>1946700</v>
      </c>
    </row>
    <row r="187" spans="12:18" x14ac:dyDescent="0.25">
      <c r="L187" s="26">
        <v>39714</v>
      </c>
      <c r="M187" s="6">
        <v>55.360000999999997</v>
      </c>
      <c r="N187" s="6">
        <v>56.48</v>
      </c>
      <c r="O187" s="6">
        <v>55.360000999999997</v>
      </c>
      <c r="P187" s="6">
        <v>55.470001000000003</v>
      </c>
      <c r="Q187" s="6">
        <v>40.115302999999997</v>
      </c>
      <c r="R187" s="58">
        <v>1716600</v>
      </c>
    </row>
    <row r="188" spans="12:18" x14ac:dyDescent="0.25">
      <c r="L188" s="26">
        <v>39715</v>
      </c>
      <c r="M188" s="6">
        <v>55.740001999999997</v>
      </c>
      <c r="N188" s="6">
        <v>56</v>
      </c>
      <c r="O188" s="6">
        <v>54.869999</v>
      </c>
      <c r="P188" s="6">
        <v>55.73</v>
      </c>
      <c r="Q188" s="6">
        <v>40.303333000000002</v>
      </c>
      <c r="R188" s="58">
        <v>1571900</v>
      </c>
    </row>
    <row r="189" spans="12:18" x14ac:dyDescent="0.25">
      <c r="L189" s="26">
        <v>39716</v>
      </c>
      <c r="M189" s="6">
        <v>55.950001</v>
      </c>
      <c r="N189" s="6">
        <v>56.900002000000001</v>
      </c>
      <c r="O189" s="6">
        <v>55.75</v>
      </c>
      <c r="P189" s="6">
        <v>56.490001999999997</v>
      </c>
      <c r="Q189" s="6">
        <v>40.852966000000002</v>
      </c>
      <c r="R189" s="58">
        <v>2373400</v>
      </c>
    </row>
    <row r="190" spans="12:18" x14ac:dyDescent="0.25">
      <c r="L190" s="26">
        <v>39717</v>
      </c>
      <c r="M190" s="6">
        <v>56.400002000000001</v>
      </c>
      <c r="N190" s="6">
        <v>57.470001000000003</v>
      </c>
      <c r="O190" s="6">
        <v>56.150002000000001</v>
      </c>
      <c r="P190" s="6">
        <v>57.389999000000003</v>
      </c>
      <c r="Q190" s="6">
        <v>41.503833999999998</v>
      </c>
      <c r="R190" s="58">
        <v>2065800</v>
      </c>
    </row>
    <row r="191" spans="12:18" x14ac:dyDescent="0.25">
      <c r="L191" s="26">
        <v>39720</v>
      </c>
      <c r="M191" s="6">
        <v>56.860000999999997</v>
      </c>
      <c r="N191" s="6">
        <v>57.48</v>
      </c>
      <c r="O191" s="6">
        <v>54.790000999999997</v>
      </c>
      <c r="P191" s="6">
        <v>55.220001000000003</v>
      </c>
      <c r="Q191" s="6">
        <v>39.934513000000003</v>
      </c>
      <c r="R191" s="58">
        <v>2716800</v>
      </c>
    </row>
    <row r="192" spans="12:18" x14ac:dyDescent="0.25">
      <c r="L192" s="26">
        <v>39721</v>
      </c>
      <c r="M192" s="6">
        <v>55.299999</v>
      </c>
      <c r="N192" s="6">
        <v>56.400002000000001</v>
      </c>
      <c r="O192" s="6">
        <v>55.299999</v>
      </c>
      <c r="P192" s="6">
        <v>56.099997999999999</v>
      </c>
      <c r="Q192" s="6">
        <v>40.570919000000004</v>
      </c>
      <c r="R192" s="58">
        <v>2295200</v>
      </c>
    </row>
    <row r="193" spans="12:18" x14ac:dyDescent="0.25">
      <c r="L193" s="26">
        <v>39722</v>
      </c>
      <c r="M193" s="6">
        <v>55.759998000000003</v>
      </c>
      <c r="N193" s="6">
        <v>56.66</v>
      </c>
      <c r="O193" s="6">
        <v>55.689999</v>
      </c>
      <c r="P193" s="6">
        <v>56.529998999999997</v>
      </c>
      <c r="Q193" s="6">
        <v>40.881874000000003</v>
      </c>
      <c r="R193" s="58">
        <v>3355500</v>
      </c>
    </row>
    <row r="194" spans="12:18" x14ac:dyDescent="0.25">
      <c r="L194" s="26">
        <v>39723</v>
      </c>
      <c r="M194" s="6">
        <v>56.509998000000003</v>
      </c>
      <c r="N194" s="6">
        <v>57.470001000000003</v>
      </c>
      <c r="O194" s="6">
        <v>56.16</v>
      </c>
      <c r="P194" s="6">
        <v>57.02</v>
      </c>
      <c r="Q194" s="6">
        <v>41.236258999999997</v>
      </c>
      <c r="R194" s="58">
        <v>2286200</v>
      </c>
    </row>
    <row r="195" spans="12:18" x14ac:dyDescent="0.25">
      <c r="L195" s="26">
        <v>39724</v>
      </c>
      <c r="M195" s="6">
        <v>57.52</v>
      </c>
      <c r="N195" s="6">
        <v>57.66</v>
      </c>
      <c r="O195" s="6">
        <v>56.77</v>
      </c>
      <c r="P195" s="6">
        <v>57.209999000000003</v>
      </c>
      <c r="Q195" s="6">
        <v>41.373652999999997</v>
      </c>
      <c r="R195" s="58">
        <v>3485900</v>
      </c>
    </row>
    <row r="196" spans="12:18" x14ac:dyDescent="0.25">
      <c r="L196" s="26">
        <v>39727</v>
      </c>
      <c r="M196" s="6">
        <v>56.330002</v>
      </c>
      <c r="N196" s="6">
        <v>56.77</v>
      </c>
      <c r="O196" s="6">
        <v>55</v>
      </c>
      <c r="P196" s="6">
        <v>56</v>
      </c>
      <c r="Q196" s="6">
        <v>40.498607999999997</v>
      </c>
      <c r="R196" s="58">
        <v>4538400</v>
      </c>
    </row>
    <row r="197" spans="12:18" x14ac:dyDescent="0.25">
      <c r="L197" s="26">
        <v>39728</v>
      </c>
      <c r="M197" s="6">
        <v>56.43</v>
      </c>
      <c r="N197" s="6">
        <v>57.209999000000003</v>
      </c>
      <c r="O197" s="6">
        <v>55.330002</v>
      </c>
      <c r="P197" s="6">
        <v>55.650002000000001</v>
      </c>
      <c r="Q197" s="6">
        <v>40.245480000000001</v>
      </c>
      <c r="R197" s="58">
        <v>4757300</v>
      </c>
    </row>
    <row r="198" spans="12:18" x14ac:dyDescent="0.25">
      <c r="L198" s="26">
        <v>39729</v>
      </c>
      <c r="M198" s="6">
        <v>54.75</v>
      </c>
      <c r="N198" s="6">
        <v>55.950001</v>
      </c>
      <c r="O198" s="6">
        <v>52.25</v>
      </c>
      <c r="P198" s="6">
        <v>52.599997999999999</v>
      </c>
      <c r="Q198" s="6">
        <v>38.039760999999999</v>
      </c>
      <c r="R198" s="58">
        <v>6125300</v>
      </c>
    </row>
    <row r="199" spans="12:18" x14ac:dyDescent="0.25">
      <c r="L199" s="26">
        <v>39730</v>
      </c>
      <c r="M199" s="6">
        <v>52.669998</v>
      </c>
      <c r="N199" s="6">
        <v>53.610000999999997</v>
      </c>
      <c r="O199" s="6">
        <v>47.790000999999997</v>
      </c>
      <c r="P199" s="6">
        <v>48.619999</v>
      </c>
      <c r="Q199" s="6">
        <v>35.161465</v>
      </c>
      <c r="R199" s="58">
        <v>5900400</v>
      </c>
    </row>
    <row r="200" spans="12:18" x14ac:dyDescent="0.25">
      <c r="L200" s="26">
        <v>39731</v>
      </c>
      <c r="M200" s="6">
        <v>47.16</v>
      </c>
      <c r="N200" s="6">
        <v>51.07</v>
      </c>
      <c r="O200" s="6">
        <v>45.25</v>
      </c>
      <c r="P200" s="6">
        <v>48.490001999999997</v>
      </c>
      <c r="Q200" s="6">
        <v>35.067447999999999</v>
      </c>
      <c r="R200" s="58">
        <v>6538200</v>
      </c>
    </row>
    <row r="201" spans="12:18" x14ac:dyDescent="0.25">
      <c r="L201" s="26">
        <v>39734</v>
      </c>
      <c r="M201" s="6">
        <v>51.68</v>
      </c>
      <c r="N201" s="6">
        <v>54.82</v>
      </c>
      <c r="O201" s="6">
        <v>50.16</v>
      </c>
      <c r="P201" s="6">
        <v>52.27</v>
      </c>
      <c r="Q201" s="6">
        <v>37.801102</v>
      </c>
      <c r="R201" s="58">
        <v>3278000</v>
      </c>
    </row>
    <row r="202" spans="12:18" x14ac:dyDescent="0.25">
      <c r="L202" s="26">
        <v>39735</v>
      </c>
      <c r="M202" s="6">
        <v>54.119999</v>
      </c>
      <c r="N202" s="6">
        <v>54.5</v>
      </c>
      <c r="O202" s="6">
        <v>50.380001</v>
      </c>
      <c r="P202" s="6">
        <v>50.740001999999997</v>
      </c>
      <c r="Q202" s="6">
        <v>36.694622000000003</v>
      </c>
      <c r="R202" s="58">
        <v>4710300</v>
      </c>
    </row>
    <row r="203" spans="12:18" x14ac:dyDescent="0.25">
      <c r="L203" s="26">
        <v>39736</v>
      </c>
      <c r="M203" s="6">
        <v>50.549999</v>
      </c>
      <c r="N203" s="6">
        <v>51.18</v>
      </c>
      <c r="O203" s="6">
        <v>48</v>
      </c>
      <c r="P203" s="6">
        <v>48.310001</v>
      </c>
      <c r="Q203" s="6">
        <v>34.937275</v>
      </c>
      <c r="R203" s="58">
        <v>4288500</v>
      </c>
    </row>
    <row r="204" spans="12:18" x14ac:dyDescent="0.25">
      <c r="L204" s="26">
        <v>39737</v>
      </c>
      <c r="M204" s="6">
        <v>48.240001999999997</v>
      </c>
      <c r="N204" s="6">
        <v>50.59</v>
      </c>
      <c r="O204" s="6">
        <v>46.68</v>
      </c>
      <c r="P204" s="6">
        <v>50.52</v>
      </c>
      <c r="Q204" s="6">
        <v>36.535525999999997</v>
      </c>
      <c r="R204" s="58">
        <v>4684100</v>
      </c>
    </row>
    <row r="205" spans="12:18" x14ac:dyDescent="0.25">
      <c r="L205" s="26">
        <v>39738</v>
      </c>
      <c r="M205" s="6">
        <v>50.73</v>
      </c>
      <c r="N205" s="6">
        <v>51.73</v>
      </c>
      <c r="O205" s="6">
        <v>48.52</v>
      </c>
      <c r="P205" s="6">
        <v>50.459999000000003</v>
      </c>
      <c r="Q205" s="6">
        <v>36.492137999999997</v>
      </c>
      <c r="R205" s="58">
        <v>4365600</v>
      </c>
    </row>
    <row r="206" spans="12:18" x14ac:dyDescent="0.25">
      <c r="L206" s="26">
        <v>39741</v>
      </c>
      <c r="M206" s="6">
        <v>51</v>
      </c>
      <c r="N206" s="6">
        <v>51</v>
      </c>
      <c r="O206" s="6">
        <v>49.779998999999997</v>
      </c>
      <c r="P206" s="6">
        <v>50.849997999999999</v>
      </c>
      <c r="Q206" s="6">
        <v>36.774180999999999</v>
      </c>
      <c r="R206" s="58">
        <v>2744700</v>
      </c>
    </row>
    <row r="207" spans="12:18" x14ac:dyDescent="0.25">
      <c r="L207" s="26">
        <v>39742</v>
      </c>
      <c r="M207" s="6">
        <v>50.34</v>
      </c>
      <c r="N207" s="6">
        <v>51.080002</v>
      </c>
      <c r="O207" s="6">
        <v>50.119999</v>
      </c>
      <c r="P207" s="6">
        <v>50.299999</v>
      </c>
      <c r="Q207" s="6">
        <v>36.376423000000003</v>
      </c>
      <c r="R207" s="58">
        <v>2404300</v>
      </c>
    </row>
    <row r="208" spans="12:18" x14ac:dyDescent="0.25">
      <c r="L208" s="26">
        <v>39743</v>
      </c>
      <c r="M208" s="6">
        <v>50.060001</v>
      </c>
      <c r="N208" s="6">
        <v>50.380001</v>
      </c>
      <c r="O208" s="6">
        <v>47.970001000000003</v>
      </c>
      <c r="P208" s="6">
        <v>49.25</v>
      </c>
      <c r="Q208" s="6">
        <v>35.617085000000003</v>
      </c>
      <c r="R208" s="58">
        <v>2879800</v>
      </c>
    </row>
    <row r="209" spans="12:18" x14ac:dyDescent="0.25">
      <c r="L209" s="26">
        <v>39744</v>
      </c>
      <c r="M209" s="6">
        <v>49.48</v>
      </c>
      <c r="N209" s="6">
        <v>50.970001000000003</v>
      </c>
      <c r="O209" s="6">
        <v>48.5</v>
      </c>
      <c r="P209" s="6">
        <v>49.900002000000001</v>
      </c>
      <c r="Q209" s="6">
        <v>36.087153999999998</v>
      </c>
      <c r="R209" s="58">
        <v>5192400</v>
      </c>
    </row>
    <row r="210" spans="12:18" x14ac:dyDescent="0.25">
      <c r="L210" s="26">
        <v>39745</v>
      </c>
      <c r="M210" s="6">
        <v>48.380001</v>
      </c>
      <c r="N210" s="6">
        <v>49.330002</v>
      </c>
      <c r="O210" s="6">
        <v>47.419998</v>
      </c>
      <c r="P210" s="6">
        <v>48.220001000000003</v>
      </c>
      <c r="Q210" s="6">
        <v>34.872177000000001</v>
      </c>
      <c r="R210" s="58">
        <v>3497800</v>
      </c>
    </row>
    <row r="211" spans="12:18" x14ac:dyDescent="0.25">
      <c r="L211" s="26">
        <v>39748</v>
      </c>
      <c r="M211" s="6">
        <v>50.439999</v>
      </c>
      <c r="N211" s="6">
        <v>50.439999</v>
      </c>
      <c r="O211" s="6">
        <v>47.240001999999997</v>
      </c>
      <c r="P211" s="6">
        <v>47.610000999999997</v>
      </c>
      <c r="Q211" s="6">
        <v>34.431046000000002</v>
      </c>
      <c r="R211" s="58">
        <v>1848600</v>
      </c>
    </row>
    <row r="212" spans="12:18" x14ac:dyDescent="0.25">
      <c r="L212" s="26">
        <v>39749</v>
      </c>
      <c r="M212" s="6">
        <v>49.080002</v>
      </c>
      <c r="N212" s="6">
        <v>50.68</v>
      </c>
      <c r="O212" s="6">
        <v>47.209999000000003</v>
      </c>
      <c r="P212" s="6">
        <v>50.68</v>
      </c>
      <c r="Q212" s="6">
        <v>36.651237000000002</v>
      </c>
      <c r="R212" s="58">
        <v>3079500</v>
      </c>
    </row>
    <row r="213" spans="12:18" x14ac:dyDescent="0.25">
      <c r="L213" s="26">
        <v>39750</v>
      </c>
      <c r="M213" s="6">
        <v>51.75</v>
      </c>
      <c r="N213" s="6">
        <v>52.93</v>
      </c>
      <c r="O213" s="6">
        <v>49.900002000000001</v>
      </c>
      <c r="P213" s="6">
        <v>50.02</v>
      </c>
      <c r="Q213" s="6">
        <v>36.173938999999997</v>
      </c>
      <c r="R213" s="58">
        <v>4729200</v>
      </c>
    </row>
    <row r="214" spans="12:18" x14ac:dyDescent="0.25">
      <c r="L214" s="26">
        <v>39751</v>
      </c>
      <c r="M214" s="6">
        <v>51.220001000000003</v>
      </c>
      <c r="N214" s="6">
        <v>51.599997999999999</v>
      </c>
      <c r="O214" s="6">
        <v>49.57</v>
      </c>
      <c r="P214" s="6">
        <v>49.990001999999997</v>
      </c>
      <c r="Q214" s="6">
        <v>36.152240999999997</v>
      </c>
      <c r="R214" s="58">
        <v>2891400</v>
      </c>
    </row>
    <row r="215" spans="12:18" x14ac:dyDescent="0.25">
      <c r="L215" s="26">
        <v>39752</v>
      </c>
      <c r="M215" s="6">
        <v>50.580002</v>
      </c>
      <c r="N215" s="6">
        <v>51.310001</v>
      </c>
      <c r="O215" s="6">
        <v>49.59</v>
      </c>
      <c r="P215" s="6">
        <v>50.419998</v>
      </c>
      <c r="Q215" s="6">
        <v>36.463203</v>
      </c>
      <c r="R215" s="58">
        <v>3800700</v>
      </c>
    </row>
    <row r="216" spans="12:18" x14ac:dyDescent="0.25">
      <c r="L216" s="26">
        <v>39755</v>
      </c>
      <c r="M216" s="6">
        <v>50.630001</v>
      </c>
      <c r="N216" s="6">
        <v>52.549999</v>
      </c>
      <c r="O216" s="6">
        <v>50.549999</v>
      </c>
      <c r="P216" s="6">
        <v>52.310001</v>
      </c>
      <c r="Q216" s="6">
        <v>37.830029000000003</v>
      </c>
      <c r="R216" s="58">
        <v>2231100</v>
      </c>
    </row>
    <row r="217" spans="12:18" x14ac:dyDescent="0.25">
      <c r="L217" s="26">
        <v>39756</v>
      </c>
      <c r="M217" s="6">
        <v>53.150002000000001</v>
      </c>
      <c r="N217" s="6">
        <v>53.389999000000003</v>
      </c>
      <c r="O217" s="6">
        <v>52.279998999999997</v>
      </c>
      <c r="P217" s="6">
        <v>52.450001</v>
      </c>
      <c r="Q217" s="6">
        <v>37.931277999999999</v>
      </c>
      <c r="R217" s="58">
        <v>2800300</v>
      </c>
    </row>
    <row r="218" spans="12:18" x14ac:dyDescent="0.25">
      <c r="L218" s="26">
        <v>39757</v>
      </c>
      <c r="M218" s="6">
        <v>52.02</v>
      </c>
      <c r="N218" s="6">
        <v>52.259998000000003</v>
      </c>
      <c r="O218" s="6">
        <v>50.330002</v>
      </c>
      <c r="P218" s="6">
        <v>50.330002</v>
      </c>
      <c r="Q218" s="6">
        <v>36.398116999999999</v>
      </c>
      <c r="R218" s="58">
        <v>2886800</v>
      </c>
    </row>
    <row r="219" spans="12:18" x14ac:dyDescent="0.25">
      <c r="L219" s="26">
        <v>39758</v>
      </c>
      <c r="M219" s="6">
        <v>50.32</v>
      </c>
      <c r="N219" s="6">
        <v>50.709999000000003</v>
      </c>
      <c r="O219" s="6">
        <v>48.099997999999999</v>
      </c>
      <c r="P219" s="6">
        <v>48.400002000000001</v>
      </c>
      <c r="Q219" s="6">
        <v>35.002364999999998</v>
      </c>
      <c r="R219" s="58">
        <v>3210000</v>
      </c>
    </row>
    <row r="220" spans="12:18" x14ac:dyDescent="0.25">
      <c r="L220" s="26">
        <v>39759</v>
      </c>
      <c r="M220" s="6">
        <v>49.34</v>
      </c>
      <c r="N220" s="6">
        <v>49.619999</v>
      </c>
      <c r="O220" s="6">
        <v>48.080002</v>
      </c>
      <c r="P220" s="6">
        <v>49.540000999999997</v>
      </c>
      <c r="Q220" s="6">
        <v>35.826796999999999</v>
      </c>
      <c r="R220" s="58">
        <v>1785300</v>
      </c>
    </row>
    <row r="221" spans="12:18" x14ac:dyDescent="0.25">
      <c r="L221" s="26">
        <v>39762</v>
      </c>
      <c r="M221" s="6">
        <v>50.02</v>
      </c>
      <c r="N221" s="6">
        <v>50.810001</v>
      </c>
      <c r="O221" s="6">
        <v>49.169998</v>
      </c>
      <c r="P221" s="6">
        <v>49.990001999999997</v>
      </c>
      <c r="Q221" s="6">
        <v>36.152240999999997</v>
      </c>
      <c r="R221" s="58">
        <v>1587500</v>
      </c>
    </row>
    <row r="222" spans="12:18" x14ac:dyDescent="0.25">
      <c r="L222" s="26">
        <v>39763</v>
      </c>
      <c r="M222" s="6">
        <v>49.5</v>
      </c>
      <c r="N222" s="6">
        <v>49.5</v>
      </c>
      <c r="O222" s="6">
        <v>48.209999000000003</v>
      </c>
      <c r="P222" s="6">
        <v>48.700001</v>
      </c>
      <c r="Q222" s="6">
        <v>35.219318000000001</v>
      </c>
      <c r="R222" s="58">
        <v>1640400</v>
      </c>
    </row>
    <row r="223" spans="12:18" x14ac:dyDescent="0.25">
      <c r="L223" s="26">
        <v>39764</v>
      </c>
      <c r="M223" s="6">
        <v>49.48</v>
      </c>
      <c r="N223" s="6">
        <v>49.48</v>
      </c>
      <c r="O223" s="6">
        <v>47.009998000000003</v>
      </c>
      <c r="P223" s="6">
        <v>47.119999</v>
      </c>
      <c r="Q223" s="6">
        <v>34.076683000000003</v>
      </c>
      <c r="R223" s="58">
        <v>2302800</v>
      </c>
    </row>
    <row r="224" spans="12:18" x14ac:dyDescent="0.25">
      <c r="L224" s="26">
        <v>39765</v>
      </c>
      <c r="M224" s="6">
        <v>47.279998999999997</v>
      </c>
      <c r="N224" s="6">
        <v>49.09</v>
      </c>
      <c r="O224" s="6">
        <v>46.369999</v>
      </c>
      <c r="P224" s="6">
        <v>49.029998999999997</v>
      </c>
      <c r="Q224" s="6">
        <v>35.457962000000002</v>
      </c>
      <c r="R224" s="58">
        <v>2728900</v>
      </c>
    </row>
    <row r="225" spans="12:18" x14ac:dyDescent="0.25">
      <c r="L225" s="26">
        <v>39766</v>
      </c>
      <c r="M225" s="6">
        <v>48.23</v>
      </c>
      <c r="N225" s="6">
        <v>48.950001</v>
      </c>
      <c r="O225" s="6">
        <v>46.830002</v>
      </c>
      <c r="P225" s="6">
        <v>46.93</v>
      </c>
      <c r="Q225" s="6">
        <v>33.939273999999997</v>
      </c>
      <c r="R225" s="58">
        <v>3223200</v>
      </c>
    </row>
    <row r="226" spans="12:18" x14ac:dyDescent="0.25">
      <c r="L226" s="26">
        <v>39769</v>
      </c>
      <c r="M226" s="6">
        <v>46.82</v>
      </c>
      <c r="N226" s="6">
        <v>48.07</v>
      </c>
      <c r="O226" s="6">
        <v>46.209999000000003</v>
      </c>
      <c r="P226" s="6">
        <v>46.32</v>
      </c>
      <c r="Q226" s="6">
        <v>33.498119000000003</v>
      </c>
      <c r="R226" s="58">
        <v>2889700</v>
      </c>
    </row>
    <row r="227" spans="12:18" x14ac:dyDescent="0.25">
      <c r="L227" s="26">
        <v>39770</v>
      </c>
      <c r="M227" s="6">
        <v>45.450001</v>
      </c>
      <c r="N227" s="6">
        <v>47.18</v>
      </c>
      <c r="O227" s="6">
        <v>44.630001</v>
      </c>
      <c r="P227" s="6">
        <v>47.099997999999999</v>
      </c>
      <c r="Q227" s="6">
        <v>34.062224999999998</v>
      </c>
      <c r="R227" s="58">
        <v>4117100</v>
      </c>
    </row>
    <row r="228" spans="12:18" x14ac:dyDescent="0.25">
      <c r="L228" s="26">
        <v>39771</v>
      </c>
      <c r="M228" s="6">
        <v>46.77</v>
      </c>
      <c r="N228" s="6">
        <v>47.139999000000003</v>
      </c>
      <c r="O228" s="6">
        <v>44.119999</v>
      </c>
      <c r="P228" s="6">
        <v>44.119999</v>
      </c>
      <c r="Q228" s="6">
        <v>31.907108000000001</v>
      </c>
      <c r="R228" s="58">
        <v>3810200</v>
      </c>
    </row>
    <row r="229" spans="12:18" x14ac:dyDescent="0.25">
      <c r="L229" s="26">
        <v>39772</v>
      </c>
      <c r="M229" s="6">
        <v>43.709999000000003</v>
      </c>
      <c r="N229" s="6">
        <v>44.23</v>
      </c>
      <c r="O229" s="6">
        <v>40.509998000000003</v>
      </c>
      <c r="P229" s="6">
        <v>40.689999</v>
      </c>
      <c r="Q229" s="6">
        <v>29.426565</v>
      </c>
      <c r="R229" s="58">
        <v>5418100</v>
      </c>
    </row>
    <row r="230" spans="12:18" x14ac:dyDescent="0.25">
      <c r="L230" s="26">
        <v>39773</v>
      </c>
      <c r="M230" s="6">
        <v>41.41</v>
      </c>
      <c r="N230" s="6">
        <v>43.330002</v>
      </c>
      <c r="O230" s="6">
        <v>40.549999</v>
      </c>
      <c r="P230" s="6">
        <v>43.02</v>
      </c>
      <c r="Q230" s="6">
        <v>31.111601</v>
      </c>
      <c r="R230" s="58">
        <v>5140400</v>
      </c>
    </row>
    <row r="231" spans="12:18" x14ac:dyDescent="0.25">
      <c r="L231" s="26">
        <v>39776</v>
      </c>
      <c r="M231" s="6">
        <v>43.82</v>
      </c>
      <c r="N231" s="6">
        <v>44.389999000000003</v>
      </c>
      <c r="O231" s="6">
        <v>42.849997999999999</v>
      </c>
      <c r="P231" s="6">
        <v>43.310001</v>
      </c>
      <c r="Q231" s="6">
        <v>31.321331000000001</v>
      </c>
      <c r="R231" s="58">
        <v>3278700</v>
      </c>
    </row>
    <row r="232" spans="12:18" x14ac:dyDescent="0.25">
      <c r="L232" s="26">
        <v>39777</v>
      </c>
      <c r="M232" s="6">
        <v>43.869999</v>
      </c>
      <c r="N232" s="6">
        <v>43.900002000000001</v>
      </c>
      <c r="O232" s="6">
        <v>41.970001000000003</v>
      </c>
      <c r="P232" s="6">
        <v>42.43</v>
      </c>
      <c r="Q232" s="6">
        <v>30.684923000000001</v>
      </c>
      <c r="R232" s="58">
        <v>3589700</v>
      </c>
    </row>
    <row r="233" spans="12:18" x14ac:dyDescent="0.25">
      <c r="L233" s="26">
        <v>39778</v>
      </c>
      <c r="M233" s="6">
        <v>41.860000999999997</v>
      </c>
      <c r="N233" s="6">
        <v>43.57</v>
      </c>
      <c r="O233" s="6">
        <v>41</v>
      </c>
      <c r="P233" s="6">
        <v>43.220001000000003</v>
      </c>
      <c r="Q233" s="6">
        <v>31.256243000000001</v>
      </c>
      <c r="R233" s="58">
        <v>3117300</v>
      </c>
    </row>
    <row r="234" spans="12:18" x14ac:dyDescent="0.25">
      <c r="L234" s="26">
        <v>39780</v>
      </c>
      <c r="M234" s="6">
        <v>43.48</v>
      </c>
      <c r="N234" s="6">
        <v>43.990001999999997</v>
      </c>
      <c r="O234" s="6">
        <v>42.700001</v>
      </c>
      <c r="P234" s="6">
        <v>43.43</v>
      </c>
      <c r="Q234" s="6">
        <v>31.408110000000001</v>
      </c>
      <c r="R234" s="58">
        <v>1175400</v>
      </c>
    </row>
    <row r="235" spans="12:18" x14ac:dyDescent="0.25">
      <c r="L235" s="26">
        <v>39783</v>
      </c>
      <c r="M235" s="6">
        <v>42.77</v>
      </c>
      <c r="N235" s="6">
        <v>43.119999</v>
      </c>
      <c r="O235" s="6">
        <v>40.849997999999999</v>
      </c>
      <c r="P235" s="6">
        <v>40.909999999999997</v>
      </c>
      <c r="Q235" s="6">
        <v>29.819120000000002</v>
      </c>
      <c r="R235" s="58">
        <v>2838900</v>
      </c>
    </row>
    <row r="236" spans="12:18" x14ac:dyDescent="0.25">
      <c r="L236" s="26">
        <v>39784</v>
      </c>
      <c r="M236" s="6">
        <v>41.43</v>
      </c>
      <c r="N236" s="6">
        <v>41.830002</v>
      </c>
      <c r="O236" s="6">
        <v>40.369999</v>
      </c>
      <c r="P236" s="6">
        <v>41.41</v>
      </c>
      <c r="Q236" s="6">
        <v>30.183562999999999</v>
      </c>
      <c r="R236" s="58">
        <v>4227300</v>
      </c>
    </row>
    <row r="237" spans="12:18" x14ac:dyDescent="0.25">
      <c r="L237" s="26">
        <v>39785</v>
      </c>
      <c r="M237" s="6">
        <v>40.529998999999997</v>
      </c>
      <c r="N237" s="6">
        <v>41.950001</v>
      </c>
      <c r="O237" s="6">
        <v>40.32</v>
      </c>
      <c r="P237" s="6">
        <v>41.91</v>
      </c>
      <c r="Q237" s="6">
        <v>30.548012</v>
      </c>
      <c r="R237" s="58">
        <v>2513100</v>
      </c>
    </row>
    <row r="238" spans="12:18" x14ac:dyDescent="0.25">
      <c r="L238" s="26">
        <v>39786</v>
      </c>
      <c r="M238" s="6">
        <v>41.610000999999997</v>
      </c>
      <c r="N238" s="6">
        <v>42.099997999999999</v>
      </c>
      <c r="O238" s="6">
        <v>40.470001000000003</v>
      </c>
      <c r="P238" s="6">
        <v>40.880001</v>
      </c>
      <c r="Q238" s="6">
        <v>29.797253000000001</v>
      </c>
      <c r="R238" s="58">
        <v>2298600</v>
      </c>
    </row>
    <row r="239" spans="12:18" x14ac:dyDescent="0.25">
      <c r="L239" s="26">
        <v>39787</v>
      </c>
      <c r="M239" s="6">
        <v>40.830002</v>
      </c>
      <c r="N239" s="6">
        <v>42.84</v>
      </c>
      <c r="O239" s="6">
        <v>40.82</v>
      </c>
      <c r="P239" s="6">
        <v>42.73</v>
      </c>
      <c r="Q239" s="6">
        <v>31.145703999999999</v>
      </c>
      <c r="R239" s="58">
        <v>3899800</v>
      </c>
    </row>
    <row r="240" spans="12:18" x14ac:dyDescent="0.25">
      <c r="L240" s="26">
        <v>39790</v>
      </c>
      <c r="M240" s="6">
        <v>44.07</v>
      </c>
      <c r="N240" s="6">
        <v>44.07</v>
      </c>
      <c r="O240" s="6">
        <v>42.57</v>
      </c>
      <c r="P240" s="6">
        <v>42.849997999999999</v>
      </c>
      <c r="Q240" s="6">
        <v>31.233177000000001</v>
      </c>
      <c r="R240" s="58">
        <v>3355100</v>
      </c>
    </row>
    <row r="241" spans="12:18" x14ac:dyDescent="0.25">
      <c r="L241" s="26">
        <v>39791</v>
      </c>
      <c r="M241" s="6">
        <v>42.720001000000003</v>
      </c>
      <c r="N241" s="6">
        <v>43.41</v>
      </c>
      <c r="O241" s="6">
        <v>41.98</v>
      </c>
      <c r="P241" s="6">
        <v>42.110000999999997</v>
      </c>
      <c r="Q241" s="6">
        <v>30.69379</v>
      </c>
      <c r="R241" s="58">
        <v>2596700</v>
      </c>
    </row>
    <row r="242" spans="12:18" x14ac:dyDescent="0.25">
      <c r="L242" s="26">
        <v>39792</v>
      </c>
      <c r="M242" s="6">
        <v>42.389999000000003</v>
      </c>
      <c r="N242" s="6">
        <v>43.060001</v>
      </c>
      <c r="O242" s="6">
        <v>41.360000999999997</v>
      </c>
      <c r="P242" s="6">
        <v>42</v>
      </c>
      <c r="Q242" s="6">
        <v>30.613613000000001</v>
      </c>
      <c r="R242" s="58">
        <v>2783400</v>
      </c>
    </row>
    <row r="243" spans="12:18" x14ac:dyDescent="0.25">
      <c r="L243" s="26">
        <v>39793</v>
      </c>
      <c r="M243" s="6">
        <v>41.450001</v>
      </c>
      <c r="N243" s="6">
        <v>42.380001</v>
      </c>
      <c r="O243" s="6">
        <v>41.41</v>
      </c>
      <c r="P243" s="6">
        <v>41.59</v>
      </c>
      <c r="Q243" s="6">
        <v>30.314774</v>
      </c>
      <c r="R243" s="58">
        <v>2785700</v>
      </c>
    </row>
    <row r="244" spans="12:18" x14ac:dyDescent="0.25">
      <c r="L244" s="26">
        <v>39794</v>
      </c>
      <c r="M244" s="6">
        <v>41.459999000000003</v>
      </c>
      <c r="N244" s="6">
        <v>42.549999</v>
      </c>
      <c r="O244" s="6">
        <v>40.880001</v>
      </c>
      <c r="P244" s="6">
        <v>42.529998999999997</v>
      </c>
      <c r="Q244" s="6">
        <v>30.999919999999999</v>
      </c>
      <c r="R244" s="58">
        <v>2704000</v>
      </c>
    </row>
    <row r="245" spans="12:18" x14ac:dyDescent="0.25">
      <c r="L245" s="26">
        <v>39797</v>
      </c>
      <c r="M245" s="6">
        <v>42.849997999999999</v>
      </c>
      <c r="N245" s="6">
        <v>42.849997999999999</v>
      </c>
      <c r="O245" s="6">
        <v>41.759998000000003</v>
      </c>
      <c r="P245" s="6">
        <v>42.150002000000001</v>
      </c>
      <c r="Q245" s="6">
        <v>30.72296</v>
      </c>
      <c r="R245" s="58">
        <v>2077300</v>
      </c>
    </row>
    <row r="246" spans="12:18" x14ac:dyDescent="0.25">
      <c r="L246" s="26">
        <v>39798</v>
      </c>
      <c r="M246" s="6">
        <v>42.349997999999999</v>
      </c>
      <c r="N246" s="6">
        <v>43.970001000000003</v>
      </c>
      <c r="O246" s="6">
        <v>42.299999</v>
      </c>
      <c r="P246" s="6">
        <v>43.93</v>
      </c>
      <c r="Q246" s="6">
        <v>32.020381999999998</v>
      </c>
      <c r="R246" s="58">
        <v>3118100</v>
      </c>
    </row>
    <row r="247" spans="12:18" x14ac:dyDescent="0.25">
      <c r="L247" s="26">
        <v>39799</v>
      </c>
      <c r="M247" s="6">
        <v>44</v>
      </c>
      <c r="N247" s="6">
        <v>44</v>
      </c>
      <c r="O247" s="6">
        <v>42.689999</v>
      </c>
      <c r="P247" s="6">
        <v>42.77</v>
      </c>
      <c r="Q247" s="6">
        <v>31.174863999999999</v>
      </c>
      <c r="R247" s="58">
        <v>3053300</v>
      </c>
    </row>
    <row r="248" spans="12:18" x14ac:dyDescent="0.25">
      <c r="L248" s="26">
        <v>39800</v>
      </c>
      <c r="M248" s="6">
        <v>43.080002</v>
      </c>
      <c r="N248" s="6">
        <v>43.75</v>
      </c>
      <c r="O248" s="6">
        <v>42.220001000000003</v>
      </c>
      <c r="P248" s="6">
        <v>42.610000999999997</v>
      </c>
      <c r="Q248" s="6">
        <v>31.058233000000001</v>
      </c>
      <c r="R248" s="58">
        <v>2885600</v>
      </c>
    </row>
    <row r="249" spans="12:18" x14ac:dyDescent="0.25">
      <c r="L249" s="26">
        <v>39801</v>
      </c>
      <c r="M249" s="6">
        <v>43.57</v>
      </c>
      <c r="N249" s="6">
        <v>43.580002</v>
      </c>
      <c r="O249" s="6">
        <v>42.48</v>
      </c>
      <c r="P249" s="6">
        <v>42.630001</v>
      </c>
      <c r="Q249" s="6">
        <v>31.072808999999999</v>
      </c>
      <c r="R249" s="58">
        <v>2812100</v>
      </c>
    </row>
    <row r="250" spans="12:18" x14ac:dyDescent="0.25">
      <c r="L250" s="26">
        <v>39804</v>
      </c>
      <c r="M250" s="6">
        <v>42.540000999999997</v>
      </c>
      <c r="N250" s="6">
        <v>43.02</v>
      </c>
      <c r="O250" s="6">
        <v>41.700001</v>
      </c>
      <c r="P250" s="6">
        <v>42.23</v>
      </c>
      <c r="Q250" s="6">
        <v>30.781267</v>
      </c>
      <c r="R250" s="58">
        <v>2158000</v>
      </c>
    </row>
    <row r="251" spans="12:18" x14ac:dyDescent="0.25">
      <c r="L251" s="26">
        <v>39805</v>
      </c>
      <c r="M251" s="6">
        <v>42.25</v>
      </c>
      <c r="N251" s="6">
        <v>42.580002</v>
      </c>
      <c r="O251" s="6">
        <v>41.299999</v>
      </c>
      <c r="P251" s="6">
        <v>41.43</v>
      </c>
      <c r="Q251" s="6">
        <v>30.198143000000002</v>
      </c>
      <c r="R251" s="58">
        <v>2311400</v>
      </c>
    </row>
    <row r="252" spans="12:18" x14ac:dyDescent="0.25">
      <c r="L252" s="26">
        <v>39806</v>
      </c>
      <c r="M252" s="6">
        <v>41.75</v>
      </c>
      <c r="N252" s="6">
        <v>41.98</v>
      </c>
      <c r="O252" s="6">
        <v>41.380001</v>
      </c>
      <c r="P252" s="6">
        <v>41.66</v>
      </c>
      <c r="Q252" s="6">
        <v>30.365786</v>
      </c>
      <c r="R252" s="58">
        <v>727500</v>
      </c>
    </row>
    <row r="253" spans="12:18" x14ac:dyDescent="0.25">
      <c r="L253" s="26">
        <v>39808</v>
      </c>
      <c r="M253" s="6">
        <v>41.759998000000003</v>
      </c>
      <c r="N253" s="6">
        <v>42.52</v>
      </c>
      <c r="O253" s="6">
        <v>41.759998000000003</v>
      </c>
      <c r="P253" s="6">
        <v>42.299999</v>
      </c>
      <c r="Q253" s="6">
        <v>30.832280999999998</v>
      </c>
      <c r="R253" s="58">
        <v>1189000</v>
      </c>
    </row>
    <row r="254" spans="12:18" x14ac:dyDescent="0.25">
      <c r="L254" s="26">
        <v>39811</v>
      </c>
      <c r="M254" s="6">
        <v>42.389999000000003</v>
      </c>
      <c r="N254" s="6">
        <v>42.389999000000003</v>
      </c>
      <c r="O254" s="6">
        <v>41.77</v>
      </c>
      <c r="P254" s="6">
        <v>42.080002</v>
      </c>
      <c r="Q254" s="6">
        <v>30.67193</v>
      </c>
      <c r="R254" s="58">
        <v>2009600</v>
      </c>
    </row>
    <row r="255" spans="12:18" x14ac:dyDescent="0.25">
      <c r="L255" s="26">
        <v>39812</v>
      </c>
      <c r="M255" s="6">
        <v>42.169998</v>
      </c>
      <c r="N255" s="6">
        <v>43.189999</v>
      </c>
      <c r="O255" s="6">
        <v>42.169998</v>
      </c>
      <c r="P255" s="6">
        <v>43.189999</v>
      </c>
      <c r="Q255" s="6">
        <v>31.481005</v>
      </c>
      <c r="R255" s="58">
        <v>2697000</v>
      </c>
    </row>
    <row r="256" spans="12:18" x14ac:dyDescent="0.25">
      <c r="L256" s="26">
        <v>39813</v>
      </c>
      <c r="M256" s="6">
        <v>43.139999000000003</v>
      </c>
      <c r="N256" s="6">
        <v>44.080002</v>
      </c>
      <c r="O256" s="6">
        <v>43.139999000000003</v>
      </c>
      <c r="P256" s="6">
        <v>43.849997999999999</v>
      </c>
      <c r="Q256" s="6">
        <v>31.962071999999999</v>
      </c>
      <c r="R256" s="58">
        <v>2030700</v>
      </c>
    </row>
    <row r="257" spans="12:18" x14ac:dyDescent="0.25">
      <c r="L257" s="26">
        <v>39815</v>
      </c>
      <c r="M257" s="6">
        <v>43.98</v>
      </c>
      <c r="N257" s="6">
        <v>45.369999</v>
      </c>
      <c r="O257" s="6">
        <v>43.470001000000003</v>
      </c>
      <c r="P257" s="6">
        <v>45.049999</v>
      </c>
      <c r="Q257" s="6">
        <v>32.836742000000001</v>
      </c>
      <c r="R257" s="58">
        <v>2402100</v>
      </c>
    </row>
    <row r="258" spans="12:18" x14ac:dyDescent="0.25">
      <c r="L258" s="26">
        <v>39818</v>
      </c>
      <c r="M258" s="6">
        <v>44.950001</v>
      </c>
      <c r="N258" s="6">
        <v>45.189999</v>
      </c>
      <c r="O258" s="6">
        <v>44.540000999999997</v>
      </c>
      <c r="P258" s="6">
        <v>44.790000999999997</v>
      </c>
      <c r="Q258" s="6">
        <v>32.647235999999999</v>
      </c>
      <c r="R258" s="58">
        <v>2334200</v>
      </c>
    </row>
    <row r="259" spans="12:18" x14ac:dyDescent="0.25">
      <c r="L259" s="26">
        <v>39819</v>
      </c>
      <c r="M259" s="6">
        <v>45.09</v>
      </c>
      <c r="N259" s="6">
        <v>45.369999</v>
      </c>
      <c r="O259" s="6">
        <v>44.349997999999999</v>
      </c>
      <c r="P259" s="6">
        <v>44.650002000000001</v>
      </c>
      <c r="Q259" s="6">
        <v>32.545184999999996</v>
      </c>
      <c r="R259" s="58">
        <v>2053100</v>
      </c>
    </row>
    <row r="260" spans="12:18" x14ac:dyDescent="0.25">
      <c r="L260" s="26">
        <v>39820</v>
      </c>
      <c r="M260" s="6">
        <v>44.119999</v>
      </c>
      <c r="N260" s="6">
        <v>45.110000999999997</v>
      </c>
      <c r="O260" s="6">
        <v>44.119999</v>
      </c>
      <c r="P260" s="6">
        <v>44.470001000000003</v>
      </c>
      <c r="Q260" s="6">
        <v>32.413981999999997</v>
      </c>
      <c r="R260" s="58">
        <v>2402600</v>
      </c>
    </row>
    <row r="261" spans="12:18" x14ac:dyDescent="0.25">
      <c r="L261" s="26">
        <v>39821</v>
      </c>
      <c r="M261" s="6">
        <v>44.360000999999997</v>
      </c>
      <c r="N261" s="6">
        <v>44.669998</v>
      </c>
      <c r="O261" s="6">
        <v>42.25</v>
      </c>
      <c r="P261" s="6">
        <v>44.369999</v>
      </c>
      <c r="Q261" s="6">
        <v>32.341102999999997</v>
      </c>
      <c r="R261" s="58">
        <v>2367100</v>
      </c>
    </row>
    <row r="262" spans="12:18" x14ac:dyDescent="0.25">
      <c r="L262" s="26">
        <v>39822</v>
      </c>
      <c r="M262" s="6">
        <v>44.299999</v>
      </c>
      <c r="N262" s="6">
        <v>44.939999</v>
      </c>
      <c r="O262" s="6">
        <v>43.32</v>
      </c>
      <c r="P262" s="6">
        <v>43.540000999999997</v>
      </c>
      <c r="Q262" s="6">
        <v>31.736115999999999</v>
      </c>
      <c r="R262" s="58">
        <v>1936600</v>
      </c>
    </row>
    <row r="263" spans="12:18" x14ac:dyDescent="0.25">
      <c r="L263" s="26">
        <v>39825</v>
      </c>
      <c r="M263" s="6">
        <v>43.540000999999997</v>
      </c>
      <c r="N263" s="6">
        <v>43.84</v>
      </c>
      <c r="O263" s="6">
        <v>43.139999000000003</v>
      </c>
      <c r="P263" s="6">
        <v>43.700001</v>
      </c>
      <c r="Q263" s="6">
        <v>31.852730000000001</v>
      </c>
      <c r="R263" s="58">
        <v>2377700</v>
      </c>
    </row>
    <row r="264" spans="12:18" x14ac:dyDescent="0.25">
      <c r="L264" s="26">
        <v>39826</v>
      </c>
      <c r="M264" s="6">
        <v>43.709999000000003</v>
      </c>
      <c r="N264" s="6">
        <v>44.029998999999997</v>
      </c>
      <c r="O264" s="6">
        <v>43.43</v>
      </c>
      <c r="P264" s="6">
        <v>43.900002000000001</v>
      </c>
      <c r="Q264" s="6">
        <v>31.99851</v>
      </c>
      <c r="R264" s="58">
        <v>1912000</v>
      </c>
    </row>
    <row r="265" spans="12:18" x14ac:dyDescent="0.25">
      <c r="L265" s="26">
        <v>39827</v>
      </c>
      <c r="M265" s="6">
        <v>43.330002</v>
      </c>
      <c r="N265" s="6">
        <v>43.380001</v>
      </c>
      <c r="O265" s="6">
        <v>42.389999000000003</v>
      </c>
      <c r="P265" s="6">
        <v>42.650002000000001</v>
      </c>
      <c r="Q265" s="6">
        <v>31.087396999999999</v>
      </c>
      <c r="R265" s="58">
        <v>2189300</v>
      </c>
    </row>
    <row r="266" spans="12:18" x14ac:dyDescent="0.25">
      <c r="L266" s="26">
        <v>39828</v>
      </c>
      <c r="M266" s="6">
        <v>42.529998999999997</v>
      </c>
      <c r="N266" s="6">
        <v>42.779998999999997</v>
      </c>
      <c r="O266" s="6">
        <v>41.959999000000003</v>
      </c>
      <c r="P266" s="6">
        <v>42.75</v>
      </c>
      <c r="Q266" s="6">
        <v>31.160285999999999</v>
      </c>
      <c r="R266" s="58">
        <v>2748200</v>
      </c>
    </row>
    <row r="267" spans="12:18" x14ac:dyDescent="0.25">
      <c r="L267" s="26">
        <v>39829</v>
      </c>
      <c r="M267" s="6">
        <v>43.810001</v>
      </c>
      <c r="N267" s="6">
        <v>44.849997999999999</v>
      </c>
      <c r="O267" s="6">
        <v>43.799999</v>
      </c>
      <c r="P267" s="6">
        <v>44.630001</v>
      </c>
      <c r="Q267" s="6">
        <v>32.530605000000001</v>
      </c>
      <c r="R267" s="58">
        <v>4032200</v>
      </c>
    </row>
    <row r="268" spans="12:18" x14ac:dyDescent="0.25">
      <c r="L268" s="26">
        <v>39833</v>
      </c>
      <c r="M268" s="6">
        <v>44.490001999999997</v>
      </c>
      <c r="N268" s="6">
        <v>45.689999</v>
      </c>
      <c r="O268" s="6">
        <v>44.169998</v>
      </c>
      <c r="P268" s="6">
        <v>44.68</v>
      </c>
      <c r="Q268" s="6">
        <v>32.567036000000002</v>
      </c>
      <c r="R268" s="58">
        <v>3665400</v>
      </c>
    </row>
    <row r="269" spans="12:18" x14ac:dyDescent="0.25">
      <c r="L269" s="26">
        <v>39834</v>
      </c>
      <c r="M269" s="6">
        <v>45.41</v>
      </c>
      <c r="N269" s="6">
        <v>45.41</v>
      </c>
      <c r="O269" s="6">
        <v>44.189999</v>
      </c>
      <c r="P269" s="6">
        <v>45.110000999999997</v>
      </c>
      <c r="Q269" s="6">
        <v>32.880477999999997</v>
      </c>
      <c r="R269" s="58">
        <v>2651100</v>
      </c>
    </row>
    <row r="270" spans="12:18" x14ac:dyDescent="0.25">
      <c r="L270" s="26">
        <v>39835</v>
      </c>
      <c r="M270" s="6">
        <v>43.98</v>
      </c>
      <c r="N270" s="6">
        <v>45.07</v>
      </c>
      <c r="O270" s="6">
        <v>43.91</v>
      </c>
      <c r="P270" s="6">
        <v>44.919998</v>
      </c>
      <c r="Q270" s="6">
        <v>32.742001000000002</v>
      </c>
      <c r="R270" s="58">
        <v>3159300</v>
      </c>
    </row>
    <row r="271" spans="12:18" x14ac:dyDescent="0.25">
      <c r="L271" s="26">
        <v>39836</v>
      </c>
      <c r="M271" s="6">
        <v>43.950001</v>
      </c>
      <c r="N271" s="6">
        <v>44.369999</v>
      </c>
      <c r="O271" s="6">
        <v>43.529998999999997</v>
      </c>
      <c r="P271" s="6">
        <v>44.23</v>
      </c>
      <c r="Q271" s="6">
        <v>32.239052000000001</v>
      </c>
      <c r="R271" s="58">
        <v>2430500</v>
      </c>
    </row>
    <row r="272" spans="12:18" x14ac:dyDescent="0.25">
      <c r="L272" s="26">
        <v>39839</v>
      </c>
      <c r="M272" s="6">
        <v>44.23</v>
      </c>
      <c r="N272" s="6">
        <v>45.220001000000003</v>
      </c>
      <c r="O272" s="6">
        <v>44.23</v>
      </c>
      <c r="P272" s="6">
        <v>44.709999000000003</v>
      </c>
      <c r="Q272" s="6">
        <v>32.588923999999999</v>
      </c>
      <c r="R272" s="58">
        <v>2101700</v>
      </c>
    </row>
    <row r="273" spans="12:18" x14ac:dyDescent="0.25">
      <c r="L273" s="26">
        <v>39840</v>
      </c>
      <c r="M273" s="6">
        <v>45</v>
      </c>
      <c r="N273" s="6">
        <v>45.470001000000003</v>
      </c>
      <c r="O273" s="6">
        <v>44.799999</v>
      </c>
      <c r="P273" s="6">
        <v>45.240001999999997</v>
      </c>
      <c r="Q273" s="6">
        <v>32.975234999999998</v>
      </c>
      <c r="R273" s="58">
        <v>1602300</v>
      </c>
    </row>
    <row r="274" spans="12:18" x14ac:dyDescent="0.25">
      <c r="L274" s="26">
        <v>39841</v>
      </c>
      <c r="M274" s="6">
        <v>45.599997999999999</v>
      </c>
      <c r="N274" s="6">
        <v>45.650002000000001</v>
      </c>
      <c r="O274" s="6">
        <v>44.880001</v>
      </c>
      <c r="P274" s="6">
        <v>45.189999</v>
      </c>
      <c r="Q274" s="6">
        <v>32.938797000000001</v>
      </c>
      <c r="R274" s="58">
        <v>1988800</v>
      </c>
    </row>
    <row r="275" spans="12:18" x14ac:dyDescent="0.25">
      <c r="L275" s="26">
        <v>39842</v>
      </c>
      <c r="M275" s="6">
        <v>45.029998999999997</v>
      </c>
      <c r="N275" s="6">
        <v>45.939999</v>
      </c>
      <c r="O275" s="6">
        <v>44.82</v>
      </c>
      <c r="P275" s="6">
        <v>45.119999</v>
      </c>
      <c r="Q275" s="6">
        <v>32.887768000000001</v>
      </c>
      <c r="R275" s="58">
        <v>1580500</v>
      </c>
    </row>
    <row r="276" spans="12:18" x14ac:dyDescent="0.25">
      <c r="L276" s="26">
        <v>39843</v>
      </c>
      <c r="M276" s="6">
        <v>45.029998999999997</v>
      </c>
      <c r="N276" s="6">
        <v>45.029998999999997</v>
      </c>
      <c r="O276" s="6">
        <v>43.400002000000001</v>
      </c>
      <c r="P276" s="6">
        <v>43.689999</v>
      </c>
      <c r="Q276" s="6">
        <v>31.845445999999999</v>
      </c>
      <c r="R276" s="58">
        <v>2129800</v>
      </c>
    </row>
    <row r="277" spans="12:18" x14ac:dyDescent="0.25">
      <c r="L277" s="26">
        <v>39846</v>
      </c>
      <c r="M277" s="6">
        <v>43.029998999999997</v>
      </c>
      <c r="N277" s="6">
        <v>44.27</v>
      </c>
      <c r="O277" s="6">
        <v>43.029998999999997</v>
      </c>
      <c r="P277" s="6">
        <v>44.150002000000001</v>
      </c>
      <c r="Q277" s="6">
        <v>32.180751999999998</v>
      </c>
      <c r="R277" s="58">
        <v>1565000</v>
      </c>
    </row>
    <row r="278" spans="12:18" x14ac:dyDescent="0.25">
      <c r="L278" s="26">
        <v>39847</v>
      </c>
      <c r="M278" s="6">
        <v>44.349997999999999</v>
      </c>
      <c r="N278" s="6">
        <v>45.099997999999999</v>
      </c>
      <c r="O278" s="6">
        <v>43.580002</v>
      </c>
      <c r="P278" s="6">
        <v>44.93</v>
      </c>
      <c r="Q278" s="6">
        <v>32.749279000000001</v>
      </c>
      <c r="R278" s="58">
        <v>1995500</v>
      </c>
    </row>
    <row r="279" spans="12:18" x14ac:dyDescent="0.25">
      <c r="L279" s="26">
        <v>39848</v>
      </c>
      <c r="M279" s="6">
        <v>44.959999000000003</v>
      </c>
      <c r="N279" s="6">
        <v>44.959999000000003</v>
      </c>
      <c r="O279" s="6">
        <v>43.150002000000001</v>
      </c>
      <c r="P279" s="6">
        <v>43.490001999999997</v>
      </c>
      <c r="Q279" s="6">
        <v>31.699673000000001</v>
      </c>
      <c r="R279" s="58">
        <v>3424900</v>
      </c>
    </row>
    <row r="280" spans="12:18" x14ac:dyDescent="0.25">
      <c r="L280" s="26">
        <v>39849</v>
      </c>
      <c r="M280" s="6">
        <v>43.189999</v>
      </c>
      <c r="N280" s="6">
        <v>44.25</v>
      </c>
      <c r="O280" s="6">
        <v>43.139999000000003</v>
      </c>
      <c r="P280" s="6">
        <v>43.68</v>
      </c>
      <c r="Q280" s="6">
        <v>31.838169000000001</v>
      </c>
      <c r="R280" s="58">
        <v>3277000</v>
      </c>
    </row>
    <row r="281" spans="12:18" x14ac:dyDescent="0.25">
      <c r="L281" s="26">
        <v>39850</v>
      </c>
      <c r="M281" s="6">
        <v>43.799999</v>
      </c>
      <c r="N281" s="6">
        <v>43.950001</v>
      </c>
      <c r="O281" s="6">
        <v>43</v>
      </c>
      <c r="P281" s="6">
        <v>43.580002</v>
      </c>
      <c r="Q281" s="6">
        <v>31.765260999999999</v>
      </c>
      <c r="R281" s="58">
        <v>3038900</v>
      </c>
    </row>
    <row r="282" spans="12:18" x14ac:dyDescent="0.25">
      <c r="L282" s="26">
        <v>39853</v>
      </c>
      <c r="M282" s="6">
        <v>43.529998999999997</v>
      </c>
      <c r="N282" s="6">
        <v>43.709999000000003</v>
      </c>
      <c r="O282" s="6">
        <v>42.860000999999997</v>
      </c>
      <c r="P282" s="6">
        <v>43.23</v>
      </c>
      <c r="Q282" s="6">
        <v>31.510145000000001</v>
      </c>
      <c r="R282" s="58">
        <v>2132800</v>
      </c>
    </row>
    <row r="283" spans="12:18" x14ac:dyDescent="0.25">
      <c r="L283" s="26">
        <v>39854</v>
      </c>
      <c r="M283" s="6">
        <v>43.209999000000003</v>
      </c>
      <c r="N283" s="6">
        <v>43.23</v>
      </c>
      <c r="O283" s="6">
        <v>40.970001000000003</v>
      </c>
      <c r="P283" s="6">
        <v>41.259998000000003</v>
      </c>
      <c r="Q283" s="6">
        <v>30.074231999999999</v>
      </c>
      <c r="R283" s="58">
        <v>4066100</v>
      </c>
    </row>
    <row r="284" spans="12:18" x14ac:dyDescent="0.25">
      <c r="L284" s="26">
        <v>39855</v>
      </c>
      <c r="M284" s="6">
        <v>41.5</v>
      </c>
      <c r="N284" s="6">
        <v>41.700001</v>
      </c>
      <c r="O284" s="6">
        <v>40.790000999999997</v>
      </c>
      <c r="P284" s="6">
        <v>41.470001000000003</v>
      </c>
      <c r="Q284" s="6">
        <v>30.227308000000001</v>
      </c>
      <c r="R284" s="58">
        <v>2932000</v>
      </c>
    </row>
    <row r="285" spans="12:18" x14ac:dyDescent="0.25">
      <c r="L285" s="26">
        <v>39856</v>
      </c>
      <c r="M285" s="6">
        <v>41.02</v>
      </c>
      <c r="N285" s="6">
        <v>41.330002</v>
      </c>
      <c r="O285" s="6">
        <v>40.18</v>
      </c>
      <c r="P285" s="6">
        <v>41.310001</v>
      </c>
      <c r="Q285" s="6">
        <v>30.110682000000001</v>
      </c>
      <c r="R285" s="58">
        <v>3399700</v>
      </c>
    </row>
    <row r="286" spans="12:18" x14ac:dyDescent="0.25">
      <c r="L286" s="26">
        <v>39857</v>
      </c>
      <c r="M286" s="6">
        <v>41.259998000000003</v>
      </c>
      <c r="N286" s="6">
        <v>41.799999</v>
      </c>
      <c r="O286" s="6">
        <v>40.909999999999997</v>
      </c>
      <c r="P286" s="6">
        <v>41.380001</v>
      </c>
      <c r="Q286" s="6">
        <v>30.161698999999999</v>
      </c>
      <c r="R286" s="58">
        <v>2743200</v>
      </c>
    </row>
    <row r="287" spans="12:18" x14ac:dyDescent="0.25">
      <c r="L287" s="26">
        <v>39861</v>
      </c>
      <c r="M287" s="6">
        <v>40.770000000000003</v>
      </c>
      <c r="N287" s="6">
        <v>41.369999</v>
      </c>
      <c r="O287" s="6">
        <v>39.93</v>
      </c>
      <c r="P287" s="6">
        <v>40.159999999999997</v>
      </c>
      <c r="Q287" s="6">
        <v>29.272448000000001</v>
      </c>
      <c r="R287" s="58">
        <v>2574300</v>
      </c>
    </row>
    <row r="288" spans="12:18" x14ac:dyDescent="0.25">
      <c r="L288" s="26">
        <v>39862</v>
      </c>
      <c r="M288" s="6">
        <v>40.540000999999997</v>
      </c>
      <c r="N288" s="6">
        <v>40.740001999999997</v>
      </c>
      <c r="O288" s="6">
        <v>39.979999999999997</v>
      </c>
      <c r="P288" s="6">
        <v>40.330002</v>
      </c>
      <c r="Q288" s="6">
        <v>29.396367999999999</v>
      </c>
      <c r="R288" s="58">
        <v>2851500</v>
      </c>
    </row>
    <row r="289" spans="12:18" x14ac:dyDescent="0.25">
      <c r="L289" s="26">
        <v>39863</v>
      </c>
      <c r="M289" s="6">
        <v>40.729999999999997</v>
      </c>
      <c r="N289" s="6">
        <v>41.349997999999999</v>
      </c>
      <c r="O289" s="6">
        <v>40.450001</v>
      </c>
      <c r="P289" s="6">
        <v>40.849997999999999</v>
      </c>
      <c r="Q289" s="6">
        <v>29.775385</v>
      </c>
      <c r="R289" s="58">
        <v>2592000</v>
      </c>
    </row>
    <row r="290" spans="12:18" x14ac:dyDescent="0.25">
      <c r="L290" s="26">
        <v>39864</v>
      </c>
      <c r="M290" s="6">
        <v>40.07</v>
      </c>
      <c r="N290" s="6">
        <v>40.799999</v>
      </c>
      <c r="O290" s="6">
        <v>39.610000999999997</v>
      </c>
      <c r="P290" s="6">
        <v>40.169998</v>
      </c>
      <c r="Q290" s="6">
        <v>29.279747</v>
      </c>
      <c r="R290" s="58">
        <v>3763800</v>
      </c>
    </row>
    <row r="291" spans="12:18" x14ac:dyDescent="0.25">
      <c r="L291" s="26">
        <v>39867</v>
      </c>
      <c r="M291" s="6">
        <v>40.549999</v>
      </c>
      <c r="N291" s="6">
        <v>40.549999</v>
      </c>
      <c r="O291" s="6">
        <v>38.790000999999997</v>
      </c>
      <c r="P291" s="6">
        <v>39.07</v>
      </c>
      <c r="Q291" s="6">
        <v>28.477951000000001</v>
      </c>
      <c r="R291" s="58">
        <v>3145500</v>
      </c>
    </row>
    <row r="292" spans="12:18" x14ac:dyDescent="0.25">
      <c r="L292" s="26">
        <v>39868</v>
      </c>
      <c r="M292" s="6">
        <v>39.049999</v>
      </c>
      <c r="N292" s="6">
        <v>39.880001</v>
      </c>
      <c r="O292" s="6">
        <v>39</v>
      </c>
      <c r="P292" s="6">
        <v>39.669998</v>
      </c>
      <c r="Q292" s="6">
        <v>28.915291</v>
      </c>
      <c r="R292" s="58">
        <v>3345700</v>
      </c>
    </row>
    <row r="293" spans="12:18" x14ac:dyDescent="0.25">
      <c r="L293" s="26">
        <v>39869</v>
      </c>
      <c r="M293" s="6">
        <v>39.369999</v>
      </c>
      <c r="N293" s="6">
        <v>39.759998000000003</v>
      </c>
      <c r="O293" s="6">
        <v>39.119999</v>
      </c>
      <c r="P293" s="6">
        <v>39.220001000000003</v>
      </c>
      <c r="Q293" s="6">
        <v>28.587281999999998</v>
      </c>
      <c r="R293" s="58">
        <v>2968300</v>
      </c>
    </row>
    <row r="294" spans="12:18" x14ac:dyDescent="0.25">
      <c r="L294" s="26">
        <v>39870</v>
      </c>
      <c r="M294" s="6">
        <v>39.689999</v>
      </c>
      <c r="N294" s="6">
        <v>39.689999</v>
      </c>
      <c r="O294" s="6">
        <v>38.659999999999997</v>
      </c>
      <c r="P294" s="6">
        <v>38.709999000000003</v>
      </c>
      <c r="Q294" s="6">
        <v>28.215544000000001</v>
      </c>
      <c r="R294" s="58">
        <v>3720500</v>
      </c>
    </row>
    <row r="295" spans="12:18" x14ac:dyDescent="0.25">
      <c r="L295" s="26">
        <v>39871</v>
      </c>
      <c r="M295" s="6">
        <v>38.07</v>
      </c>
      <c r="N295" s="6">
        <v>39.419998</v>
      </c>
      <c r="O295" s="6">
        <v>38</v>
      </c>
      <c r="P295" s="6">
        <v>38.919998</v>
      </c>
      <c r="Q295" s="6">
        <v>28.619993000000001</v>
      </c>
      <c r="R295" s="58">
        <v>4190100</v>
      </c>
    </row>
    <row r="296" spans="12:18" x14ac:dyDescent="0.25">
      <c r="L296" s="26">
        <v>39874</v>
      </c>
      <c r="M296" s="6">
        <v>38.330002</v>
      </c>
      <c r="N296" s="6">
        <v>38.770000000000003</v>
      </c>
      <c r="O296" s="6">
        <v>37.880001</v>
      </c>
      <c r="P296" s="6">
        <v>37.959999000000003</v>
      </c>
      <c r="Q296" s="6">
        <v>27.914055000000001</v>
      </c>
      <c r="R296" s="58">
        <v>3786900</v>
      </c>
    </row>
    <row r="297" spans="12:18" x14ac:dyDescent="0.25">
      <c r="L297" s="26">
        <v>39875</v>
      </c>
      <c r="M297" s="6">
        <v>38.419998</v>
      </c>
      <c r="N297" s="6">
        <v>38.459999000000003</v>
      </c>
      <c r="O297" s="6">
        <v>37.650002000000001</v>
      </c>
      <c r="P297" s="6">
        <v>38.020000000000003</v>
      </c>
      <c r="Q297" s="6">
        <v>27.958174</v>
      </c>
      <c r="R297" s="58">
        <v>4330700</v>
      </c>
    </row>
    <row r="298" spans="12:18" x14ac:dyDescent="0.25">
      <c r="L298" s="26">
        <v>39876</v>
      </c>
      <c r="M298" s="6">
        <v>38.490001999999997</v>
      </c>
      <c r="N298" s="6">
        <v>38.740001999999997</v>
      </c>
      <c r="O298" s="6">
        <v>37.409999999999997</v>
      </c>
      <c r="P298" s="6">
        <v>38.07</v>
      </c>
      <c r="Q298" s="6">
        <v>27.994945999999999</v>
      </c>
      <c r="R298" s="58">
        <v>4279500</v>
      </c>
    </row>
    <row r="299" spans="12:18" x14ac:dyDescent="0.25">
      <c r="L299" s="26">
        <v>39877</v>
      </c>
      <c r="M299" s="6">
        <v>37.75</v>
      </c>
      <c r="N299" s="6">
        <v>37.75</v>
      </c>
      <c r="O299" s="6">
        <v>36.439999</v>
      </c>
      <c r="P299" s="6">
        <v>36.720001000000003</v>
      </c>
      <c r="Q299" s="6">
        <v>27.002213000000001</v>
      </c>
      <c r="R299" s="58">
        <v>4495800</v>
      </c>
    </row>
    <row r="300" spans="12:18" x14ac:dyDescent="0.25">
      <c r="L300" s="26">
        <v>39878</v>
      </c>
      <c r="M300" s="6">
        <v>36.669998</v>
      </c>
      <c r="N300" s="6">
        <v>37.619999</v>
      </c>
      <c r="O300" s="6">
        <v>36.310001</v>
      </c>
      <c r="P300" s="6">
        <v>37.159999999999997</v>
      </c>
      <c r="Q300" s="6">
        <v>27.325769000000001</v>
      </c>
      <c r="R300" s="58">
        <v>3387500</v>
      </c>
    </row>
    <row r="301" spans="12:18" x14ac:dyDescent="0.25">
      <c r="L301" s="26">
        <v>39881</v>
      </c>
      <c r="M301" s="6">
        <v>36.759998000000003</v>
      </c>
      <c r="N301" s="6">
        <v>36.93</v>
      </c>
      <c r="O301" s="6">
        <v>35.979999999999997</v>
      </c>
      <c r="P301" s="6">
        <v>36</v>
      </c>
      <c r="Q301" s="6">
        <v>26.472769</v>
      </c>
      <c r="R301" s="58">
        <v>3216500</v>
      </c>
    </row>
    <row r="302" spans="12:18" x14ac:dyDescent="0.25">
      <c r="L302" s="26">
        <v>39882</v>
      </c>
      <c r="M302" s="6">
        <v>36.560001</v>
      </c>
      <c r="N302" s="6">
        <v>36.560001</v>
      </c>
      <c r="O302" s="6">
        <v>35.709999000000003</v>
      </c>
      <c r="P302" s="6">
        <v>36.169998</v>
      </c>
      <c r="Q302" s="6">
        <v>26.597764999999999</v>
      </c>
      <c r="R302" s="58">
        <v>4193300</v>
      </c>
    </row>
    <row r="303" spans="12:18" x14ac:dyDescent="0.25">
      <c r="L303" s="26">
        <v>39883</v>
      </c>
      <c r="M303" s="6">
        <v>36.43</v>
      </c>
      <c r="N303" s="6">
        <v>36.459999000000003</v>
      </c>
      <c r="O303" s="6">
        <v>35.700001</v>
      </c>
      <c r="P303" s="6">
        <v>35.840000000000003</v>
      </c>
      <c r="Q303" s="6">
        <v>26.355105999999999</v>
      </c>
      <c r="R303" s="58">
        <v>2882900</v>
      </c>
    </row>
    <row r="304" spans="12:18" x14ac:dyDescent="0.25">
      <c r="L304" s="26">
        <v>39884</v>
      </c>
      <c r="M304" s="6">
        <v>35.840000000000003</v>
      </c>
      <c r="N304" s="6">
        <v>36.82</v>
      </c>
      <c r="O304" s="6">
        <v>35.639999000000003</v>
      </c>
      <c r="P304" s="6">
        <v>36.68</v>
      </c>
      <c r="Q304" s="6">
        <v>26.972805000000001</v>
      </c>
      <c r="R304" s="58">
        <v>2969800</v>
      </c>
    </row>
    <row r="305" spans="12:18" x14ac:dyDescent="0.25">
      <c r="L305" s="26">
        <v>39885</v>
      </c>
      <c r="M305" s="6">
        <v>37</v>
      </c>
      <c r="N305" s="6">
        <v>37.169998</v>
      </c>
      <c r="O305" s="6">
        <v>36.549999</v>
      </c>
      <c r="P305" s="6">
        <v>36.990001999999997</v>
      </c>
      <c r="Q305" s="6">
        <v>27.200762000000001</v>
      </c>
      <c r="R305" s="58">
        <v>3108500</v>
      </c>
    </row>
    <row r="306" spans="12:18" x14ac:dyDescent="0.25">
      <c r="L306" s="26">
        <v>39888</v>
      </c>
      <c r="M306" s="6">
        <v>37.220001000000003</v>
      </c>
      <c r="N306" s="6">
        <v>38.290000999999997</v>
      </c>
      <c r="O306" s="6">
        <v>37.049999</v>
      </c>
      <c r="P306" s="6">
        <v>37.900002000000001</v>
      </c>
      <c r="Q306" s="6">
        <v>27.869938000000001</v>
      </c>
      <c r="R306" s="58">
        <v>2498400</v>
      </c>
    </row>
    <row r="307" spans="12:18" x14ac:dyDescent="0.25">
      <c r="L307" s="26">
        <v>39889</v>
      </c>
      <c r="M307" s="6">
        <v>37.639999000000003</v>
      </c>
      <c r="N307" s="6">
        <v>38</v>
      </c>
      <c r="O307" s="6">
        <v>37.380001</v>
      </c>
      <c r="P307" s="6">
        <v>37.869999</v>
      </c>
      <c r="Q307" s="6">
        <v>27.847875999999999</v>
      </c>
      <c r="R307" s="58">
        <v>3546500</v>
      </c>
    </row>
    <row r="308" spans="12:18" x14ac:dyDescent="0.25">
      <c r="L308" s="26">
        <v>39890</v>
      </c>
      <c r="M308" s="6">
        <v>37.139999000000003</v>
      </c>
      <c r="N308" s="6">
        <v>37.25</v>
      </c>
      <c r="O308" s="6">
        <v>36.369999</v>
      </c>
      <c r="P308" s="6">
        <v>37.009998000000003</v>
      </c>
      <c r="Q308" s="6">
        <v>27.215475000000001</v>
      </c>
      <c r="R308" s="58">
        <v>4451800</v>
      </c>
    </row>
    <row r="309" spans="12:18" x14ac:dyDescent="0.25">
      <c r="L309" s="26">
        <v>39891</v>
      </c>
      <c r="M309" s="6">
        <v>37.299999</v>
      </c>
      <c r="N309" s="6">
        <v>37.340000000000003</v>
      </c>
      <c r="O309" s="6">
        <v>36.5</v>
      </c>
      <c r="P309" s="6">
        <v>36.669998</v>
      </c>
      <c r="Q309" s="6">
        <v>26.965443</v>
      </c>
      <c r="R309" s="58">
        <v>2927900</v>
      </c>
    </row>
    <row r="310" spans="12:18" x14ac:dyDescent="0.25">
      <c r="L310" s="26">
        <v>39892</v>
      </c>
      <c r="M310" s="6">
        <v>36.700001</v>
      </c>
      <c r="N310" s="6">
        <v>37.099997999999999</v>
      </c>
      <c r="O310" s="6">
        <v>36.340000000000003</v>
      </c>
      <c r="P310" s="6">
        <v>36.43</v>
      </c>
      <c r="Q310" s="6">
        <v>26.788965000000001</v>
      </c>
      <c r="R310" s="58">
        <v>3509000</v>
      </c>
    </row>
    <row r="311" spans="12:18" x14ac:dyDescent="0.25">
      <c r="L311" s="26">
        <v>39895</v>
      </c>
      <c r="M311" s="6">
        <v>37.139999000000003</v>
      </c>
      <c r="N311" s="6">
        <v>37.700001</v>
      </c>
      <c r="O311" s="6">
        <v>36.560001</v>
      </c>
      <c r="P311" s="6">
        <v>37.700001</v>
      </c>
      <c r="Q311" s="6">
        <v>27.722867999999998</v>
      </c>
      <c r="R311" s="58">
        <v>2840400</v>
      </c>
    </row>
    <row r="312" spans="12:18" x14ac:dyDescent="0.25">
      <c r="L312" s="26">
        <v>39896</v>
      </c>
      <c r="M312" s="6">
        <v>37.360000999999997</v>
      </c>
      <c r="N312" s="6">
        <v>37.759998000000003</v>
      </c>
      <c r="O312" s="6">
        <v>37.139999000000003</v>
      </c>
      <c r="P312" s="6">
        <v>37.169998</v>
      </c>
      <c r="Q312" s="6">
        <v>27.333114999999999</v>
      </c>
      <c r="R312" s="58">
        <v>2314200</v>
      </c>
    </row>
    <row r="313" spans="12:18" x14ac:dyDescent="0.25">
      <c r="L313" s="26">
        <v>39897</v>
      </c>
      <c r="M313" s="6">
        <v>37.459999000000003</v>
      </c>
      <c r="N313" s="6">
        <v>37.639999000000003</v>
      </c>
      <c r="O313" s="6">
        <v>36.900002000000001</v>
      </c>
      <c r="P313" s="6">
        <v>37.479999999999997</v>
      </c>
      <c r="Q313" s="6">
        <v>27.561087000000001</v>
      </c>
      <c r="R313" s="58">
        <v>3250900</v>
      </c>
    </row>
    <row r="314" spans="12:18" x14ac:dyDescent="0.25">
      <c r="L314" s="26">
        <v>39898</v>
      </c>
      <c r="M314" s="6">
        <v>37.509998000000003</v>
      </c>
      <c r="N314" s="6">
        <v>37.639999000000003</v>
      </c>
      <c r="O314" s="6">
        <v>36.970001000000003</v>
      </c>
      <c r="P314" s="6">
        <v>37.619999</v>
      </c>
      <c r="Q314" s="6">
        <v>27.664038000000001</v>
      </c>
      <c r="R314" s="58">
        <v>2444800</v>
      </c>
    </row>
    <row r="315" spans="12:18" x14ac:dyDescent="0.25">
      <c r="L315" s="26">
        <v>39899</v>
      </c>
      <c r="M315" s="6">
        <v>37.25</v>
      </c>
      <c r="N315" s="6">
        <v>37.610000999999997</v>
      </c>
      <c r="O315" s="6">
        <v>36.720001000000003</v>
      </c>
      <c r="P315" s="6">
        <v>36.889999000000003</v>
      </c>
      <c r="Q315" s="6">
        <v>27.127231999999999</v>
      </c>
      <c r="R315" s="58">
        <v>2788700</v>
      </c>
    </row>
    <row r="316" spans="12:18" x14ac:dyDescent="0.25">
      <c r="L316" s="26">
        <v>39902</v>
      </c>
      <c r="M316" s="6">
        <v>36.5</v>
      </c>
      <c r="N316" s="6">
        <v>36.75</v>
      </c>
      <c r="O316" s="6">
        <v>36.07</v>
      </c>
      <c r="P316" s="6">
        <v>36.479999999999997</v>
      </c>
      <c r="Q316" s="6">
        <v>26.825726</v>
      </c>
      <c r="R316" s="58">
        <v>1938100</v>
      </c>
    </row>
    <row r="317" spans="12:18" x14ac:dyDescent="0.25">
      <c r="L317" s="26">
        <v>39903</v>
      </c>
      <c r="M317" s="6">
        <v>36.840000000000003</v>
      </c>
      <c r="N317" s="6">
        <v>37.040000999999997</v>
      </c>
      <c r="O317" s="6">
        <v>36.279998999999997</v>
      </c>
      <c r="P317" s="6">
        <v>36.630001</v>
      </c>
      <c r="Q317" s="6">
        <v>26.936035</v>
      </c>
      <c r="R317" s="58">
        <v>2669500</v>
      </c>
    </row>
    <row r="318" spans="12:18" x14ac:dyDescent="0.25">
      <c r="L318" s="26">
        <v>39904</v>
      </c>
      <c r="M318" s="6">
        <v>36.290000999999997</v>
      </c>
      <c r="N318" s="6">
        <v>37.840000000000003</v>
      </c>
      <c r="O318" s="6">
        <v>36.290000999999997</v>
      </c>
      <c r="P318" s="6">
        <v>37.590000000000003</v>
      </c>
      <c r="Q318" s="6">
        <v>27.641971999999999</v>
      </c>
      <c r="R318" s="58">
        <v>4001800</v>
      </c>
    </row>
    <row r="319" spans="12:18" x14ac:dyDescent="0.25">
      <c r="L319" s="26">
        <v>39905</v>
      </c>
      <c r="M319" s="6">
        <v>38.340000000000003</v>
      </c>
      <c r="N319" s="6">
        <v>38.68</v>
      </c>
      <c r="O319" s="6">
        <v>37.82</v>
      </c>
      <c r="P319" s="6">
        <v>38.159999999999997</v>
      </c>
      <c r="Q319" s="6">
        <v>28.061129000000001</v>
      </c>
      <c r="R319" s="58">
        <v>3965300</v>
      </c>
    </row>
    <row r="320" spans="12:18" x14ac:dyDescent="0.25">
      <c r="L320" s="26">
        <v>39906</v>
      </c>
      <c r="M320" s="6">
        <v>38.529998999999997</v>
      </c>
      <c r="N320" s="6">
        <v>38.689999</v>
      </c>
      <c r="O320" s="6">
        <v>37.599997999999999</v>
      </c>
      <c r="P320" s="6">
        <v>38.009998000000003</v>
      </c>
      <c r="Q320" s="6">
        <v>27.950817000000001</v>
      </c>
      <c r="R320" s="58">
        <v>2702600</v>
      </c>
    </row>
    <row r="321" spans="12:18" x14ac:dyDescent="0.25">
      <c r="L321" s="26">
        <v>39909</v>
      </c>
      <c r="M321" s="6">
        <v>37.840000000000003</v>
      </c>
      <c r="N321" s="6">
        <v>38.549999</v>
      </c>
      <c r="O321" s="6">
        <v>37.840000000000003</v>
      </c>
      <c r="P321" s="6">
        <v>38.540000999999997</v>
      </c>
      <c r="Q321" s="6">
        <v>28.340565000000002</v>
      </c>
      <c r="R321" s="58">
        <v>2541900</v>
      </c>
    </row>
    <row r="322" spans="12:18" x14ac:dyDescent="0.25">
      <c r="L322" s="26">
        <v>39910</v>
      </c>
      <c r="M322" s="6">
        <v>38.049999</v>
      </c>
      <c r="N322" s="6">
        <v>39.169998</v>
      </c>
      <c r="O322" s="6">
        <v>38.049999</v>
      </c>
      <c r="P322" s="6">
        <v>38.950001</v>
      </c>
      <c r="Q322" s="6">
        <v>28.642056</v>
      </c>
      <c r="R322" s="58">
        <v>3603600</v>
      </c>
    </row>
    <row r="323" spans="12:18" x14ac:dyDescent="0.25">
      <c r="L323" s="26">
        <v>39911</v>
      </c>
      <c r="M323" s="6">
        <v>39.029998999999997</v>
      </c>
      <c r="N323" s="6">
        <v>39.259998000000003</v>
      </c>
      <c r="O323" s="6">
        <v>38.720001000000003</v>
      </c>
      <c r="P323" s="6">
        <v>39.220001000000003</v>
      </c>
      <c r="Q323" s="6">
        <v>28.840599000000001</v>
      </c>
      <c r="R323" s="58">
        <v>2458000</v>
      </c>
    </row>
    <row r="324" spans="12:18" x14ac:dyDescent="0.25">
      <c r="L324" s="26">
        <v>39912</v>
      </c>
      <c r="M324" s="6">
        <v>39.900002000000001</v>
      </c>
      <c r="N324" s="6">
        <v>39.919998</v>
      </c>
      <c r="O324" s="6">
        <v>39.130001</v>
      </c>
      <c r="P324" s="6">
        <v>39.549999</v>
      </c>
      <c r="Q324" s="6">
        <v>29.083262999999999</v>
      </c>
      <c r="R324" s="58">
        <v>2487100</v>
      </c>
    </row>
    <row r="325" spans="12:18" x14ac:dyDescent="0.25">
      <c r="L325" s="26">
        <v>39916</v>
      </c>
      <c r="M325" s="6">
        <v>39.409999999999997</v>
      </c>
      <c r="N325" s="6">
        <v>39.959999000000003</v>
      </c>
      <c r="O325" s="6">
        <v>39.189999</v>
      </c>
      <c r="P325" s="6">
        <v>39.240001999999997</v>
      </c>
      <c r="Q325" s="6">
        <v>28.855301000000001</v>
      </c>
      <c r="R325" s="58">
        <v>2272300</v>
      </c>
    </row>
    <row r="326" spans="12:18" x14ac:dyDescent="0.25">
      <c r="L326" s="26">
        <v>39917</v>
      </c>
      <c r="M326" s="6">
        <v>39.209999000000003</v>
      </c>
      <c r="N326" s="6">
        <v>39.43</v>
      </c>
      <c r="O326" s="6">
        <v>38.639999000000003</v>
      </c>
      <c r="P326" s="6">
        <v>39.259998000000003</v>
      </c>
      <c r="Q326" s="6">
        <v>28.870010000000001</v>
      </c>
      <c r="R326" s="58">
        <v>2165900</v>
      </c>
    </row>
    <row r="327" spans="12:18" x14ac:dyDescent="0.25">
      <c r="L327" s="26">
        <v>39918</v>
      </c>
      <c r="M327" s="6">
        <v>39.259998000000003</v>
      </c>
      <c r="N327" s="6">
        <v>39.849997999999999</v>
      </c>
      <c r="O327" s="6">
        <v>39.119999</v>
      </c>
      <c r="P327" s="6">
        <v>39.849997999999999</v>
      </c>
      <c r="Q327" s="6">
        <v>29.303882999999999</v>
      </c>
      <c r="R327" s="58">
        <v>1881100</v>
      </c>
    </row>
    <row r="328" spans="12:18" x14ac:dyDescent="0.25">
      <c r="L328" s="26">
        <v>39919</v>
      </c>
      <c r="M328" s="6">
        <v>40.060001</v>
      </c>
      <c r="N328" s="6">
        <v>40.360000999999997</v>
      </c>
      <c r="O328" s="6">
        <v>39.25</v>
      </c>
      <c r="P328" s="6">
        <v>40.240001999999997</v>
      </c>
      <c r="Q328" s="6">
        <v>29.590661999999998</v>
      </c>
      <c r="R328" s="58">
        <v>2731900</v>
      </c>
    </row>
    <row r="329" spans="12:18" x14ac:dyDescent="0.25">
      <c r="L329" s="26">
        <v>39920</v>
      </c>
      <c r="M329" s="6">
        <v>40.279998999999997</v>
      </c>
      <c r="N329" s="6">
        <v>40.5</v>
      </c>
      <c r="O329" s="6">
        <v>39.75</v>
      </c>
      <c r="P329" s="6">
        <v>40.099997999999999</v>
      </c>
      <c r="Q329" s="6">
        <v>29.487711000000001</v>
      </c>
      <c r="R329" s="58">
        <v>2118800</v>
      </c>
    </row>
    <row r="330" spans="12:18" x14ac:dyDescent="0.25">
      <c r="L330" s="26">
        <v>39923</v>
      </c>
      <c r="M330" s="6">
        <v>39.740001999999997</v>
      </c>
      <c r="N330" s="6">
        <v>40.5</v>
      </c>
      <c r="O330" s="6">
        <v>39.479999999999997</v>
      </c>
      <c r="P330" s="6">
        <v>39.599997999999999</v>
      </c>
      <c r="Q330" s="6">
        <v>29.120047</v>
      </c>
      <c r="R330" s="58">
        <v>2130600</v>
      </c>
    </row>
    <row r="331" spans="12:18" x14ac:dyDescent="0.25">
      <c r="L331" s="26">
        <v>39924</v>
      </c>
      <c r="M331" s="6">
        <v>39.360000999999997</v>
      </c>
      <c r="N331" s="6">
        <v>40.470001000000003</v>
      </c>
      <c r="O331" s="6">
        <v>39.360000999999997</v>
      </c>
      <c r="P331" s="6">
        <v>40.029998999999997</v>
      </c>
      <c r="Q331" s="6">
        <v>29.436233999999999</v>
      </c>
      <c r="R331" s="58">
        <v>1912200</v>
      </c>
    </row>
    <row r="332" spans="12:18" x14ac:dyDescent="0.25">
      <c r="L332" s="26">
        <v>39925</v>
      </c>
      <c r="M332" s="6">
        <v>39.950001</v>
      </c>
      <c r="N332" s="6">
        <v>39.950001</v>
      </c>
      <c r="O332" s="6">
        <v>39.32</v>
      </c>
      <c r="P332" s="6">
        <v>39.349997999999999</v>
      </c>
      <c r="Q332" s="6">
        <v>28.936205000000001</v>
      </c>
      <c r="R332" s="58">
        <v>1919000</v>
      </c>
    </row>
    <row r="333" spans="12:18" x14ac:dyDescent="0.25">
      <c r="L333" s="26">
        <v>39926</v>
      </c>
      <c r="M333" s="6">
        <v>39.290000999999997</v>
      </c>
      <c r="N333" s="6">
        <v>39.459999000000003</v>
      </c>
      <c r="O333" s="6">
        <v>38.75</v>
      </c>
      <c r="P333" s="6">
        <v>39.110000999999997</v>
      </c>
      <c r="Q333" s="6">
        <v>28.759706000000001</v>
      </c>
      <c r="R333" s="58">
        <v>2293600</v>
      </c>
    </row>
    <row r="334" spans="12:18" x14ac:dyDescent="0.25">
      <c r="L334" s="26">
        <v>39927</v>
      </c>
      <c r="M334" s="6">
        <v>39.450001</v>
      </c>
      <c r="N334" s="6">
        <v>39.450001</v>
      </c>
      <c r="O334" s="6">
        <v>38.400002000000001</v>
      </c>
      <c r="P334" s="6">
        <v>38.939999</v>
      </c>
      <c r="Q334" s="6">
        <v>28.634705</v>
      </c>
      <c r="R334" s="58">
        <v>1886300</v>
      </c>
    </row>
    <row r="335" spans="12:18" x14ac:dyDescent="0.25">
      <c r="L335" s="26">
        <v>39930</v>
      </c>
      <c r="M335" s="6">
        <v>38.659999999999997</v>
      </c>
      <c r="N335" s="6">
        <v>39.43</v>
      </c>
      <c r="O335" s="6">
        <v>38.599997999999999</v>
      </c>
      <c r="P335" s="6">
        <v>38.729999999999997</v>
      </c>
      <c r="Q335" s="6">
        <v>28.480276</v>
      </c>
      <c r="R335" s="58">
        <v>1938400</v>
      </c>
    </row>
    <row r="336" spans="12:18" x14ac:dyDescent="0.25">
      <c r="L336" s="26">
        <v>39931</v>
      </c>
      <c r="M336" s="6">
        <v>38.490001999999997</v>
      </c>
      <c r="N336" s="6">
        <v>39.349997999999999</v>
      </c>
      <c r="O336" s="6">
        <v>38.490001999999997</v>
      </c>
      <c r="P336" s="6">
        <v>39.189999</v>
      </c>
      <c r="Q336" s="6">
        <v>28.818539000000001</v>
      </c>
      <c r="R336" s="58">
        <v>1949700</v>
      </c>
    </row>
    <row r="337" spans="12:18" x14ac:dyDescent="0.25">
      <c r="L337" s="26">
        <v>39932</v>
      </c>
      <c r="M337" s="6">
        <v>39.369999</v>
      </c>
      <c r="N337" s="6">
        <v>39.919998</v>
      </c>
      <c r="O337" s="6">
        <v>39.279998999999997</v>
      </c>
      <c r="P337" s="6">
        <v>39.5</v>
      </c>
      <c r="Q337" s="6">
        <v>29.046500999999999</v>
      </c>
      <c r="R337" s="58">
        <v>2360600</v>
      </c>
    </row>
    <row r="338" spans="12:18" x14ac:dyDescent="0.25">
      <c r="L338" s="26">
        <v>39933</v>
      </c>
      <c r="M338" s="6">
        <v>40.98</v>
      </c>
      <c r="N338" s="6">
        <v>43.91</v>
      </c>
      <c r="O338" s="6">
        <v>40.290000999999997</v>
      </c>
      <c r="P338" s="6">
        <v>42.110000999999997</v>
      </c>
      <c r="Q338" s="6">
        <v>30.965779999999999</v>
      </c>
      <c r="R338" s="58">
        <v>5958700</v>
      </c>
    </row>
    <row r="339" spans="12:18" x14ac:dyDescent="0.25">
      <c r="L339" s="26">
        <v>39934</v>
      </c>
      <c r="M339" s="6">
        <v>42.18</v>
      </c>
      <c r="N339" s="6">
        <v>43.5</v>
      </c>
      <c r="O339" s="6">
        <v>42.18</v>
      </c>
      <c r="P339" s="6">
        <v>43.400002000000001</v>
      </c>
      <c r="Q339" s="6">
        <v>31.914377000000002</v>
      </c>
      <c r="R339" s="58">
        <v>3428300</v>
      </c>
    </row>
    <row r="340" spans="12:18" x14ac:dyDescent="0.25">
      <c r="L340" s="26">
        <v>39937</v>
      </c>
      <c r="M340" s="6">
        <v>43.650002000000001</v>
      </c>
      <c r="N340" s="6">
        <v>44.48</v>
      </c>
      <c r="O340" s="6">
        <v>43.23</v>
      </c>
      <c r="P340" s="6">
        <v>44.259998000000003</v>
      </c>
      <c r="Q340" s="6">
        <v>32.546787000000002</v>
      </c>
      <c r="R340" s="58">
        <v>3404800</v>
      </c>
    </row>
    <row r="341" spans="12:18" x14ac:dyDescent="0.25">
      <c r="L341" s="26">
        <v>39938</v>
      </c>
      <c r="M341" s="6">
        <v>44.110000999999997</v>
      </c>
      <c r="N341" s="6">
        <v>44.91</v>
      </c>
      <c r="O341" s="6">
        <v>43.09</v>
      </c>
      <c r="P341" s="6">
        <v>43.389999000000003</v>
      </c>
      <c r="Q341" s="6">
        <v>31.907025999999998</v>
      </c>
      <c r="R341" s="58">
        <v>3607200</v>
      </c>
    </row>
    <row r="342" spans="12:18" x14ac:dyDescent="0.25">
      <c r="L342" s="26">
        <v>39939</v>
      </c>
      <c r="M342" s="6">
        <v>43.720001000000003</v>
      </c>
      <c r="N342" s="6">
        <v>43.990001999999997</v>
      </c>
      <c r="O342" s="6">
        <v>42.639999000000003</v>
      </c>
      <c r="P342" s="6">
        <v>43</v>
      </c>
      <c r="Q342" s="6">
        <v>31.620236999999999</v>
      </c>
      <c r="R342" s="58">
        <v>2266400</v>
      </c>
    </row>
    <row r="343" spans="12:18" x14ac:dyDescent="0.25">
      <c r="L343" s="26">
        <v>39940</v>
      </c>
      <c r="M343" s="6">
        <v>43.369999</v>
      </c>
      <c r="N343" s="6">
        <v>43.5</v>
      </c>
      <c r="O343" s="6">
        <v>42.360000999999997</v>
      </c>
      <c r="P343" s="6">
        <v>42.650002000000001</v>
      </c>
      <c r="Q343" s="6">
        <v>31.362879</v>
      </c>
      <c r="R343" s="58">
        <v>2520800</v>
      </c>
    </row>
    <row r="344" spans="12:18" x14ac:dyDescent="0.25">
      <c r="L344" s="26">
        <v>39941</v>
      </c>
      <c r="M344" s="6">
        <v>43.029998999999997</v>
      </c>
      <c r="N344" s="6">
        <v>43.119999</v>
      </c>
      <c r="O344" s="6">
        <v>42.5</v>
      </c>
      <c r="P344" s="6">
        <v>42.830002</v>
      </c>
      <c r="Q344" s="6">
        <v>31.495236999999999</v>
      </c>
      <c r="R344" s="58">
        <v>1389200</v>
      </c>
    </row>
    <row r="345" spans="12:18" x14ac:dyDescent="0.25">
      <c r="L345" s="26">
        <v>39944</v>
      </c>
      <c r="M345" s="6">
        <v>42.459999000000003</v>
      </c>
      <c r="N345" s="6">
        <v>43.02</v>
      </c>
      <c r="O345" s="6">
        <v>42.240001999999997</v>
      </c>
      <c r="P345" s="6">
        <v>42.919998</v>
      </c>
      <c r="Q345" s="6">
        <v>31.561399000000002</v>
      </c>
      <c r="R345" s="58">
        <v>1801000</v>
      </c>
    </row>
    <row r="346" spans="12:18" x14ac:dyDescent="0.25">
      <c r="L346" s="26">
        <v>39945</v>
      </c>
      <c r="M346" s="6">
        <v>42.990001999999997</v>
      </c>
      <c r="N346" s="6">
        <v>43.43</v>
      </c>
      <c r="O346" s="6">
        <v>42.82</v>
      </c>
      <c r="P346" s="6">
        <v>43.150002000000001</v>
      </c>
      <c r="Q346" s="6">
        <v>31.730532</v>
      </c>
      <c r="R346" s="58">
        <v>1957400</v>
      </c>
    </row>
    <row r="347" spans="12:18" x14ac:dyDescent="0.25">
      <c r="L347" s="26">
        <v>39946</v>
      </c>
      <c r="M347" s="6">
        <v>42.84</v>
      </c>
      <c r="N347" s="6">
        <v>43.279998999999997</v>
      </c>
      <c r="O347" s="6">
        <v>42.400002000000001</v>
      </c>
      <c r="P347" s="6">
        <v>42.619999</v>
      </c>
      <c r="Q347" s="6">
        <v>31.340809</v>
      </c>
      <c r="R347" s="58">
        <v>2018300</v>
      </c>
    </row>
    <row r="348" spans="12:18" x14ac:dyDescent="0.25">
      <c r="L348" s="26">
        <v>39947</v>
      </c>
      <c r="M348" s="6">
        <v>42.599997999999999</v>
      </c>
      <c r="N348" s="6">
        <v>43.470001000000003</v>
      </c>
      <c r="O348" s="6">
        <v>42.380001</v>
      </c>
      <c r="P348" s="6">
        <v>43.41</v>
      </c>
      <c r="Q348" s="6">
        <v>31.921734000000001</v>
      </c>
      <c r="R348" s="58">
        <v>3097900</v>
      </c>
    </row>
    <row r="349" spans="12:18" x14ac:dyDescent="0.25">
      <c r="L349" s="26">
        <v>39948</v>
      </c>
      <c r="M349" s="6">
        <v>43.330002</v>
      </c>
      <c r="N349" s="6">
        <v>43.599997999999999</v>
      </c>
      <c r="O349" s="6">
        <v>42.810001</v>
      </c>
      <c r="P349" s="6">
        <v>43.189999</v>
      </c>
      <c r="Q349" s="6">
        <v>31.759951000000001</v>
      </c>
      <c r="R349" s="58">
        <v>1965800</v>
      </c>
    </row>
    <row r="350" spans="12:18" x14ac:dyDescent="0.25">
      <c r="L350" s="26">
        <v>39951</v>
      </c>
      <c r="M350" s="6">
        <v>43.369999</v>
      </c>
      <c r="N350" s="6">
        <v>43.91</v>
      </c>
      <c r="O350" s="6">
        <v>43.049999</v>
      </c>
      <c r="P350" s="6">
        <v>43.82</v>
      </c>
      <c r="Q350" s="6">
        <v>32.223232000000003</v>
      </c>
      <c r="R350" s="58">
        <v>1734000</v>
      </c>
    </row>
    <row r="351" spans="12:18" x14ac:dyDescent="0.25">
      <c r="L351" s="26">
        <v>39952</v>
      </c>
      <c r="M351" s="6">
        <v>43.84</v>
      </c>
      <c r="N351" s="6">
        <v>43.959999000000003</v>
      </c>
      <c r="O351" s="6">
        <v>43.57</v>
      </c>
      <c r="P351" s="6">
        <v>43.759998000000003</v>
      </c>
      <c r="Q351" s="6">
        <v>32.179110999999999</v>
      </c>
      <c r="R351" s="58">
        <v>1547700</v>
      </c>
    </row>
    <row r="352" spans="12:18" x14ac:dyDescent="0.25">
      <c r="L352" s="26">
        <v>39953</v>
      </c>
      <c r="M352" s="6">
        <v>43.849997999999999</v>
      </c>
      <c r="N352" s="6">
        <v>44.32</v>
      </c>
      <c r="O352" s="6">
        <v>43.580002</v>
      </c>
      <c r="P352" s="6">
        <v>43.639999000000003</v>
      </c>
      <c r="Q352" s="6">
        <v>32.090873999999999</v>
      </c>
      <c r="R352" s="58">
        <v>1782600</v>
      </c>
    </row>
    <row r="353" spans="12:18" x14ac:dyDescent="0.25">
      <c r="L353" s="26">
        <v>39954</v>
      </c>
      <c r="M353" s="6">
        <v>43.290000999999997</v>
      </c>
      <c r="N353" s="6">
        <v>43.48</v>
      </c>
      <c r="O353" s="6">
        <v>42.990001999999997</v>
      </c>
      <c r="P353" s="6">
        <v>43.43</v>
      </c>
      <c r="Q353" s="6">
        <v>31.936440999999999</v>
      </c>
      <c r="R353" s="58">
        <v>1341600</v>
      </c>
    </row>
    <row r="354" spans="12:18" x14ac:dyDescent="0.25">
      <c r="L354" s="26">
        <v>39955</v>
      </c>
      <c r="M354" s="6">
        <v>43.439999</v>
      </c>
      <c r="N354" s="6">
        <v>44.150002000000001</v>
      </c>
      <c r="O354" s="6">
        <v>43.299999</v>
      </c>
      <c r="P354" s="6">
        <v>43.68</v>
      </c>
      <c r="Q354" s="6">
        <v>32.120289</v>
      </c>
      <c r="R354" s="58">
        <v>1538000</v>
      </c>
    </row>
    <row r="355" spans="12:18" x14ac:dyDescent="0.25">
      <c r="L355" s="26">
        <v>39959</v>
      </c>
      <c r="M355" s="6">
        <v>43.630001</v>
      </c>
      <c r="N355" s="6">
        <v>44.110000999999997</v>
      </c>
      <c r="O355" s="6">
        <v>43.080002</v>
      </c>
      <c r="P355" s="6">
        <v>43.98</v>
      </c>
      <c r="Q355" s="6">
        <v>32.340893000000001</v>
      </c>
      <c r="R355" s="58">
        <v>1506300</v>
      </c>
    </row>
    <row r="356" spans="12:18" x14ac:dyDescent="0.25">
      <c r="L356" s="26">
        <v>39960</v>
      </c>
      <c r="M356" s="6">
        <v>44.060001</v>
      </c>
      <c r="N356" s="6">
        <v>44.060001</v>
      </c>
      <c r="O356" s="6">
        <v>43.060001</v>
      </c>
      <c r="P356" s="6">
        <v>43.23</v>
      </c>
      <c r="Q356" s="6">
        <v>31.789373000000001</v>
      </c>
      <c r="R356" s="58">
        <v>2605100</v>
      </c>
    </row>
    <row r="357" spans="12:18" x14ac:dyDescent="0.25">
      <c r="L357" s="26">
        <v>39961</v>
      </c>
      <c r="M357" s="6">
        <v>43.139999000000003</v>
      </c>
      <c r="N357" s="6">
        <v>43.549999</v>
      </c>
      <c r="O357" s="6">
        <v>42.880001</v>
      </c>
      <c r="P357" s="6">
        <v>43.310001</v>
      </c>
      <c r="Q357" s="6">
        <v>32.100673999999998</v>
      </c>
      <c r="R357" s="58">
        <v>1976900</v>
      </c>
    </row>
    <row r="358" spans="12:18" x14ac:dyDescent="0.25">
      <c r="L358" s="26">
        <v>39962</v>
      </c>
      <c r="M358" s="6">
        <v>43.450001</v>
      </c>
      <c r="N358" s="6">
        <v>43.5</v>
      </c>
      <c r="O358" s="6">
        <v>42.84</v>
      </c>
      <c r="P358" s="6">
        <v>43.25</v>
      </c>
      <c r="Q358" s="6">
        <v>32.05621</v>
      </c>
      <c r="R358" s="58">
        <v>2063300</v>
      </c>
    </row>
    <row r="359" spans="12:18" x14ac:dyDescent="0.25">
      <c r="L359" s="26">
        <v>39965</v>
      </c>
      <c r="M359" s="6">
        <v>43.630001</v>
      </c>
      <c r="N359" s="6">
        <v>44.009998000000003</v>
      </c>
      <c r="O359" s="6">
        <v>43.389999000000003</v>
      </c>
      <c r="P359" s="6">
        <v>43.849997999999999</v>
      </c>
      <c r="Q359" s="6">
        <v>32.500908000000003</v>
      </c>
      <c r="R359" s="58">
        <v>1934000</v>
      </c>
    </row>
    <row r="360" spans="12:18" x14ac:dyDescent="0.25">
      <c r="L360" s="26">
        <v>39966</v>
      </c>
      <c r="M360" s="6">
        <v>43.849997999999999</v>
      </c>
      <c r="N360" s="6">
        <v>44.84</v>
      </c>
      <c r="O360" s="6">
        <v>43.73</v>
      </c>
      <c r="P360" s="6">
        <v>44.580002</v>
      </c>
      <c r="Q360" s="6">
        <v>33.041969000000002</v>
      </c>
      <c r="R360" s="58">
        <v>2522400</v>
      </c>
    </row>
    <row r="361" spans="12:18" x14ac:dyDescent="0.25">
      <c r="L361" s="26">
        <v>39967</v>
      </c>
      <c r="M361" s="6">
        <v>44.34</v>
      </c>
      <c r="N361" s="6">
        <v>44.82</v>
      </c>
      <c r="O361" s="6">
        <v>44.189999</v>
      </c>
      <c r="P361" s="6">
        <v>44.299999</v>
      </c>
      <c r="Q361" s="6">
        <v>32.834431000000002</v>
      </c>
      <c r="R361" s="58">
        <v>2259600</v>
      </c>
    </row>
    <row r="362" spans="12:18" x14ac:dyDescent="0.25">
      <c r="L362" s="26">
        <v>39968</v>
      </c>
      <c r="M362" s="6">
        <v>44.41</v>
      </c>
      <c r="N362" s="6">
        <v>44.669998</v>
      </c>
      <c r="O362" s="6">
        <v>43.919998</v>
      </c>
      <c r="P362" s="6">
        <v>44.040000999999997</v>
      </c>
      <c r="Q362" s="6">
        <v>32.641739000000001</v>
      </c>
      <c r="R362" s="58">
        <v>2107600</v>
      </c>
    </row>
    <row r="363" spans="12:18" x14ac:dyDescent="0.25">
      <c r="L363" s="26">
        <v>39969</v>
      </c>
      <c r="M363" s="6">
        <v>44.450001</v>
      </c>
      <c r="N363" s="6">
        <v>44.450001</v>
      </c>
      <c r="O363" s="6">
        <v>43.509998000000003</v>
      </c>
      <c r="P363" s="6">
        <v>43.779998999999997</v>
      </c>
      <c r="Q363" s="6">
        <v>32.449024000000001</v>
      </c>
      <c r="R363" s="58">
        <v>1669800</v>
      </c>
    </row>
    <row r="364" spans="12:18" x14ac:dyDescent="0.25">
      <c r="L364" s="26">
        <v>39972</v>
      </c>
      <c r="M364" s="6">
        <v>44.139999000000003</v>
      </c>
      <c r="N364" s="6">
        <v>44.790000999999997</v>
      </c>
      <c r="O364" s="6">
        <v>43.860000999999997</v>
      </c>
      <c r="P364" s="6">
        <v>44.52</v>
      </c>
      <c r="Q364" s="6">
        <v>32.997504999999997</v>
      </c>
      <c r="R364" s="58">
        <v>2104000</v>
      </c>
    </row>
    <row r="365" spans="12:18" x14ac:dyDescent="0.25">
      <c r="L365" s="26">
        <v>39973</v>
      </c>
      <c r="M365" s="6">
        <v>44.720001000000003</v>
      </c>
      <c r="N365" s="6">
        <v>44.720001000000003</v>
      </c>
      <c r="O365" s="6">
        <v>43.919998</v>
      </c>
      <c r="P365" s="6">
        <v>43.939999</v>
      </c>
      <c r="Q365" s="6">
        <v>32.567616000000001</v>
      </c>
      <c r="R365" s="58">
        <v>1834200</v>
      </c>
    </row>
    <row r="366" spans="12:18" x14ac:dyDescent="0.25">
      <c r="L366" s="26">
        <v>39974</v>
      </c>
      <c r="M366" s="6">
        <v>44.209999000000003</v>
      </c>
      <c r="N366" s="6">
        <v>44.5</v>
      </c>
      <c r="O366" s="6">
        <v>43.25</v>
      </c>
      <c r="P366" s="6">
        <v>43.48</v>
      </c>
      <c r="Q366" s="6">
        <v>32.226672999999998</v>
      </c>
      <c r="R366" s="58">
        <v>1769700</v>
      </c>
    </row>
    <row r="367" spans="12:18" x14ac:dyDescent="0.25">
      <c r="L367" s="26">
        <v>39975</v>
      </c>
      <c r="M367" s="6">
        <v>43.490001999999997</v>
      </c>
      <c r="N367" s="6">
        <v>44.470001000000003</v>
      </c>
      <c r="O367" s="6">
        <v>43.490001999999997</v>
      </c>
      <c r="P367" s="6">
        <v>43.950001</v>
      </c>
      <c r="Q367" s="6">
        <v>32.575026999999999</v>
      </c>
      <c r="R367" s="58">
        <v>1994400</v>
      </c>
    </row>
    <row r="368" spans="12:18" x14ac:dyDescent="0.25">
      <c r="L368" s="26">
        <v>39976</v>
      </c>
      <c r="M368" s="6">
        <v>43.849997999999999</v>
      </c>
      <c r="N368" s="6">
        <v>44.610000999999997</v>
      </c>
      <c r="O368" s="6">
        <v>43.5</v>
      </c>
      <c r="P368" s="6">
        <v>44.549999</v>
      </c>
      <c r="Q368" s="6">
        <v>33.019741000000003</v>
      </c>
      <c r="R368" s="58">
        <v>1921900</v>
      </c>
    </row>
    <row r="369" spans="12:18" x14ac:dyDescent="0.25">
      <c r="L369" s="26">
        <v>39979</v>
      </c>
      <c r="M369" s="6">
        <v>44.23</v>
      </c>
      <c r="N369" s="6">
        <v>44.389999000000003</v>
      </c>
      <c r="O369" s="6">
        <v>43.380001</v>
      </c>
      <c r="P369" s="6">
        <v>43.450001</v>
      </c>
      <c r="Q369" s="6">
        <v>32.204433000000002</v>
      </c>
      <c r="R369" s="58">
        <v>1676000</v>
      </c>
    </row>
    <row r="370" spans="12:18" x14ac:dyDescent="0.25">
      <c r="L370" s="26">
        <v>39980</v>
      </c>
      <c r="M370" s="6">
        <v>43.619999</v>
      </c>
      <c r="N370" s="6">
        <v>43.700001</v>
      </c>
      <c r="O370" s="6">
        <v>43.169998</v>
      </c>
      <c r="P370" s="6">
        <v>43.459999000000003</v>
      </c>
      <c r="Q370" s="6">
        <v>32.211857000000002</v>
      </c>
      <c r="R370" s="58">
        <v>2108200</v>
      </c>
    </row>
    <row r="371" spans="12:18" x14ac:dyDescent="0.25">
      <c r="L371" s="26">
        <v>39981</v>
      </c>
      <c r="M371" s="6">
        <v>44.049999</v>
      </c>
      <c r="N371" s="6">
        <v>44.540000999999997</v>
      </c>
      <c r="O371" s="6">
        <v>43.799999</v>
      </c>
      <c r="P371" s="6">
        <v>44.220001000000003</v>
      </c>
      <c r="Q371" s="6">
        <v>32.775149999999996</v>
      </c>
      <c r="R371" s="58">
        <v>2241300</v>
      </c>
    </row>
    <row r="372" spans="12:18" x14ac:dyDescent="0.25">
      <c r="L372" s="26">
        <v>39982</v>
      </c>
      <c r="M372" s="6">
        <v>44.380001</v>
      </c>
      <c r="N372" s="6">
        <v>45.560001</v>
      </c>
      <c r="O372" s="6">
        <v>44.23</v>
      </c>
      <c r="P372" s="6">
        <v>45.209999000000003</v>
      </c>
      <c r="Q372" s="6">
        <v>33.508926000000002</v>
      </c>
      <c r="R372" s="58">
        <v>2607000</v>
      </c>
    </row>
    <row r="373" spans="12:18" x14ac:dyDescent="0.25">
      <c r="L373" s="26">
        <v>39983</v>
      </c>
      <c r="M373" s="6">
        <v>45.43</v>
      </c>
      <c r="N373" s="6">
        <v>45.689999</v>
      </c>
      <c r="O373" s="6">
        <v>44.93</v>
      </c>
      <c r="P373" s="6">
        <v>45.09</v>
      </c>
      <c r="Q373" s="6">
        <v>33.419975000000001</v>
      </c>
      <c r="R373" s="58">
        <v>3146800</v>
      </c>
    </row>
    <row r="374" spans="12:18" x14ac:dyDescent="0.25">
      <c r="L374" s="26">
        <v>39986</v>
      </c>
      <c r="M374" s="6">
        <v>44.860000999999997</v>
      </c>
      <c r="N374" s="6">
        <v>45.330002</v>
      </c>
      <c r="O374" s="6">
        <v>44.740001999999997</v>
      </c>
      <c r="P374" s="6">
        <v>45.119999</v>
      </c>
      <c r="Q374" s="6">
        <v>33.442203999999997</v>
      </c>
      <c r="R374" s="58">
        <v>1993800</v>
      </c>
    </row>
    <row r="375" spans="12:18" x14ac:dyDescent="0.25">
      <c r="L375" s="26">
        <v>39987</v>
      </c>
      <c r="M375" s="6">
        <v>45.130001</v>
      </c>
      <c r="N375" s="6">
        <v>45.580002</v>
      </c>
      <c r="O375" s="6">
        <v>44.860000999999997</v>
      </c>
      <c r="P375" s="6">
        <v>45.299999</v>
      </c>
      <c r="Q375" s="6">
        <v>33.575629999999997</v>
      </c>
      <c r="R375" s="58">
        <v>2703400</v>
      </c>
    </row>
    <row r="376" spans="12:18" x14ac:dyDescent="0.25">
      <c r="L376" s="26">
        <v>39988</v>
      </c>
      <c r="M376" s="6">
        <v>45.560001</v>
      </c>
      <c r="N376" s="6">
        <v>45.93</v>
      </c>
      <c r="O376" s="6">
        <v>45.209999000000003</v>
      </c>
      <c r="P376" s="6">
        <v>45.669998</v>
      </c>
      <c r="Q376" s="6">
        <v>33.849865000000001</v>
      </c>
      <c r="R376" s="58">
        <v>2573500</v>
      </c>
    </row>
    <row r="377" spans="12:18" x14ac:dyDescent="0.25">
      <c r="L377" s="26">
        <v>39989</v>
      </c>
      <c r="M377" s="6">
        <v>45.580002</v>
      </c>
      <c r="N377" s="6">
        <v>46.43</v>
      </c>
      <c r="O377" s="6">
        <v>45.25</v>
      </c>
      <c r="P377" s="6">
        <v>46.330002</v>
      </c>
      <c r="Q377" s="6">
        <v>34.339046000000003</v>
      </c>
      <c r="R377" s="58">
        <v>2345900</v>
      </c>
    </row>
    <row r="378" spans="12:18" x14ac:dyDescent="0.25">
      <c r="L378" s="26">
        <v>39990</v>
      </c>
      <c r="M378" s="6">
        <v>46.290000999999997</v>
      </c>
      <c r="N378" s="6">
        <v>46.41</v>
      </c>
      <c r="O378" s="6">
        <v>45.720001000000003</v>
      </c>
      <c r="P378" s="6">
        <v>46.23</v>
      </c>
      <c r="Q378" s="6">
        <v>34.264918999999999</v>
      </c>
      <c r="R378" s="58">
        <v>3643000</v>
      </c>
    </row>
    <row r="379" spans="12:18" x14ac:dyDescent="0.25">
      <c r="L379" s="26">
        <v>39993</v>
      </c>
      <c r="M379" s="6">
        <v>46.41</v>
      </c>
      <c r="N379" s="6">
        <v>46.779998999999997</v>
      </c>
      <c r="O379" s="6">
        <v>46.16</v>
      </c>
      <c r="P379" s="6">
        <v>46.599997999999999</v>
      </c>
      <c r="Q379" s="6">
        <v>34.539161999999997</v>
      </c>
      <c r="R379" s="58">
        <v>1661800</v>
      </c>
    </row>
    <row r="380" spans="12:18" x14ac:dyDescent="0.25">
      <c r="L380" s="26">
        <v>39994</v>
      </c>
      <c r="M380" s="6">
        <v>46.599997999999999</v>
      </c>
      <c r="N380" s="6">
        <v>46.91</v>
      </c>
      <c r="O380" s="6">
        <v>45.849997999999999</v>
      </c>
      <c r="P380" s="6">
        <v>46.57</v>
      </c>
      <c r="Q380" s="6">
        <v>34.516925999999998</v>
      </c>
      <c r="R380" s="58">
        <v>2234200</v>
      </c>
    </row>
    <row r="381" spans="12:18" x14ac:dyDescent="0.25">
      <c r="L381" s="26">
        <v>39995</v>
      </c>
      <c r="M381" s="6">
        <v>46.91</v>
      </c>
      <c r="N381" s="6">
        <v>47.720001000000003</v>
      </c>
      <c r="O381" s="6">
        <v>46.91</v>
      </c>
      <c r="P381" s="6">
        <v>47.549999</v>
      </c>
      <c r="Q381" s="6">
        <v>35.243279000000001</v>
      </c>
      <c r="R381" s="58">
        <v>2505300</v>
      </c>
    </row>
    <row r="382" spans="12:18" x14ac:dyDescent="0.25">
      <c r="L382" s="26">
        <v>39996</v>
      </c>
      <c r="M382" s="6">
        <v>47</v>
      </c>
      <c r="N382" s="6">
        <v>47.209999000000003</v>
      </c>
      <c r="O382" s="6">
        <v>46.470001000000003</v>
      </c>
      <c r="P382" s="6">
        <v>46.82</v>
      </c>
      <c r="Q382" s="6">
        <v>34.702229000000003</v>
      </c>
      <c r="R382" s="58">
        <v>2147900</v>
      </c>
    </row>
    <row r="383" spans="12:18" x14ac:dyDescent="0.25">
      <c r="L383" s="26">
        <v>40000</v>
      </c>
      <c r="M383" s="6">
        <v>46.610000999999997</v>
      </c>
      <c r="N383" s="6">
        <v>47.91</v>
      </c>
      <c r="O383" s="6">
        <v>46.580002</v>
      </c>
      <c r="P383" s="6">
        <v>47.810001</v>
      </c>
      <c r="Q383" s="6">
        <v>35.435997</v>
      </c>
      <c r="R383" s="58">
        <v>2317400</v>
      </c>
    </row>
    <row r="384" spans="12:18" x14ac:dyDescent="0.25">
      <c r="L384" s="26">
        <v>40001</v>
      </c>
      <c r="M384" s="6">
        <v>47.759998000000003</v>
      </c>
      <c r="N384" s="6">
        <v>48.48</v>
      </c>
      <c r="O384" s="6">
        <v>47.669998</v>
      </c>
      <c r="P384" s="6">
        <v>47.73</v>
      </c>
      <c r="Q384" s="6">
        <v>35.376694000000001</v>
      </c>
      <c r="R384" s="58">
        <v>4033000</v>
      </c>
    </row>
    <row r="385" spans="12:18" x14ac:dyDescent="0.25">
      <c r="L385" s="26">
        <v>40002</v>
      </c>
      <c r="M385" s="6">
        <v>47.810001</v>
      </c>
      <c r="N385" s="6">
        <v>48.080002</v>
      </c>
      <c r="O385" s="6">
        <v>47.400002000000001</v>
      </c>
      <c r="P385" s="6">
        <v>47.799999</v>
      </c>
      <c r="Q385" s="6">
        <v>35.428576999999997</v>
      </c>
      <c r="R385" s="58">
        <v>2309000</v>
      </c>
    </row>
    <row r="386" spans="12:18" x14ac:dyDescent="0.25">
      <c r="L386" s="26">
        <v>40003</v>
      </c>
      <c r="M386" s="6">
        <v>47.880001</v>
      </c>
      <c r="N386" s="6">
        <v>47.900002000000001</v>
      </c>
      <c r="O386" s="6">
        <v>46.970001000000003</v>
      </c>
      <c r="P386" s="6">
        <v>47.330002</v>
      </c>
      <c r="Q386" s="6">
        <v>35.080222999999997</v>
      </c>
      <c r="R386" s="58">
        <v>2058900</v>
      </c>
    </row>
    <row r="387" spans="12:18" x14ac:dyDescent="0.25">
      <c r="L387" s="26">
        <v>40004</v>
      </c>
      <c r="M387" s="6">
        <v>47.099997999999999</v>
      </c>
      <c r="N387" s="6">
        <v>47.740001999999997</v>
      </c>
      <c r="O387" s="6">
        <v>46.950001</v>
      </c>
      <c r="P387" s="6">
        <v>47.240001999999997</v>
      </c>
      <c r="Q387" s="6">
        <v>35.013519000000002</v>
      </c>
      <c r="R387" s="58">
        <v>1917500</v>
      </c>
    </row>
    <row r="388" spans="12:18" x14ac:dyDescent="0.25">
      <c r="L388" s="26">
        <v>40007</v>
      </c>
      <c r="M388" s="6">
        <v>47.5</v>
      </c>
      <c r="N388" s="6">
        <v>48.07</v>
      </c>
      <c r="O388" s="6">
        <v>47.380001</v>
      </c>
      <c r="P388" s="6">
        <v>47.919998</v>
      </c>
      <c r="Q388" s="6">
        <v>35.517532000000003</v>
      </c>
      <c r="R388" s="58">
        <v>2172400</v>
      </c>
    </row>
    <row r="389" spans="12:18" x14ac:dyDescent="0.25">
      <c r="L389" s="26">
        <v>40008</v>
      </c>
      <c r="M389" s="6">
        <v>47.880001</v>
      </c>
      <c r="N389" s="6">
        <v>48.18</v>
      </c>
      <c r="O389" s="6">
        <v>47.66</v>
      </c>
      <c r="P389" s="6">
        <v>47.75</v>
      </c>
      <c r="Q389" s="6">
        <v>35.391520999999997</v>
      </c>
      <c r="R389" s="58">
        <v>2224400</v>
      </c>
    </row>
    <row r="390" spans="12:18" x14ac:dyDescent="0.25">
      <c r="L390" s="26">
        <v>40009</v>
      </c>
      <c r="M390" s="6">
        <v>48.130001</v>
      </c>
      <c r="N390" s="6">
        <v>48.130001</v>
      </c>
      <c r="O390" s="6">
        <v>47.48</v>
      </c>
      <c r="P390" s="6">
        <v>47.939999</v>
      </c>
      <c r="Q390" s="6">
        <v>35.532344999999999</v>
      </c>
      <c r="R390" s="58">
        <v>2456500</v>
      </c>
    </row>
    <row r="391" spans="12:18" x14ac:dyDescent="0.25">
      <c r="L391" s="26">
        <v>40010</v>
      </c>
      <c r="M391" s="6">
        <v>47.880001</v>
      </c>
      <c r="N391" s="6">
        <v>48.279998999999997</v>
      </c>
      <c r="O391" s="6">
        <v>47.740001999999997</v>
      </c>
      <c r="P391" s="6">
        <v>47.990001999999997</v>
      </c>
      <c r="Q391" s="6">
        <v>35.569412</v>
      </c>
      <c r="R391" s="58">
        <v>1740100</v>
      </c>
    </row>
    <row r="392" spans="12:18" x14ac:dyDescent="0.25">
      <c r="L392" s="26">
        <v>40011</v>
      </c>
      <c r="M392" s="6">
        <v>48.049999</v>
      </c>
      <c r="N392" s="6">
        <v>48.049999</v>
      </c>
      <c r="O392" s="6">
        <v>46.93</v>
      </c>
      <c r="P392" s="6">
        <v>47.18</v>
      </c>
      <c r="Q392" s="6">
        <v>34.969048000000001</v>
      </c>
      <c r="R392" s="58">
        <v>2994800</v>
      </c>
    </row>
    <row r="393" spans="12:18" x14ac:dyDescent="0.25">
      <c r="L393" s="26">
        <v>40014</v>
      </c>
      <c r="M393" s="6">
        <v>47.32</v>
      </c>
      <c r="N393" s="6">
        <v>47.669998</v>
      </c>
      <c r="O393" s="6">
        <v>47.009998000000003</v>
      </c>
      <c r="P393" s="6">
        <v>47.580002</v>
      </c>
      <c r="Q393" s="6">
        <v>35.265526000000001</v>
      </c>
      <c r="R393" s="58">
        <v>1828100</v>
      </c>
    </row>
    <row r="394" spans="12:18" x14ac:dyDescent="0.25">
      <c r="L394" s="26">
        <v>40015</v>
      </c>
      <c r="M394" s="6">
        <v>47.84</v>
      </c>
      <c r="N394" s="6">
        <v>48.119999</v>
      </c>
      <c r="O394" s="6">
        <v>47.25</v>
      </c>
      <c r="P394" s="6">
        <v>47.57</v>
      </c>
      <c r="Q394" s="6">
        <v>35.258110000000002</v>
      </c>
      <c r="R394" s="58">
        <v>1465400</v>
      </c>
    </row>
    <row r="395" spans="12:18" x14ac:dyDescent="0.25">
      <c r="L395" s="26">
        <v>40016</v>
      </c>
      <c r="M395" s="6">
        <v>47.700001</v>
      </c>
      <c r="N395" s="6">
        <v>47.990001999999997</v>
      </c>
      <c r="O395" s="6">
        <v>47.32</v>
      </c>
      <c r="P395" s="6">
        <v>47.689999</v>
      </c>
      <c r="Q395" s="6">
        <v>35.347054</v>
      </c>
      <c r="R395" s="58">
        <v>1259800</v>
      </c>
    </row>
    <row r="396" spans="12:18" x14ac:dyDescent="0.25">
      <c r="L396" s="26">
        <v>40017</v>
      </c>
      <c r="M396" s="6">
        <v>47.75</v>
      </c>
      <c r="N396" s="6">
        <v>48.419998</v>
      </c>
      <c r="O396" s="6">
        <v>47.66</v>
      </c>
      <c r="P396" s="6">
        <v>48.130001</v>
      </c>
      <c r="Q396" s="6">
        <v>35.673164</v>
      </c>
      <c r="R396" s="58">
        <v>1723300</v>
      </c>
    </row>
    <row r="397" spans="12:18" x14ac:dyDescent="0.25">
      <c r="L397" s="26">
        <v>40018</v>
      </c>
      <c r="M397" s="6">
        <v>48</v>
      </c>
      <c r="N397" s="6">
        <v>48.189999</v>
      </c>
      <c r="O397" s="6">
        <v>47.689999</v>
      </c>
      <c r="P397" s="6">
        <v>47.919998</v>
      </c>
      <c r="Q397" s="6">
        <v>35.517532000000003</v>
      </c>
      <c r="R397" s="58">
        <v>1754600</v>
      </c>
    </row>
    <row r="398" spans="12:18" x14ac:dyDescent="0.25">
      <c r="L398" s="26">
        <v>40021</v>
      </c>
      <c r="M398" s="6">
        <v>48.049999</v>
      </c>
      <c r="N398" s="6">
        <v>48.099997999999999</v>
      </c>
      <c r="O398" s="6">
        <v>47.439999</v>
      </c>
      <c r="P398" s="6">
        <v>47.849997999999999</v>
      </c>
      <c r="Q398" s="6">
        <v>35.465637000000001</v>
      </c>
      <c r="R398" s="58">
        <v>1798000</v>
      </c>
    </row>
    <row r="399" spans="12:18" x14ac:dyDescent="0.25">
      <c r="L399" s="26">
        <v>40022</v>
      </c>
      <c r="M399" s="6">
        <v>47.580002</v>
      </c>
      <c r="N399" s="6">
        <v>47.959999000000003</v>
      </c>
      <c r="O399" s="6">
        <v>47.389999000000003</v>
      </c>
      <c r="P399" s="6">
        <v>47.82</v>
      </c>
      <c r="Q399" s="6">
        <v>35.443393999999998</v>
      </c>
      <c r="R399" s="58">
        <v>1855800</v>
      </c>
    </row>
    <row r="400" spans="12:18" x14ac:dyDescent="0.25">
      <c r="L400" s="26">
        <v>40023</v>
      </c>
      <c r="M400" s="6">
        <v>47.650002000000001</v>
      </c>
      <c r="N400" s="6">
        <v>48.18</v>
      </c>
      <c r="O400" s="6">
        <v>47.610000999999997</v>
      </c>
      <c r="P400" s="6">
        <v>48.040000999999997</v>
      </c>
      <c r="Q400" s="6">
        <v>35.606479999999998</v>
      </c>
      <c r="R400" s="58">
        <v>3204300</v>
      </c>
    </row>
    <row r="401" spans="12:18" x14ac:dyDescent="0.25">
      <c r="L401" s="26">
        <v>40024</v>
      </c>
      <c r="M401" s="6">
        <v>49.220001000000003</v>
      </c>
      <c r="N401" s="6">
        <v>49.220001000000003</v>
      </c>
      <c r="O401" s="6">
        <v>47.509998000000003</v>
      </c>
      <c r="P401" s="6">
        <v>47.66</v>
      </c>
      <c r="Q401" s="6">
        <v>35.324814000000003</v>
      </c>
      <c r="R401" s="58">
        <v>5324800</v>
      </c>
    </row>
    <row r="402" spans="12:18" x14ac:dyDescent="0.25">
      <c r="L402" s="26">
        <v>40025</v>
      </c>
      <c r="M402" s="6">
        <v>47.330002</v>
      </c>
      <c r="N402" s="6">
        <v>47.889999000000003</v>
      </c>
      <c r="O402" s="6">
        <v>47.330002</v>
      </c>
      <c r="P402" s="6">
        <v>47.5</v>
      </c>
      <c r="Q402" s="6">
        <v>35.206237999999999</v>
      </c>
      <c r="R402" s="58">
        <v>2849700</v>
      </c>
    </row>
    <row r="403" spans="12:18" x14ac:dyDescent="0.25">
      <c r="L403" s="26">
        <v>40028</v>
      </c>
      <c r="M403" s="6">
        <v>47.799999</v>
      </c>
      <c r="N403" s="6">
        <v>47.799999</v>
      </c>
      <c r="O403" s="6">
        <v>46.740001999999997</v>
      </c>
      <c r="P403" s="6">
        <v>46.950001</v>
      </c>
      <c r="Q403" s="6">
        <v>34.798588000000002</v>
      </c>
      <c r="R403" s="58">
        <v>2530400</v>
      </c>
    </row>
    <row r="404" spans="12:18" x14ac:dyDescent="0.25">
      <c r="L404" s="26">
        <v>40029</v>
      </c>
      <c r="M404" s="6">
        <v>46.950001</v>
      </c>
      <c r="N404" s="6">
        <v>47.099997999999999</v>
      </c>
      <c r="O404" s="6">
        <v>46.43</v>
      </c>
      <c r="P404" s="6">
        <v>46.57</v>
      </c>
      <c r="Q404" s="6">
        <v>34.516925999999998</v>
      </c>
      <c r="R404" s="58">
        <v>2439300</v>
      </c>
    </row>
    <row r="405" spans="12:18" x14ac:dyDescent="0.25">
      <c r="L405" s="26">
        <v>40030</v>
      </c>
      <c r="M405" s="6">
        <v>46.509998000000003</v>
      </c>
      <c r="N405" s="6">
        <v>46.689999</v>
      </c>
      <c r="O405" s="6">
        <v>46.110000999999997</v>
      </c>
      <c r="P405" s="6">
        <v>46.279998999999997</v>
      </c>
      <c r="Q405" s="6">
        <v>34.301986999999997</v>
      </c>
      <c r="R405" s="58">
        <v>2758100</v>
      </c>
    </row>
    <row r="406" spans="12:18" x14ac:dyDescent="0.25">
      <c r="L406" s="26">
        <v>40031</v>
      </c>
      <c r="M406" s="6">
        <v>46.400002000000001</v>
      </c>
      <c r="N406" s="6">
        <v>46.959999000000003</v>
      </c>
      <c r="O406" s="6">
        <v>46.169998</v>
      </c>
      <c r="P406" s="6">
        <v>46.549999</v>
      </c>
      <c r="Q406" s="6">
        <v>34.502105999999998</v>
      </c>
      <c r="R406" s="58">
        <v>2375300</v>
      </c>
    </row>
    <row r="407" spans="12:18" x14ac:dyDescent="0.25">
      <c r="L407" s="26">
        <v>40032</v>
      </c>
      <c r="M407" s="6">
        <v>46.919998</v>
      </c>
      <c r="N407" s="6">
        <v>46.919998</v>
      </c>
      <c r="O407" s="6">
        <v>46.16</v>
      </c>
      <c r="P407" s="6">
        <v>46.16</v>
      </c>
      <c r="Q407" s="6">
        <v>34.213036000000002</v>
      </c>
      <c r="R407" s="58">
        <v>1921000</v>
      </c>
    </row>
    <row r="408" spans="12:18" x14ac:dyDescent="0.25">
      <c r="L408" s="26">
        <v>40035</v>
      </c>
      <c r="M408" s="6">
        <v>46.200001</v>
      </c>
      <c r="N408" s="6">
        <v>46.400002000000001</v>
      </c>
      <c r="O408" s="6">
        <v>46.060001</v>
      </c>
      <c r="P408" s="6">
        <v>46.09</v>
      </c>
      <c r="Q408" s="6">
        <v>34.161155999999998</v>
      </c>
      <c r="R408" s="58">
        <v>1646800</v>
      </c>
    </row>
    <row r="409" spans="12:18" x14ac:dyDescent="0.25">
      <c r="L409" s="26">
        <v>40036</v>
      </c>
      <c r="M409" s="6">
        <v>46.029998999999997</v>
      </c>
      <c r="N409" s="6">
        <v>46.41</v>
      </c>
      <c r="O409" s="6">
        <v>46.009998000000003</v>
      </c>
      <c r="P409" s="6">
        <v>46.169998</v>
      </c>
      <c r="Q409" s="6">
        <v>34.220463000000002</v>
      </c>
      <c r="R409" s="58">
        <v>2121100</v>
      </c>
    </row>
    <row r="410" spans="12:18" x14ac:dyDescent="0.25">
      <c r="L410" s="26">
        <v>40037</v>
      </c>
      <c r="M410" s="6">
        <v>46.139999000000003</v>
      </c>
      <c r="N410" s="6">
        <v>46.650002000000001</v>
      </c>
      <c r="O410" s="6">
        <v>45.919998</v>
      </c>
      <c r="P410" s="6">
        <v>46.25</v>
      </c>
      <c r="Q410" s="6">
        <v>34.279750999999997</v>
      </c>
      <c r="R410" s="58">
        <v>2426900</v>
      </c>
    </row>
    <row r="411" spans="12:18" x14ac:dyDescent="0.25">
      <c r="L411" s="26">
        <v>40038</v>
      </c>
      <c r="M411" s="6">
        <v>46.5</v>
      </c>
      <c r="N411" s="6">
        <v>46.5</v>
      </c>
      <c r="O411" s="6">
        <v>45.959999000000003</v>
      </c>
      <c r="P411" s="6">
        <v>45.959999000000003</v>
      </c>
      <c r="Q411" s="6">
        <v>34.064807999999999</v>
      </c>
      <c r="R411" s="58">
        <v>2522700</v>
      </c>
    </row>
    <row r="412" spans="12:18" x14ac:dyDescent="0.25">
      <c r="L412" s="26">
        <v>40039</v>
      </c>
      <c r="M412" s="6">
        <v>46.029998999999997</v>
      </c>
      <c r="N412" s="6">
        <v>46.25</v>
      </c>
      <c r="O412" s="6">
        <v>45.869999</v>
      </c>
      <c r="P412" s="6">
        <v>46.060001</v>
      </c>
      <c r="Q412" s="6">
        <v>34.138919999999999</v>
      </c>
      <c r="R412" s="58">
        <v>2954600</v>
      </c>
    </row>
    <row r="413" spans="12:18" x14ac:dyDescent="0.25">
      <c r="L413" s="26">
        <v>40042</v>
      </c>
      <c r="M413" s="6">
        <v>45.580002</v>
      </c>
      <c r="N413" s="6">
        <v>46.139999000000003</v>
      </c>
      <c r="O413" s="6">
        <v>45.580002</v>
      </c>
      <c r="P413" s="6">
        <v>46.060001</v>
      </c>
      <c r="Q413" s="6">
        <v>34.138919999999999</v>
      </c>
      <c r="R413" s="58">
        <v>3085900</v>
      </c>
    </row>
    <row r="414" spans="12:18" x14ac:dyDescent="0.25">
      <c r="L414" s="26">
        <v>40043</v>
      </c>
      <c r="M414" s="6">
        <v>46.049999</v>
      </c>
      <c r="N414" s="6">
        <v>46.290000999999997</v>
      </c>
      <c r="O414" s="6">
        <v>45.869999</v>
      </c>
      <c r="P414" s="6">
        <v>46.09</v>
      </c>
      <c r="Q414" s="6">
        <v>34.161155999999998</v>
      </c>
      <c r="R414" s="58">
        <v>1664600</v>
      </c>
    </row>
    <row r="415" spans="12:18" x14ac:dyDescent="0.25">
      <c r="L415" s="26">
        <v>40044</v>
      </c>
      <c r="M415" s="6">
        <v>45.84</v>
      </c>
      <c r="N415" s="6">
        <v>46.75</v>
      </c>
      <c r="O415" s="6">
        <v>45.84</v>
      </c>
      <c r="P415" s="6">
        <v>46.75</v>
      </c>
      <c r="Q415" s="6">
        <v>34.650356000000002</v>
      </c>
      <c r="R415" s="58">
        <v>2532600</v>
      </c>
    </row>
    <row r="416" spans="12:18" x14ac:dyDescent="0.25">
      <c r="L416" s="26">
        <v>40045</v>
      </c>
      <c r="M416" s="6">
        <v>46.669998</v>
      </c>
      <c r="N416" s="6">
        <v>46.880001</v>
      </c>
      <c r="O416" s="6">
        <v>46.509998000000003</v>
      </c>
      <c r="P416" s="6">
        <v>46.82</v>
      </c>
      <c r="Q416" s="6">
        <v>34.702229000000003</v>
      </c>
      <c r="R416" s="58">
        <v>1615200</v>
      </c>
    </row>
    <row r="417" spans="12:18" x14ac:dyDescent="0.25">
      <c r="L417" s="26">
        <v>40046</v>
      </c>
      <c r="M417" s="6">
        <v>46.98</v>
      </c>
      <c r="N417" s="6">
        <v>47.549999</v>
      </c>
      <c r="O417" s="6">
        <v>46.830002</v>
      </c>
      <c r="P417" s="6">
        <v>47.349997999999999</v>
      </c>
      <c r="Q417" s="6">
        <v>35.095050999999998</v>
      </c>
      <c r="R417" s="58">
        <v>1489900</v>
      </c>
    </row>
    <row r="418" spans="12:18" x14ac:dyDescent="0.25">
      <c r="L418" s="26">
        <v>40049</v>
      </c>
      <c r="M418" s="6">
        <v>47.43</v>
      </c>
      <c r="N418" s="6">
        <v>47.43</v>
      </c>
      <c r="O418" s="6">
        <v>46.900002000000001</v>
      </c>
      <c r="P418" s="6">
        <v>47.130001</v>
      </c>
      <c r="Q418" s="6">
        <v>34.932006999999999</v>
      </c>
      <c r="R418" s="58">
        <v>1162900</v>
      </c>
    </row>
    <row r="419" spans="12:18" x14ac:dyDescent="0.25">
      <c r="L419" s="26">
        <v>40050</v>
      </c>
      <c r="M419" s="6">
        <v>47.150002000000001</v>
      </c>
      <c r="N419" s="6">
        <v>47.380001</v>
      </c>
      <c r="O419" s="6">
        <v>46.93</v>
      </c>
      <c r="P419" s="6">
        <v>47.049999</v>
      </c>
      <c r="Q419" s="6">
        <v>34.872681</v>
      </c>
      <c r="R419" s="58">
        <v>1325000</v>
      </c>
    </row>
    <row r="420" spans="12:18" x14ac:dyDescent="0.25">
      <c r="L420" s="26">
        <v>40051</v>
      </c>
      <c r="M420" s="6">
        <v>47.049999</v>
      </c>
      <c r="N420" s="6">
        <v>47.470001000000003</v>
      </c>
      <c r="O420" s="6">
        <v>47</v>
      </c>
      <c r="P420" s="6">
        <v>47.209999000000003</v>
      </c>
      <c r="Q420" s="6">
        <v>34.991295000000001</v>
      </c>
      <c r="R420" s="58">
        <v>1593200</v>
      </c>
    </row>
    <row r="421" spans="12:18" x14ac:dyDescent="0.25">
      <c r="L421" s="26">
        <v>40052</v>
      </c>
      <c r="M421" s="6">
        <v>47.389999000000003</v>
      </c>
      <c r="N421" s="6">
        <v>47.389999000000003</v>
      </c>
      <c r="O421" s="6">
        <v>46.759998000000003</v>
      </c>
      <c r="P421" s="6">
        <v>46.959999000000003</v>
      </c>
      <c r="Q421" s="6">
        <v>34.805996</v>
      </c>
      <c r="R421" s="58">
        <v>1336900</v>
      </c>
    </row>
    <row r="422" spans="12:18" x14ac:dyDescent="0.25">
      <c r="L422" s="26">
        <v>40053</v>
      </c>
      <c r="M422" s="6">
        <v>46.639999000000003</v>
      </c>
      <c r="N422" s="6">
        <v>46.93</v>
      </c>
      <c r="O422" s="6">
        <v>46.290000999999997</v>
      </c>
      <c r="P422" s="6">
        <v>46.52</v>
      </c>
      <c r="Q422" s="6">
        <v>34.757423000000003</v>
      </c>
      <c r="R422" s="58">
        <v>1434100</v>
      </c>
    </row>
    <row r="423" spans="12:18" x14ac:dyDescent="0.25">
      <c r="L423" s="26">
        <v>40056</v>
      </c>
      <c r="M423" s="6">
        <v>46.259998000000003</v>
      </c>
      <c r="N423" s="6">
        <v>47.150002000000001</v>
      </c>
      <c r="O423" s="6">
        <v>46.259998000000003</v>
      </c>
      <c r="P423" s="6">
        <v>47.09</v>
      </c>
      <c r="Q423" s="6">
        <v>35.183311000000003</v>
      </c>
      <c r="R423" s="58">
        <v>2028500</v>
      </c>
    </row>
    <row r="424" spans="12:18" x14ac:dyDescent="0.25">
      <c r="L424" s="26">
        <v>40057</v>
      </c>
      <c r="M424" s="6">
        <v>46.91</v>
      </c>
      <c r="N424" s="6">
        <v>47.32</v>
      </c>
      <c r="O424" s="6">
        <v>46.720001000000003</v>
      </c>
      <c r="P424" s="6">
        <v>46.939999</v>
      </c>
      <c r="Q424" s="6">
        <v>35.071219999999997</v>
      </c>
      <c r="R424" s="58">
        <v>3091200</v>
      </c>
    </row>
    <row r="425" spans="12:18" x14ac:dyDescent="0.25">
      <c r="L425" s="26">
        <v>40058</v>
      </c>
      <c r="M425" s="6">
        <v>46.91</v>
      </c>
      <c r="N425" s="6">
        <v>46.91</v>
      </c>
      <c r="O425" s="6">
        <v>46.560001</v>
      </c>
      <c r="P425" s="6">
        <v>46.66</v>
      </c>
      <c r="Q425" s="6">
        <v>34.862029999999997</v>
      </c>
      <c r="R425" s="58">
        <v>2057800</v>
      </c>
    </row>
    <row r="426" spans="12:18" x14ac:dyDescent="0.25">
      <c r="L426" s="26">
        <v>40059</v>
      </c>
      <c r="M426" s="6">
        <v>46.810001</v>
      </c>
      <c r="N426" s="6">
        <v>46.889999000000003</v>
      </c>
      <c r="O426" s="6">
        <v>46.419998</v>
      </c>
      <c r="P426" s="6">
        <v>46.889999000000003</v>
      </c>
      <c r="Q426" s="6">
        <v>35.033878000000001</v>
      </c>
      <c r="R426" s="58">
        <v>2012200</v>
      </c>
    </row>
    <row r="427" spans="12:18" x14ac:dyDescent="0.25">
      <c r="L427" s="26">
        <v>40060</v>
      </c>
      <c r="M427" s="6">
        <v>46.939999</v>
      </c>
      <c r="N427" s="6">
        <v>47.220001000000003</v>
      </c>
      <c r="O427" s="6">
        <v>46.77</v>
      </c>
      <c r="P427" s="6">
        <v>47.220001000000003</v>
      </c>
      <c r="Q427" s="6">
        <v>35.280434</v>
      </c>
      <c r="R427" s="58">
        <v>1447800</v>
      </c>
    </row>
    <row r="428" spans="12:18" x14ac:dyDescent="0.25">
      <c r="L428" s="26">
        <v>40064</v>
      </c>
      <c r="M428" s="6">
        <v>47.34</v>
      </c>
      <c r="N428" s="6">
        <v>48.240001999999997</v>
      </c>
      <c r="O428" s="6">
        <v>47.25</v>
      </c>
      <c r="P428" s="6">
        <v>48.060001</v>
      </c>
      <c r="Q428" s="6">
        <v>35.908034999999998</v>
      </c>
      <c r="R428" s="58">
        <v>1771600</v>
      </c>
    </row>
    <row r="429" spans="12:18" x14ac:dyDescent="0.25">
      <c r="L429" s="26">
        <v>40065</v>
      </c>
      <c r="M429" s="6">
        <v>48.060001</v>
      </c>
      <c r="N429" s="6">
        <v>48.18</v>
      </c>
      <c r="O429" s="6">
        <v>47.919998</v>
      </c>
      <c r="P429" s="6">
        <v>48.029998999999997</v>
      </c>
      <c r="Q429" s="6">
        <v>35.885627999999997</v>
      </c>
      <c r="R429" s="58">
        <v>1236400</v>
      </c>
    </row>
    <row r="430" spans="12:18" x14ac:dyDescent="0.25">
      <c r="L430" s="26">
        <v>40066</v>
      </c>
      <c r="M430" s="6">
        <v>48.169998</v>
      </c>
      <c r="N430" s="6">
        <v>48.27</v>
      </c>
      <c r="O430" s="6">
        <v>47.919998</v>
      </c>
      <c r="P430" s="6">
        <v>48.27</v>
      </c>
      <c r="Q430" s="6">
        <v>36.064948999999999</v>
      </c>
      <c r="R430" s="58">
        <v>1757100</v>
      </c>
    </row>
    <row r="431" spans="12:18" x14ac:dyDescent="0.25">
      <c r="L431" s="26">
        <v>40067</v>
      </c>
      <c r="M431" s="6">
        <v>48.389999000000003</v>
      </c>
      <c r="N431" s="6">
        <v>48.439999</v>
      </c>
      <c r="O431" s="6">
        <v>48.07</v>
      </c>
      <c r="P431" s="6">
        <v>48.389999000000003</v>
      </c>
      <c r="Q431" s="6">
        <v>36.154598</v>
      </c>
      <c r="R431" s="58">
        <v>1253200</v>
      </c>
    </row>
    <row r="432" spans="12:18" x14ac:dyDescent="0.25">
      <c r="L432" s="26">
        <v>40070</v>
      </c>
      <c r="M432" s="6">
        <v>48.150002000000001</v>
      </c>
      <c r="N432" s="6">
        <v>48.580002</v>
      </c>
      <c r="O432" s="6">
        <v>48.150002000000001</v>
      </c>
      <c r="P432" s="6">
        <v>48.52</v>
      </c>
      <c r="Q432" s="6">
        <v>36.251724000000003</v>
      </c>
      <c r="R432" s="58">
        <v>1400600</v>
      </c>
    </row>
    <row r="433" spans="12:18" x14ac:dyDescent="0.25">
      <c r="L433" s="26">
        <v>40071</v>
      </c>
      <c r="M433" s="6">
        <v>48.560001</v>
      </c>
      <c r="N433" s="6">
        <v>48.560001</v>
      </c>
      <c r="O433" s="6">
        <v>47.959999000000003</v>
      </c>
      <c r="P433" s="6">
        <v>48.259998000000003</v>
      </c>
      <c r="Q433" s="6">
        <v>36.057461000000004</v>
      </c>
      <c r="R433" s="58">
        <v>2385700</v>
      </c>
    </row>
    <row r="434" spans="12:18" x14ac:dyDescent="0.25">
      <c r="L434" s="26">
        <v>40072</v>
      </c>
      <c r="M434" s="6">
        <v>48.169998</v>
      </c>
      <c r="N434" s="6">
        <v>48.709999000000003</v>
      </c>
      <c r="O434" s="6">
        <v>48.060001</v>
      </c>
      <c r="P434" s="6">
        <v>48.709999000000003</v>
      </c>
      <c r="Q434" s="6">
        <v>36.393676999999997</v>
      </c>
      <c r="R434" s="58">
        <v>1864700</v>
      </c>
    </row>
    <row r="435" spans="12:18" x14ac:dyDescent="0.25">
      <c r="L435" s="26">
        <v>40073</v>
      </c>
      <c r="M435" s="6">
        <v>48.73</v>
      </c>
      <c r="N435" s="6">
        <v>48.73</v>
      </c>
      <c r="O435" s="6">
        <v>48.080002</v>
      </c>
      <c r="P435" s="6">
        <v>48.509998000000003</v>
      </c>
      <c r="Q435" s="6">
        <v>36.244250999999998</v>
      </c>
      <c r="R435" s="58">
        <v>2012000</v>
      </c>
    </row>
    <row r="436" spans="12:18" x14ac:dyDescent="0.25">
      <c r="L436" s="26">
        <v>40074</v>
      </c>
      <c r="M436" s="6">
        <v>48.650002000000001</v>
      </c>
      <c r="N436" s="6">
        <v>49.099997999999999</v>
      </c>
      <c r="O436" s="6">
        <v>48.32</v>
      </c>
      <c r="P436" s="6">
        <v>48.82</v>
      </c>
      <c r="Q436" s="6">
        <v>36.475864000000001</v>
      </c>
      <c r="R436" s="58">
        <v>2008200</v>
      </c>
    </row>
    <row r="437" spans="12:18" x14ac:dyDescent="0.25">
      <c r="L437" s="26">
        <v>40077</v>
      </c>
      <c r="M437" s="6">
        <v>48.709999000000003</v>
      </c>
      <c r="N437" s="6">
        <v>48.93</v>
      </c>
      <c r="O437" s="6">
        <v>48.360000999999997</v>
      </c>
      <c r="P437" s="6">
        <v>48.860000999999997</v>
      </c>
      <c r="Q437" s="6">
        <v>36.505752999999999</v>
      </c>
      <c r="R437" s="58">
        <v>1254600</v>
      </c>
    </row>
    <row r="438" spans="12:18" x14ac:dyDescent="0.25">
      <c r="L438" s="26">
        <v>40078</v>
      </c>
      <c r="M438" s="6">
        <v>49</v>
      </c>
      <c r="N438" s="6">
        <v>49</v>
      </c>
      <c r="O438" s="6">
        <v>48.32</v>
      </c>
      <c r="P438" s="6">
        <v>48.509998000000003</v>
      </c>
      <c r="Q438" s="6">
        <v>36.244250999999998</v>
      </c>
      <c r="R438" s="58">
        <v>1437800</v>
      </c>
    </row>
    <row r="439" spans="12:18" x14ac:dyDescent="0.25">
      <c r="L439" s="26">
        <v>40079</v>
      </c>
      <c r="M439" s="6">
        <v>49.400002000000001</v>
      </c>
      <c r="N439" s="6">
        <v>49.900002000000001</v>
      </c>
      <c r="O439" s="6">
        <v>49.189999</v>
      </c>
      <c r="P439" s="6">
        <v>49.299999</v>
      </c>
      <c r="Q439" s="6">
        <v>36.834496000000001</v>
      </c>
      <c r="R439" s="58">
        <v>2671200</v>
      </c>
    </row>
    <row r="440" spans="12:18" x14ac:dyDescent="0.25">
      <c r="L440" s="26">
        <v>40080</v>
      </c>
      <c r="M440" s="6">
        <v>49.310001</v>
      </c>
      <c r="N440" s="6">
        <v>49.5</v>
      </c>
      <c r="O440" s="6">
        <v>49.119999</v>
      </c>
      <c r="P440" s="6">
        <v>49.139999000000003</v>
      </c>
      <c r="Q440" s="6">
        <v>36.714942999999998</v>
      </c>
      <c r="R440" s="58">
        <v>2109300</v>
      </c>
    </row>
    <row r="441" spans="12:18" x14ac:dyDescent="0.25">
      <c r="L441" s="26">
        <v>40081</v>
      </c>
      <c r="M441" s="6">
        <v>49.130001</v>
      </c>
      <c r="N441" s="6">
        <v>49.240001999999997</v>
      </c>
      <c r="O441" s="6">
        <v>48.790000999999997</v>
      </c>
      <c r="P441" s="6">
        <v>49.09</v>
      </c>
      <c r="Q441" s="6">
        <v>36.677607999999999</v>
      </c>
      <c r="R441" s="58">
        <v>1397700</v>
      </c>
    </row>
    <row r="442" spans="12:18" x14ac:dyDescent="0.25">
      <c r="L442" s="26">
        <v>40084</v>
      </c>
      <c r="M442" s="6">
        <v>49.220001000000003</v>
      </c>
      <c r="N442" s="6">
        <v>49.759998000000003</v>
      </c>
      <c r="O442" s="6">
        <v>49.009998000000003</v>
      </c>
      <c r="P442" s="6">
        <v>49.619999</v>
      </c>
      <c r="Q442" s="6">
        <v>37.073582000000002</v>
      </c>
      <c r="R442" s="58">
        <v>1763100</v>
      </c>
    </row>
    <row r="443" spans="12:18" x14ac:dyDescent="0.25">
      <c r="L443" s="26">
        <v>40085</v>
      </c>
      <c r="M443" s="6">
        <v>49.639999000000003</v>
      </c>
      <c r="N443" s="6">
        <v>49.82</v>
      </c>
      <c r="O443" s="6">
        <v>49.27</v>
      </c>
      <c r="P443" s="6">
        <v>49.450001</v>
      </c>
      <c r="Q443" s="6">
        <v>36.946582999999997</v>
      </c>
      <c r="R443" s="58">
        <v>1077700</v>
      </c>
    </row>
    <row r="444" spans="12:18" x14ac:dyDescent="0.25">
      <c r="L444" s="26">
        <v>40086</v>
      </c>
      <c r="M444" s="6">
        <v>49.490001999999997</v>
      </c>
      <c r="N444" s="6">
        <v>49.490001999999997</v>
      </c>
      <c r="O444" s="6">
        <v>48.799999</v>
      </c>
      <c r="P444" s="6">
        <v>49.23</v>
      </c>
      <c r="Q444" s="6">
        <v>36.782195999999999</v>
      </c>
      <c r="R444" s="58">
        <v>1796800</v>
      </c>
    </row>
    <row r="445" spans="12:18" x14ac:dyDescent="0.25">
      <c r="L445" s="26">
        <v>40087</v>
      </c>
      <c r="M445" s="6">
        <v>49.099997999999999</v>
      </c>
      <c r="N445" s="6">
        <v>49.110000999999997</v>
      </c>
      <c r="O445" s="6">
        <v>48.34</v>
      </c>
      <c r="P445" s="6">
        <v>48.880001</v>
      </c>
      <c r="Q445" s="6">
        <v>36.520695000000003</v>
      </c>
      <c r="R445" s="58">
        <v>1567000</v>
      </c>
    </row>
    <row r="446" spans="12:18" x14ac:dyDescent="0.25">
      <c r="L446" s="26">
        <v>40088</v>
      </c>
      <c r="M446" s="6">
        <v>48.84</v>
      </c>
      <c r="N446" s="6">
        <v>48.860000999999997</v>
      </c>
      <c r="O446" s="6">
        <v>48.450001</v>
      </c>
      <c r="P446" s="6">
        <v>48.66</v>
      </c>
      <c r="Q446" s="6">
        <v>36.356330999999997</v>
      </c>
      <c r="R446" s="58">
        <v>1299200</v>
      </c>
    </row>
    <row r="447" spans="12:18" x14ac:dyDescent="0.25">
      <c r="L447" s="26">
        <v>40091</v>
      </c>
      <c r="M447" s="6">
        <v>48.689999</v>
      </c>
      <c r="N447" s="6">
        <v>48.990001999999997</v>
      </c>
      <c r="O447" s="6">
        <v>48.150002000000001</v>
      </c>
      <c r="P447" s="6">
        <v>48.959999000000003</v>
      </c>
      <c r="Q447" s="6">
        <v>36.580466999999999</v>
      </c>
      <c r="R447" s="58">
        <v>1274100</v>
      </c>
    </row>
    <row r="448" spans="12:18" x14ac:dyDescent="0.25">
      <c r="L448" s="26">
        <v>40092</v>
      </c>
      <c r="M448" s="6">
        <v>49.119999</v>
      </c>
      <c r="N448" s="6">
        <v>49.689999</v>
      </c>
      <c r="O448" s="6">
        <v>48.970001000000003</v>
      </c>
      <c r="P448" s="6">
        <v>49.299999</v>
      </c>
      <c r="Q448" s="6">
        <v>36.834496000000001</v>
      </c>
      <c r="R448" s="58">
        <v>1483500</v>
      </c>
    </row>
    <row r="449" spans="12:18" x14ac:dyDescent="0.25">
      <c r="L449" s="26">
        <v>40093</v>
      </c>
      <c r="M449" s="6">
        <v>49.209999000000003</v>
      </c>
      <c r="N449" s="6">
        <v>49.459999000000003</v>
      </c>
      <c r="O449" s="6">
        <v>49.119999</v>
      </c>
      <c r="P449" s="6">
        <v>49.369999</v>
      </c>
      <c r="Q449" s="6">
        <v>36.886806</v>
      </c>
      <c r="R449" s="58">
        <v>1099500</v>
      </c>
    </row>
    <row r="450" spans="12:18" x14ac:dyDescent="0.25">
      <c r="L450" s="26">
        <v>40094</v>
      </c>
      <c r="M450" s="6">
        <v>49.5</v>
      </c>
      <c r="N450" s="6">
        <v>49.77</v>
      </c>
      <c r="O450" s="6">
        <v>49.349997999999999</v>
      </c>
      <c r="P450" s="6">
        <v>49.740001999999997</v>
      </c>
      <c r="Q450" s="6">
        <v>37.163246000000001</v>
      </c>
      <c r="R450" s="58">
        <v>1866100</v>
      </c>
    </row>
    <row r="451" spans="12:18" x14ac:dyDescent="0.25">
      <c r="L451" s="26">
        <v>40095</v>
      </c>
      <c r="M451" s="6">
        <v>49.619999</v>
      </c>
      <c r="N451" s="6">
        <v>49.950001</v>
      </c>
      <c r="O451" s="6">
        <v>49.450001</v>
      </c>
      <c r="P451" s="6">
        <v>49.82</v>
      </c>
      <c r="Q451" s="6">
        <v>37.223014999999997</v>
      </c>
      <c r="R451" s="58">
        <v>1708600</v>
      </c>
    </row>
    <row r="452" spans="12:18" x14ac:dyDescent="0.25">
      <c r="L452" s="26">
        <v>40098</v>
      </c>
      <c r="M452" s="6">
        <v>49.900002000000001</v>
      </c>
      <c r="N452" s="6">
        <v>49.98</v>
      </c>
      <c r="O452" s="6">
        <v>49.470001000000003</v>
      </c>
      <c r="P452" s="6">
        <v>49.68</v>
      </c>
      <c r="Q452" s="6">
        <v>37.118416000000003</v>
      </c>
      <c r="R452" s="58">
        <v>1378700</v>
      </c>
    </row>
    <row r="453" spans="12:18" x14ac:dyDescent="0.25">
      <c r="L453" s="26">
        <v>40099</v>
      </c>
      <c r="M453" s="6">
        <v>49.650002000000001</v>
      </c>
      <c r="N453" s="6">
        <v>49.860000999999997</v>
      </c>
      <c r="O453" s="6">
        <v>49.470001000000003</v>
      </c>
      <c r="P453" s="6">
        <v>49.580002</v>
      </c>
      <c r="Q453" s="6">
        <v>37.043712999999997</v>
      </c>
      <c r="R453" s="58">
        <v>1719600</v>
      </c>
    </row>
    <row r="454" spans="12:18" x14ac:dyDescent="0.25">
      <c r="L454" s="26">
        <v>40100</v>
      </c>
      <c r="M454" s="6">
        <v>49.720001000000003</v>
      </c>
      <c r="N454" s="6">
        <v>49.759998000000003</v>
      </c>
      <c r="O454" s="6">
        <v>49.299999</v>
      </c>
      <c r="P454" s="6">
        <v>49.580002</v>
      </c>
      <c r="Q454" s="6">
        <v>37.043712999999997</v>
      </c>
      <c r="R454" s="58">
        <v>1957300</v>
      </c>
    </row>
    <row r="455" spans="12:18" x14ac:dyDescent="0.25">
      <c r="L455" s="26">
        <v>40101</v>
      </c>
      <c r="M455" s="6">
        <v>49.459999000000003</v>
      </c>
      <c r="N455" s="6">
        <v>50.18</v>
      </c>
      <c r="O455" s="6">
        <v>49.369999</v>
      </c>
      <c r="P455" s="6">
        <v>50.18</v>
      </c>
      <c r="Q455" s="6">
        <v>37.492004000000001</v>
      </c>
      <c r="R455" s="58">
        <v>1854000</v>
      </c>
    </row>
    <row r="456" spans="12:18" x14ac:dyDescent="0.25">
      <c r="L456" s="26">
        <v>40102</v>
      </c>
      <c r="M456" s="6">
        <v>49.889999000000003</v>
      </c>
      <c r="N456" s="6">
        <v>50.669998</v>
      </c>
      <c r="O456" s="6">
        <v>49.779998999999997</v>
      </c>
      <c r="P456" s="6">
        <v>50.48</v>
      </c>
      <c r="Q456" s="6">
        <v>37.716144999999997</v>
      </c>
      <c r="R456" s="58">
        <v>2621400</v>
      </c>
    </row>
    <row r="457" spans="12:18" x14ac:dyDescent="0.25">
      <c r="L457" s="26">
        <v>40105</v>
      </c>
      <c r="M457" s="6">
        <v>50.630001</v>
      </c>
      <c r="N457" s="6">
        <v>51.189999</v>
      </c>
      <c r="O457" s="6">
        <v>50.470001000000003</v>
      </c>
      <c r="P457" s="6">
        <v>51.009998000000003</v>
      </c>
      <c r="Q457" s="6">
        <v>38.112121999999999</v>
      </c>
      <c r="R457" s="58">
        <v>1278800</v>
      </c>
    </row>
    <row r="458" spans="12:18" x14ac:dyDescent="0.25">
      <c r="L458" s="26">
        <v>40106</v>
      </c>
      <c r="M458" s="6">
        <v>51.029998999999997</v>
      </c>
      <c r="N458" s="6">
        <v>51.32</v>
      </c>
      <c r="O458" s="6">
        <v>50.560001</v>
      </c>
      <c r="P458" s="6">
        <v>50.68</v>
      </c>
      <c r="Q458" s="6">
        <v>37.865569999999998</v>
      </c>
      <c r="R458" s="58">
        <v>1795300</v>
      </c>
    </row>
    <row r="459" spans="12:18" x14ac:dyDescent="0.25">
      <c r="L459" s="26">
        <v>40107</v>
      </c>
      <c r="M459" s="6">
        <v>50.740001999999997</v>
      </c>
      <c r="N459" s="6">
        <v>51.41</v>
      </c>
      <c r="O459" s="6">
        <v>50.549999</v>
      </c>
      <c r="P459" s="6">
        <v>50.66</v>
      </c>
      <c r="Q459" s="6">
        <v>37.850628</v>
      </c>
      <c r="R459" s="58">
        <v>1532700</v>
      </c>
    </row>
    <row r="460" spans="12:18" x14ac:dyDescent="0.25">
      <c r="L460" s="26">
        <v>40108</v>
      </c>
      <c r="M460" s="6">
        <v>50.669998</v>
      </c>
      <c r="N460" s="6">
        <v>50.869999</v>
      </c>
      <c r="O460" s="6">
        <v>50.09</v>
      </c>
      <c r="P460" s="6">
        <v>50.639999000000003</v>
      </c>
      <c r="Q460" s="6">
        <v>37.83569</v>
      </c>
      <c r="R460" s="58">
        <v>1705600</v>
      </c>
    </row>
    <row r="461" spans="12:18" x14ac:dyDescent="0.25">
      <c r="L461" s="26">
        <v>40109</v>
      </c>
      <c r="M461" s="6">
        <v>50.75</v>
      </c>
      <c r="N461" s="6">
        <v>50.799999</v>
      </c>
      <c r="O461" s="6">
        <v>49.830002</v>
      </c>
      <c r="P461" s="6">
        <v>50.200001</v>
      </c>
      <c r="Q461" s="6">
        <v>37.506931000000002</v>
      </c>
      <c r="R461" s="58">
        <v>1666800</v>
      </c>
    </row>
    <row r="462" spans="12:18" x14ac:dyDescent="0.25">
      <c r="L462" s="26">
        <v>40112</v>
      </c>
      <c r="M462" s="6">
        <v>50.299999</v>
      </c>
      <c r="N462" s="6">
        <v>51.110000999999997</v>
      </c>
      <c r="O462" s="6">
        <v>50.099997999999999</v>
      </c>
      <c r="P462" s="6">
        <v>50.450001</v>
      </c>
      <c r="Q462" s="6">
        <v>37.693733000000002</v>
      </c>
      <c r="R462" s="58">
        <v>1933600</v>
      </c>
    </row>
    <row r="463" spans="12:18" x14ac:dyDescent="0.25">
      <c r="L463" s="26">
        <v>40113</v>
      </c>
      <c r="M463" s="6">
        <v>50.41</v>
      </c>
      <c r="N463" s="6">
        <v>50.849997999999999</v>
      </c>
      <c r="O463" s="6">
        <v>50.310001</v>
      </c>
      <c r="P463" s="6">
        <v>50.419998</v>
      </c>
      <c r="Q463" s="6">
        <v>37.671306999999999</v>
      </c>
      <c r="R463" s="58">
        <v>2263900</v>
      </c>
    </row>
    <row r="464" spans="12:18" x14ac:dyDescent="0.25">
      <c r="L464" s="26">
        <v>40114</v>
      </c>
      <c r="M464" s="6">
        <v>50.200001</v>
      </c>
      <c r="N464" s="6">
        <v>50.779998999999997</v>
      </c>
      <c r="O464" s="6">
        <v>49.869999</v>
      </c>
      <c r="P464" s="6">
        <v>49.990001999999997</v>
      </c>
      <c r="Q464" s="6">
        <v>37.350033000000003</v>
      </c>
      <c r="R464" s="58">
        <v>2835500</v>
      </c>
    </row>
    <row r="465" spans="12:18" x14ac:dyDescent="0.25">
      <c r="L465" s="26">
        <v>40115</v>
      </c>
      <c r="M465" s="6">
        <v>50.509998000000003</v>
      </c>
      <c r="N465" s="6">
        <v>51.48</v>
      </c>
      <c r="O465" s="6">
        <v>50.23</v>
      </c>
      <c r="P465" s="6">
        <v>51.380001</v>
      </c>
      <c r="Q465" s="6">
        <v>38.388568999999997</v>
      </c>
      <c r="R465" s="58">
        <v>2985900</v>
      </c>
    </row>
    <row r="466" spans="12:18" x14ac:dyDescent="0.25">
      <c r="L466" s="26">
        <v>40116</v>
      </c>
      <c r="M466" s="6">
        <v>51.700001</v>
      </c>
      <c r="N466" s="6">
        <v>52.580002</v>
      </c>
      <c r="O466" s="6">
        <v>51.450001</v>
      </c>
      <c r="P466" s="6">
        <v>51.540000999999997</v>
      </c>
      <c r="Q466" s="6">
        <v>38.508105999999998</v>
      </c>
      <c r="R466" s="58">
        <v>3909700</v>
      </c>
    </row>
    <row r="467" spans="12:18" x14ac:dyDescent="0.25">
      <c r="L467" s="26">
        <v>40119</v>
      </c>
      <c r="M467" s="6">
        <v>51.529998999999997</v>
      </c>
      <c r="N467" s="6">
        <v>52</v>
      </c>
      <c r="O467" s="6">
        <v>51.529998999999997</v>
      </c>
      <c r="P467" s="6">
        <v>51.75</v>
      </c>
      <c r="Q467" s="6">
        <v>38.665019999999998</v>
      </c>
      <c r="R467" s="58">
        <v>2316700</v>
      </c>
    </row>
    <row r="468" spans="12:18" x14ac:dyDescent="0.25">
      <c r="L468" s="26">
        <v>40120</v>
      </c>
      <c r="M468" s="6">
        <v>51.580002</v>
      </c>
      <c r="N468" s="6">
        <v>51.93</v>
      </c>
      <c r="O468" s="6">
        <v>50.82</v>
      </c>
      <c r="P468" s="6">
        <v>51.110000999999997</v>
      </c>
      <c r="Q468" s="6">
        <v>38.186839999999997</v>
      </c>
      <c r="R468" s="58">
        <v>2070500</v>
      </c>
    </row>
    <row r="469" spans="12:18" x14ac:dyDescent="0.25">
      <c r="L469" s="26">
        <v>40121</v>
      </c>
      <c r="M469" s="6">
        <v>51.189999</v>
      </c>
      <c r="N469" s="6">
        <v>52</v>
      </c>
      <c r="O469" s="6">
        <v>51.110000999999997</v>
      </c>
      <c r="P469" s="6">
        <v>51.799999</v>
      </c>
      <c r="Q469" s="6">
        <v>38.702373999999999</v>
      </c>
      <c r="R469" s="58">
        <v>2389400</v>
      </c>
    </row>
    <row r="470" spans="12:18" x14ac:dyDescent="0.25">
      <c r="L470" s="26">
        <v>40122</v>
      </c>
      <c r="M470" s="6">
        <v>51.860000999999997</v>
      </c>
      <c r="N470" s="6">
        <v>52.279998999999997</v>
      </c>
      <c r="O470" s="6">
        <v>51.650002000000001</v>
      </c>
      <c r="P470" s="6">
        <v>52.23</v>
      </c>
      <c r="Q470" s="6">
        <v>39.023646999999997</v>
      </c>
      <c r="R470" s="58">
        <v>2515400</v>
      </c>
    </row>
    <row r="471" spans="12:18" x14ac:dyDescent="0.25">
      <c r="L471" s="26">
        <v>40123</v>
      </c>
      <c r="M471" s="6">
        <v>52.099997999999999</v>
      </c>
      <c r="N471" s="6">
        <v>52.419998</v>
      </c>
      <c r="O471" s="6">
        <v>51.830002</v>
      </c>
      <c r="P471" s="6">
        <v>52.200001</v>
      </c>
      <c r="Q471" s="6">
        <v>39.001240000000003</v>
      </c>
      <c r="R471" s="58">
        <v>1929400</v>
      </c>
    </row>
    <row r="472" spans="12:18" x14ac:dyDescent="0.25">
      <c r="L472" s="26">
        <v>40126</v>
      </c>
      <c r="M472" s="6">
        <v>52.349997999999999</v>
      </c>
      <c r="N472" s="6">
        <v>52.700001</v>
      </c>
      <c r="O472" s="6">
        <v>52.209999000000003</v>
      </c>
      <c r="P472" s="6">
        <v>52.669998</v>
      </c>
      <c r="Q472" s="6">
        <v>39.35239</v>
      </c>
      <c r="R472" s="58">
        <v>1602200</v>
      </c>
    </row>
    <row r="473" spans="12:18" x14ac:dyDescent="0.25">
      <c r="L473" s="26">
        <v>40127</v>
      </c>
      <c r="M473" s="6">
        <v>52.490001999999997</v>
      </c>
      <c r="N473" s="6">
        <v>53</v>
      </c>
      <c r="O473" s="6">
        <v>52.490001999999997</v>
      </c>
      <c r="P473" s="6">
        <v>52.82</v>
      </c>
      <c r="Q473" s="6">
        <v>39.464474000000003</v>
      </c>
      <c r="R473" s="58">
        <v>1608200</v>
      </c>
    </row>
    <row r="474" spans="12:18" x14ac:dyDescent="0.25">
      <c r="L474" s="26">
        <v>40128</v>
      </c>
      <c r="M474" s="6">
        <v>53.119999</v>
      </c>
      <c r="N474" s="6">
        <v>53.119999</v>
      </c>
      <c r="O474" s="6">
        <v>52.509998000000003</v>
      </c>
      <c r="P474" s="6">
        <v>52.740001999999997</v>
      </c>
      <c r="Q474" s="6">
        <v>39.404701000000003</v>
      </c>
      <c r="R474" s="58">
        <v>1344400</v>
      </c>
    </row>
    <row r="475" spans="12:18" x14ac:dyDescent="0.25">
      <c r="L475" s="26">
        <v>40129</v>
      </c>
      <c r="M475" s="6">
        <v>52.82</v>
      </c>
      <c r="N475" s="6">
        <v>53.040000999999997</v>
      </c>
      <c r="O475" s="6">
        <v>52.650002000000001</v>
      </c>
      <c r="P475" s="6">
        <v>52.959999000000003</v>
      </c>
      <c r="Q475" s="6">
        <v>39.569068999999999</v>
      </c>
      <c r="R475" s="58">
        <v>1726600</v>
      </c>
    </row>
    <row r="476" spans="12:18" x14ac:dyDescent="0.25">
      <c r="L476" s="26">
        <v>40130</v>
      </c>
      <c r="M476" s="6">
        <v>53.389999000000003</v>
      </c>
      <c r="N476" s="6">
        <v>53.389999000000003</v>
      </c>
      <c r="O476" s="6">
        <v>52.93</v>
      </c>
      <c r="P476" s="6">
        <v>53.369999</v>
      </c>
      <c r="Q476" s="6">
        <v>39.875404000000003</v>
      </c>
      <c r="R476" s="58">
        <v>1879400</v>
      </c>
    </row>
    <row r="477" spans="12:18" x14ac:dyDescent="0.25">
      <c r="L477" s="26">
        <v>40133</v>
      </c>
      <c r="M477" s="6">
        <v>53.450001</v>
      </c>
      <c r="N477" s="6">
        <v>53.799999</v>
      </c>
      <c r="O477" s="6">
        <v>53.209999000000003</v>
      </c>
      <c r="P477" s="6">
        <v>53.389999000000003</v>
      </c>
      <c r="Q477" s="6">
        <v>39.890335</v>
      </c>
      <c r="R477" s="58">
        <v>2370800</v>
      </c>
    </row>
    <row r="478" spans="12:18" x14ac:dyDescent="0.25">
      <c r="L478" s="26">
        <v>40134</v>
      </c>
      <c r="M478" s="6">
        <v>53.5</v>
      </c>
      <c r="N478" s="6">
        <v>53.57</v>
      </c>
      <c r="O478" s="6">
        <v>53.049999</v>
      </c>
      <c r="P478" s="6">
        <v>53.400002000000001</v>
      </c>
      <c r="Q478" s="6">
        <v>39.897838999999998</v>
      </c>
      <c r="R478" s="58">
        <v>1466500</v>
      </c>
    </row>
    <row r="479" spans="12:18" x14ac:dyDescent="0.25">
      <c r="L479" s="26">
        <v>40135</v>
      </c>
      <c r="M479" s="6">
        <v>53.310001</v>
      </c>
      <c r="N479" s="6">
        <v>53.490001999999997</v>
      </c>
      <c r="O479" s="6">
        <v>52.900002000000001</v>
      </c>
      <c r="P479" s="6">
        <v>53.34</v>
      </c>
      <c r="Q479" s="6">
        <v>39.852984999999997</v>
      </c>
      <c r="R479" s="58">
        <v>1169300</v>
      </c>
    </row>
    <row r="480" spans="12:18" x14ac:dyDescent="0.25">
      <c r="L480" s="26">
        <v>40136</v>
      </c>
      <c r="M480" s="6">
        <v>53.18</v>
      </c>
      <c r="N480" s="6">
        <v>53.18</v>
      </c>
      <c r="O480" s="6">
        <v>52.490001999999997</v>
      </c>
      <c r="P480" s="6">
        <v>52.98</v>
      </c>
      <c r="Q480" s="6">
        <v>39.584003000000003</v>
      </c>
      <c r="R480" s="58">
        <v>1074300</v>
      </c>
    </row>
    <row r="481" spans="12:18" x14ac:dyDescent="0.25">
      <c r="L481" s="26">
        <v>40137</v>
      </c>
      <c r="M481" s="6">
        <v>53.029998999999997</v>
      </c>
      <c r="N481" s="6">
        <v>53.470001000000003</v>
      </c>
      <c r="O481" s="6">
        <v>52.889999000000003</v>
      </c>
      <c r="P481" s="6">
        <v>53.119999</v>
      </c>
      <c r="Q481" s="6">
        <v>39.688622000000002</v>
      </c>
      <c r="R481" s="58">
        <v>1932300</v>
      </c>
    </row>
    <row r="482" spans="12:18" x14ac:dyDescent="0.25">
      <c r="L482" s="26">
        <v>40140</v>
      </c>
      <c r="M482" s="6">
        <v>53.700001</v>
      </c>
      <c r="N482" s="6">
        <v>54</v>
      </c>
      <c r="O482" s="6">
        <v>53.470001000000003</v>
      </c>
      <c r="P482" s="6">
        <v>53.869999</v>
      </c>
      <c r="Q482" s="6">
        <v>40.248978000000001</v>
      </c>
      <c r="R482" s="58">
        <v>1586700</v>
      </c>
    </row>
    <row r="483" spans="12:18" x14ac:dyDescent="0.25">
      <c r="L483" s="26">
        <v>40141</v>
      </c>
      <c r="M483" s="6">
        <v>53.790000999999997</v>
      </c>
      <c r="N483" s="6">
        <v>54</v>
      </c>
      <c r="O483" s="6">
        <v>53.490001999999997</v>
      </c>
      <c r="P483" s="6">
        <v>53.91</v>
      </c>
      <c r="Q483" s="6">
        <v>40.278858</v>
      </c>
      <c r="R483" s="58">
        <v>1616300</v>
      </c>
    </row>
    <row r="484" spans="12:18" x14ac:dyDescent="0.25">
      <c r="L484" s="26">
        <v>40142</v>
      </c>
      <c r="M484" s="6">
        <v>54.049999</v>
      </c>
      <c r="N484" s="6">
        <v>54.049999</v>
      </c>
      <c r="O484" s="6">
        <v>53.52</v>
      </c>
      <c r="P484" s="6">
        <v>53.66</v>
      </c>
      <c r="Q484" s="6">
        <v>40.092078999999998</v>
      </c>
      <c r="R484" s="58">
        <v>1257100</v>
      </c>
    </row>
    <row r="485" spans="12:18" x14ac:dyDescent="0.25">
      <c r="L485" s="26">
        <v>40144</v>
      </c>
      <c r="M485" s="6">
        <v>52.860000999999997</v>
      </c>
      <c r="N485" s="6">
        <v>53.130001</v>
      </c>
      <c r="O485" s="6">
        <v>52.630001</v>
      </c>
      <c r="P485" s="6">
        <v>52.970001000000003</v>
      </c>
      <c r="Q485" s="6">
        <v>39.576534000000002</v>
      </c>
      <c r="R485" s="58">
        <v>956600</v>
      </c>
    </row>
    <row r="486" spans="12:18" x14ac:dyDescent="0.25">
      <c r="L486" s="26">
        <v>40147</v>
      </c>
      <c r="M486" s="6">
        <v>52.59</v>
      </c>
      <c r="N486" s="6">
        <v>52.639999000000003</v>
      </c>
      <c r="O486" s="6">
        <v>52.150002000000001</v>
      </c>
      <c r="P486" s="6">
        <v>52.580002</v>
      </c>
      <c r="Q486" s="6">
        <v>39.565254000000003</v>
      </c>
      <c r="R486" s="58">
        <v>2866700</v>
      </c>
    </row>
    <row r="487" spans="12:18" x14ac:dyDescent="0.25">
      <c r="L487" s="26">
        <v>40148</v>
      </c>
      <c r="M487" s="6">
        <v>52.700001</v>
      </c>
      <c r="N487" s="6">
        <v>53.200001</v>
      </c>
      <c r="O487" s="6">
        <v>52.66</v>
      </c>
      <c r="P487" s="6">
        <v>52.970001000000003</v>
      </c>
      <c r="Q487" s="6">
        <v>39.858711</v>
      </c>
      <c r="R487" s="58">
        <v>1727200</v>
      </c>
    </row>
    <row r="488" spans="12:18" x14ac:dyDescent="0.25">
      <c r="L488" s="26">
        <v>40149</v>
      </c>
      <c r="M488" s="6">
        <v>52.82</v>
      </c>
      <c r="N488" s="6">
        <v>53.380001</v>
      </c>
      <c r="O488" s="6">
        <v>52.779998999999997</v>
      </c>
      <c r="P488" s="6">
        <v>53</v>
      </c>
      <c r="Q488" s="6">
        <v>39.881298000000001</v>
      </c>
      <c r="R488" s="58">
        <v>2166100</v>
      </c>
    </row>
    <row r="489" spans="12:18" x14ac:dyDescent="0.25">
      <c r="L489" s="26">
        <v>40150</v>
      </c>
      <c r="M489" s="6">
        <v>52.990001999999997</v>
      </c>
      <c r="N489" s="6">
        <v>53.09</v>
      </c>
      <c r="O489" s="6">
        <v>52.580002</v>
      </c>
      <c r="P489" s="6">
        <v>52.73</v>
      </c>
      <c r="Q489" s="6">
        <v>39.678122999999999</v>
      </c>
      <c r="R489" s="58">
        <v>2153800</v>
      </c>
    </row>
    <row r="490" spans="12:18" x14ac:dyDescent="0.25">
      <c r="L490" s="26">
        <v>40151</v>
      </c>
      <c r="M490" s="6">
        <v>52.939999</v>
      </c>
      <c r="N490" s="6">
        <v>53.169998</v>
      </c>
      <c r="O490" s="6">
        <v>52.599997999999999</v>
      </c>
      <c r="P490" s="6">
        <v>52.959999000000003</v>
      </c>
      <c r="Q490" s="6">
        <v>39.851191999999998</v>
      </c>
      <c r="R490" s="58">
        <v>1331000</v>
      </c>
    </row>
    <row r="491" spans="12:18" x14ac:dyDescent="0.25">
      <c r="L491" s="26">
        <v>40154</v>
      </c>
      <c r="M491" s="6">
        <v>53.07</v>
      </c>
      <c r="N491" s="6">
        <v>53.169998</v>
      </c>
      <c r="O491" s="6">
        <v>52.779998999999997</v>
      </c>
      <c r="P491" s="6">
        <v>52.889999000000003</v>
      </c>
      <c r="Q491" s="6">
        <v>39.798527</v>
      </c>
      <c r="R491" s="58">
        <v>1484600</v>
      </c>
    </row>
    <row r="492" spans="12:18" x14ac:dyDescent="0.25">
      <c r="L492" s="26">
        <v>40155</v>
      </c>
      <c r="M492" s="6">
        <v>52.790000999999997</v>
      </c>
      <c r="N492" s="6">
        <v>52.880001</v>
      </c>
      <c r="O492" s="6">
        <v>52.07</v>
      </c>
      <c r="P492" s="6">
        <v>52.619999</v>
      </c>
      <c r="Q492" s="6">
        <v>39.595356000000002</v>
      </c>
      <c r="R492" s="58">
        <v>2313900</v>
      </c>
    </row>
    <row r="493" spans="12:18" x14ac:dyDescent="0.25">
      <c r="L493" s="26">
        <v>40156</v>
      </c>
      <c r="M493" s="6">
        <v>52.650002000000001</v>
      </c>
      <c r="N493" s="6">
        <v>52.959999000000003</v>
      </c>
      <c r="O493" s="6">
        <v>52.549999</v>
      </c>
      <c r="P493" s="6">
        <v>52.799999</v>
      </c>
      <c r="Q493" s="6">
        <v>39.730801</v>
      </c>
      <c r="R493" s="58">
        <v>1904500</v>
      </c>
    </row>
    <row r="494" spans="12:18" x14ac:dyDescent="0.25">
      <c r="L494" s="26">
        <v>40157</v>
      </c>
      <c r="M494" s="6">
        <v>52.98</v>
      </c>
      <c r="N494" s="6">
        <v>53.150002000000001</v>
      </c>
      <c r="O494" s="6">
        <v>52.880001</v>
      </c>
      <c r="P494" s="6">
        <v>52.990001999999997</v>
      </c>
      <c r="Q494" s="6">
        <v>39.873775000000002</v>
      </c>
      <c r="R494" s="58">
        <v>1921300</v>
      </c>
    </row>
    <row r="495" spans="12:18" x14ac:dyDescent="0.25">
      <c r="L495" s="26">
        <v>40158</v>
      </c>
      <c r="M495" s="6">
        <v>53.009998000000003</v>
      </c>
      <c r="N495" s="6">
        <v>53.970001000000003</v>
      </c>
      <c r="O495" s="6">
        <v>53.009998000000003</v>
      </c>
      <c r="P495" s="6">
        <v>53.700001</v>
      </c>
      <c r="Q495" s="6">
        <v>40.408039000000002</v>
      </c>
      <c r="R495" s="58">
        <v>2213200</v>
      </c>
    </row>
    <row r="496" spans="12:18" x14ac:dyDescent="0.25">
      <c r="L496" s="26">
        <v>40161</v>
      </c>
      <c r="M496" s="6">
        <v>53.869999</v>
      </c>
      <c r="N496" s="6">
        <v>53.869999</v>
      </c>
      <c r="O496" s="6">
        <v>53.549999</v>
      </c>
      <c r="P496" s="6">
        <v>53.57</v>
      </c>
      <c r="Q496" s="6">
        <v>40.310218999999996</v>
      </c>
      <c r="R496" s="58">
        <v>1527200</v>
      </c>
    </row>
    <row r="497" spans="12:18" x14ac:dyDescent="0.25">
      <c r="L497" s="26">
        <v>40162</v>
      </c>
      <c r="M497" s="6">
        <v>53.639999000000003</v>
      </c>
      <c r="N497" s="6">
        <v>53.650002000000001</v>
      </c>
      <c r="O497" s="6">
        <v>53.080002</v>
      </c>
      <c r="P497" s="6">
        <v>53.119999</v>
      </c>
      <c r="Q497" s="6">
        <v>39.971600000000002</v>
      </c>
      <c r="R497" s="58">
        <v>2037800</v>
      </c>
    </row>
    <row r="498" spans="12:18" x14ac:dyDescent="0.25">
      <c r="L498" s="26">
        <v>40163</v>
      </c>
      <c r="M498" s="6">
        <v>53.209999000000003</v>
      </c>
      <c r="N498" s="6">
        <v>53.599997999999999</v>
      </c>
      <c r="O498" s="6">
        <v>52.650002000000001</v>
      </c>
      <c r="P498" s="6">
        <v>52.77</v>
      </c>
      <c r="Q498" s="6">
        <v>39.708224999999999</v>
      </c>
      <c r="R498" s="58">
        <v>1570900</v>
      </c>
    </row>
    <row r="499" spans="12:18" x14ac:dyDescent="0.25">
      <c r="L499" s="26">
        <v>40164</v>
      </c>
      <c r="M499" s="6">
        <v>52.75</v>
      </c>
      <c r="N499" s="6">
        <v>52.75</v>
      </c>
      <c r="O499" s="6">
        <v>52.07</v>
      </c>
      <c r="P499" s="6">
        <v>52.139999000000003</v>
      </c>
      <c r="Q499" s="6">
        <v>39.234177000000003</v>
      </c>
      <c r="R499" s="58">
        <v>1563800</v>
      </c>
    </row>
    <row r="500" spans="12:18" x14ac:dyDescent="0.25">
      <c r="L500" s="26">
        <v>40165</v>
      </c>
      <c r="M500" s="6">
        <v>52.25</v>
      </c>
      <c r="N500" s="6">
        <v>52.5</v>
      </c>
      <c r="O500" s="6">
        <v>51.549999</v>
      </c>
      <c r="P500" s="6">
        <v>52.27</v>
      </c>
      <c r="Q500" s="6">
        <v>39.331985000000003</v>
      </c>
      <c r="R500" s="58">
        <v>3179500</v>
      </c>
    </row>
    <row r="501" spans="12:18" x14ac:dyDescent="0.25">
      <c r="L501" s="26">
        <v>40168</v>
      </c>
      <c r="M501" s="6">
        <v>52.27</v>
      </c>
      <c r="N501" s="6">
        <v>52.48</v>
      </c>
      <c r="O501" s="6">
        <v>52.110000999999997</v>
      </c>
      <c r="P501" s="6">
        <v>52.169998</v>
      </c>
      <c r="Q501" s="6">
        <v>39.256740999999998</v>
      </c>
      <c r="R501" s="58">
        <v>1567000</v>
      </c>
    </row>
    <row r="502" spans="12:18" x14ac:dyDescent="0.25">
      <c r="L502" s="26">
        <v>40169</v>
      </c>
      <c r="M502" s="6">
        <v>52.34</v>
      </c>
      <c r="N502" s="6">
        <v>52.900002000000001</v>
      </c>
      <c r="O502" s="6">
        <v>52.080002</v>
      </c>
      <c r="P502" s="6">
        <v>52.84</v>
      </c>
      <c r="Q502" s="6">
        <v>39.760905999999999</v>
      </c>
      <c r="R502" s="58">
        <v>1067600</v>
      </c>
    </row>
    <row r="503" spans="12:18" x14ac:dyDescent="0.25">
      <c r="L503" s="26">
        <v>40170</v>
      </c>
      <c r="M503" s="6">
        <v>53.139999000000003</v>
      </c>
      <c r="N503" s="6">
        <v>53.5</v>
      </c>
      <c r="O503" s="6">
        <v>53</v>
      </c>
      <c r="P503" s="6">
        <v>53.299999</v>
      </c>
      <c r="Q503" s="6">
        <v>40.107047999999999</v>
      </c>
      <c r="R503" s="58">
        <v>1555800</v>
      </c>
    </row>
    <row r="504" spans="12:18" x14ac:dyDescent="0.25">
      <c r="L504" s="26">
        <v>40171</v>
      </c>
      <c r="M504" s="6">
        <v>53.470001000000003</v>
      </c>
      <c r="N504" s="6">
        <v>54.009998000000003</v>
      </c>
      <c r="O504" s="6">
        <v>53.349997999999999</v>
      </c>
      <c r="P504" s="6">
        <v>54</v>
      </c>
      <c r="Q504" s="6">
        <v>40.633780999999999</v>
      </c>
      <c r="R504" s="58">
        <v>1035200</v>
      </c>
    </row>
    <row r="505" spans="12:18" x14ac:dyDescent="0.25">
      <c r="L505" s="26">
        <v>40175</v>
      </c>
      <c r="M505" s="6">
        <v>53.91</v>
      </c>
      <c r="N505" s="6">
        <v>53.970001000000003</v>
      </c>
      <c r="O505" s="6">
        <v>53.720001000000003</v>
      </c>
      <c r="P505" s="6">
        <v>53.959999000000003</v>
      </c>
      <c r="Q505" s="6">
        <v>40.603690999999998</v>
      </c>
      <c r="R505" s="58">
        <v>641700</v>
      </c>
    </row>
    <row r="506" spans="12:18" x14ac:dyDescent="0.25">
      <c r="L506" s="26">
        <v>40176</v>
      </c>
      <c r="M506" s="6">
        <v>53.970001000000003</v>
      </c>
      <c r="N506" s="6">
        <v>54.080002</v>
      </c>
      <c r="O506" s="6">
        <v>53.830002</v>
      </c>
      <c r="P506" s="6">
        <v>53.98</v>
      </c>
      <c r="Q506" s="6">
        <v>40.618729000000002</v>
      </c>
      <c r="R506" s="58">
        <v>1068500</v>
      </c>
    </row>
    <row r="507" spans="12:18" x14ac:dyDescent="0.25">
      <c r="L507" s="26">
        <v>40177</v>
      </c>
      <c r="M507" s="6">
        <v>53.950001</v>
      </c>
      <c r="N507" s="6">
        <v>54.099997999999999</v>
      </c>
      <c r="O507" s="6">
        <v>53.689999</v>
      </c>
      <c r="P507" s="6">
        <v>53.990001999999997</v>
      </c>
      <c r="Q507" s="6">
        <v>40.626258999999997</v>
      </c>
      <c r="R507" s="58">
        <v>808000</v>
      </c>
    </row>
    <row r="508" spans="12:18" x14ac:dyDescent="0.25">
      <c r="L508" s="26">
        <v>40178</v>
      </c>
      <c r="M508" s="6">
        <v>53.959999000000003</v>
      </c>
      <c r="N508" s="6">
        <v>53.959999000000003</v>
      </c>
      <c r="O508" s="6">
        <v>53.169998</v>
      </c>
      <c r="P508" s="6">
        <v>53.200001</v>
      </c>
      <c r="Q508" s="6">
        <v>40.031802999999996</v>
      </c>
      <c r="R508" s="58">
        <v>738200</v>
      </c>
    </row>
    <row r="509" spans="12:18" x14ac:dyDescent="0.25">
      <c r="L509" s="26">
        <v>40182</v>
      </c>
      <c r="M509" s="6">
        <v>53.310001</v>
      </c>
      <c r="N509" s="6">
        <v>53.57</v>
      </c>
      <c r="O509" s="6">
        <v>52.57</v>
      </c>
      <c r="P509" s="6">
        <v>52.830002</v>
      </c>
      <c r="Q509" s="6">
        <v>39.753371999999999</v>
      </c>
      <c r="R509" s="58">
        <v>2749000</v>
      </c>
    </row>
    <row r="510" spans="12:18" x14ac:dyDescent="0.25">
      <c r="L510" s="26">
        <v>40183</v>
      </c>
      <c r="M510" s="6">
        <v>52.799999</v>
      </c>
      <c r="N510" s="6">
        <v>52.98</v>
      </c>
      <c r="O510" s="6">
        <v>52.549999</v>
      </c>
      <c r="P510" s="6">
        <v>52.950001</v>
      </c>
      <c r="Q510" s="6">
        <v>39.843665999999999</v>
      </c>
      <c r="R510" s="58">
        <v>1472000</v>
      </c>
    </row>
    <row r="511" spans="12:18" x14ac:dyDescent="0.25">
      <c r="L511" s="26">
        <v>40184</v>
      </c>
      <c r="M511" s="6">
        <v>52.82</v>
      </c>
      <c r="N511" s="6">
        <v>53.139999000000003</v>
      </c>
      <c r="O511" s="6">
        <v>52.599997999999999</v>
      </c>
      <c r="P511" s="6">
        <v>52.959999000000003</v>
      </c>
      <c r="Q511" s="6">
        <v>39.851191999999998</v>
      </c>
      <c r="R511" s="58">
        <v>1494300</v>
      </c>
    </row>
    <row r="512" spans="12:18" x14ac:dyDescent="0.25">
      <c r="L512" s="26">
        <v>40185</v>
      </c>
      <c r="M512" s="6">
        <v>52.779998999999997</v>
      </c>
      <c r="N512" s="6">
        <v>53.52</v>
      </c>
      <c r="O512" s="6">
        <v>52.700001</v>
      </c>
      <c r="P512" s="6">
        <v>53.48</v>
      </c>
      <c r="Q512" s="6">
        <v>40.242485000000002</v>
      </c>
      <c r="R512" s="58">
        <v>1782900</v>
      </c>
    </row>
    <row r="513" spans="12:18" x14ac:dyDescent="0.25">
      <c r="L513" s="26">
        <v>40186</v>
      </c>
      <c r="M513" s="6">
        <v>53.299999</v>
      </c>
      <c r="N513" s="6">
        <v>53.380001</v>
      </c>
      <c r="O513" s="6">
        <v>53</v>
      </c>
      <c r="P513" s="6">
        <v>53.380001</v>
      </c>
      <c r="Q513" s="6">
        <v>40.167248000000001</v>
      </c>
      <c r="R513" s="58">
        <v>1342700</v>
      </c>
    </row>
    <row r="514" spans="12:18" x14ac:dyDescent="0.25">
      <c r="L514" s="26">
        <v>40189</v>
      </c>
      <c r="M514" s="6">
        <v>53.509998000000003</v>
      </c>
      <c r="N514" s="6">
        <v>53.720001000000003</v>
      </c>
      <c r="O514" s="6">
        <v>53.029998999999997</v>
      </c>
      <c r="P514" s="6">
        <v>53.41</v>
      </c>
      <c r="Q514" s="6">
        <v>40.189807999999999</v>
      </c>
      <c r="R514" s="58">
        <v>943600</v>
      </c>
    </row>
    <row r="515" spans="12:18" x14ac:dyDescent="0.25">
      <c r="L515" s="26">
        <v>40190</v>
      </c>
      <c r="M515" s="6">
        <v>53.16</v>
      </c>
      <c r="N515" s="6">
        <v>53.650002000000001</v>
      </c>
      <c r="O515" s="6">
        <v>53.139999000000003</v>
      </c>
      <c r="P515" s="6">
        <v>53.389999000000003</v>
      </c>
      <c r="Q515" s="6">
        <v>40.174754999999998</v>
      </c>
      <c r="R515" s="58">
        <v>1463800</v>
      </c>
    </row>
    <row r="516" spans="12:18" x14ac:dyDescent="0.25">
      <c r="L516" s="26">
        <v>40191</v>
      </c>
      <c r="M516" s="6">
        <v>53.459999000000003</v>
      </c>
      <c r="N516" s="6">
        <v>53.990001999999997</v>
      </c>
      <c r="O516" s="6">
        <v>53.459999000000003</v>
      </c>
      <c r="P516" s="6">
        <v>53.720001000000003</v>
      </c>
      <c r="Q516" s="6">
        <v>40.423079999999999</v>
      </c>
      <c r="R516" s="58">
        <v>1405300</v>
      </c>
    </row>
    <row r="517" spans="12:18" x14ac:dyDescent="0.25">
      <c r="L517" s="26">
        <v>40192</v>
      </c>
      <c r="M517" s="6">
        <v>53.849997999999999</v>
      </c>
      <c r="N517" s="6">
        <v>54.110000999999997</v>
      </c>
      <c r="O517" s="6">
        <v>53.599997999999999</v>
      </c>
      <c r="P517" s="6">
        <v>53.849997999999999</v>
      </c>
      <c r="Q517" s="6">
        <v>40.520901000000002</v>
      </c>
      <c r="R517" s="58">
        <v>1638400</v>
      </c>
    </row>
    <row r="518" spans="12:18" x14ac:dyDescent="0.25">
      <c r="L518" s="26">
        <v>40193</v>
      </c>
      <c r="M518" s="6">
        <v>54.5</v>
      </c>
      <c r="N518" s="6">
        <v>54.959999000000003</v>
      </c>
      <c r="O518" s="6">
        <v>54.099997999999999</v>
      </c>
      <c r="P518" s="6">
        <v>54.34</v>
      </c>
      <c r="Q518" s="6">
        <v>40.889614000000002</v>
      </c>
      <c r="R518" s="58">
        <v>3779600</v>
      </c>
    </row>
    <row r="519" spans="12:18" x14ac:dyDescent="0.25">
      <c r="L519" s="26">
        <v>40197</v>
      </c>
      <c r="M519" s="6">
        <v>54.279998999999997</v>
      </c>
      <c r="N519" s="6">
        <v>54.599997999999999</v>
      </c>
      <c r="O519" s="6">
        <v>54.279998999999997</v>
      </c>
      <c r="P519" s="6">
        <v>54.5</v>
      </c>
      <c r="Q519" s="6">
        <v>41.010016999999998</v>
      </c>
      <c r="R519" s="58">
        <v>1437200</v>
      </c>
    </row>
    <row r="520" spans="12:18" x14ac:dyDescent="0.25">
      <c r="L520" s="26">
        <v>40198</v>
      </c>
      <c r="M520" s="6">
        <v>54.299999</v>
      </c>
      <c r="N520" s="6">
        <v>54.43</v>
      </c>
      <c r="O520" s="6">
        <v>53.5</v>
      </c>
      <c r="P520" s="6">
        <v>53.869999</v>
      </c>
      <c r="Q520" s="6">
        <v>40.535957000000003</v>
      </c>
      <c r="R520" s="58">
        <v>1869600</v>
      </c>
    </row>
    <row r="521" spans="12:18" x14ac:dyDescent="0.25">
      <c r="L521" s="26">
        <v>40199</v>
      </c>
      <c r="M521" s="6">
        <v>53.970001000000003</v>
      </c>
      <c r="N521" s="6">
        <v>54.459999000000003</v>
      </c>
      <c r="O521" s="6">
        <v>53.16</v>
      </c>
      <c r="P521" s="6">
        <v>53.439999</v>
      </c>
      <c r="Q521" s="6">
        <v>40.212387</v>
      </c>
      <c r="R521" s="58">
        <v>2401100</v>
      </c>
    </row>
    <row r="522" spans="12:18" x14ac:dyDescent="0.25">
      <c r="L522" s="26">
        <v>40200</v>
      </c>
      <c r="M522" s="6">
        <v>53.279998999999997</v>
      </c>
      <c r="N522" s="6">
        <v>54.610000999999997</v>
      </c>
      <c r="O522" s="6">
        <v>53.240001999999997</v>
      </c>
      <c r="P522" s="6">
        <v>54.34</v>
      </c>
      <c r="Q522" s="6">
        <v>40.889614000000002</v>
      </c>
      <c r="R522" s="58">
        <v>4832000</v>
      </c>
    </row>
    <row r="523" spans="12:18" x14ac:dyDescent="0.25">
      <c r="L523" s="26">
        <v>40203</v>
      </c>
      <c r="M523" s="6">
        <v>54.439999</v>
      </c>
      <c r="N523" s="6">
        <v>54.57</v>
      </c>
      <c r="O523" s="6">
        <v>54.119999</v>
      </c>
      <c r="P523" s="6">
        <v>54.169998</v>
      </c>
      <c r="Q523" s="6">
        <v>40.761699999999998</v>
      </c>
      <c r="R523" s="58">
        <v>2339800</v>
      </c>
    </row>
    <row r="524" spans="12:18" x14ac:dyDescent="0.25">
      <c r="L524" s="26">
        <v>40204</v>
      </c>
      <c r="M524" s="6">
        <v>54.060001</v>
      </c>
      <c r="N524" s="6">
        <v>54.860000999999997</v>
      </c>
      <c r="O524" s="6">
        <v>53.82</v>
      </c>
      <c r="P524" s="6">
        <v>54.849997999999999</v>
      </c>
      <c r="Q524" s="6">
        <v>41.273387999999997</v>
      </c>
      <c r="R524" s="58">
        <v>2906100</v>
      </c>
    </row>
    <row r="525" spans="12:18" x14ac:dyDescent="0.25">
      <c r="L525" s="26">
        <v>40205</v>
      </c>
      <c r="M525" s="6">
        <v>54.759998000000003</v>
      </c>
      <c r="N525" s="6">
        <v>55.279998999999997</v>
      </c>
      <c r="O525" s="6">
        <v>54.700001</v>
      </c>
      <c r="P525" s="6">
        <v>55.049999</v>
      </c>
      <c r="Q525" s="6">
        <v>41.423870000000001</v>
      </c>
      <c r="R525" s="58">
        <v>3484600</v>
      </c>
    </row>
    <row r="526" spans="12:18" x14ac:dyDescent="0.25">
      <c r="L526" s="26">
        <v>40206</v>
      </c>
      <c r="M526" s="6">
        <v>55.029998999999997</v>
      </c>
      <c r="N526" s="6">
        <v>55.450001</v>
      </c>
      <c r="O526" s="6">
        <v>54.139999000000003</v>
      </c>
      <c r="P526" s="6">
        <v>54.810001</v>
      </c>
      <c r="Q526" s="6">
        <v>41.243285999999998</v>
      </c>
      <c r="R526" s="58">
        <v>2435800</v>
      </c>
    </row>
    <row r="527" spans="12:18" x14ac:dyDescent="0.25">
      <c r="L527" s="26">
        <v>40207</v>
      </c>
      <c r="M527" s="6">
        <v>54.970001000000003</v>
      </c>
      <c r="N527" s="6">
        <v>54.98</v>
      </c>
      <c r="O527" s="6">
        <v>54.27</v>
      </c>
      <c r="P527" s="6">
        <v>54.419998</v>
      </c>
      <c r="Q527" s="6">
        <v>40.949821</v>
      </c>
      <c r="R527" s="58">
        <v>3334300</v>
      </c>
    </row>
    <row r="528" spans="12:18" x14ac:dyDescent="0.25">
      <c r="L528" s="26">
        <v>40210</v>
      </c>
      <c r="M528" s="6">
        <v>54.790000999999997</v>
      </c>
      <c r="N528" s="6">
        <v>54.880001</v>
      </c>
      <c r="O528" s="6">
        <v>54.34</v>
      </c>
      <c r="P528" s="6">
        <v>54.720001000000003</v>
      </c>
      <c r="Q528" s="6">
        <v>41.175552000000003</v>
      </c>
      <c r="R528" s="58">
        <v>3388900</v>
      </c>
    </row>
    <row r="529" spans="12:18" x14ac:dyDescent="0.25">
      <c r="L529" s="26">
        <v>40211</v>
      </c>
      <c r="M529" s="6">
        <v>54.580002</v>
      </c>
      <c r="N529" s="6">
        <v>55.389999000000003</v>
      </c>
      <c r="O529" s="6">
        <v>54.439999</v>
      </c>
      <c r="P529" s="6">
        <v>55.360000999999997</v>
      </c>
      <c r="Q529" s="6">
        <v>41.657145999999997</v>
      </c>
      <c r="R529" s="58">
        <v>3271100</v>
      </c>
    </row>
    <row r="530" spans="12:18" x14ac:dyDescent="0.25">
      <c r="L530" s="26">
        <v>40212</v>
      </c>
      <c r="M530" s="6">
        <v>55.299999</v>
      </c>
      <c r="N530" s="6">
        <v>55.41</v>
      </c>
      <c r="O530" s="6">
        <v>54.939999</v>
      </c>
      <c r="P530" s="6">
        <v>55.189999</v>
      </c>
      <c r="Q530" s="6">
        <v>41.529223999999999</v>
      </c>
      <c r="R530" s="58">
        <v>2837100</v>
      </c>
    </row>
    <row r="531" spans="12:18" x14ac:dyDescent="0.25">
      <c r="L531" s="26">
        <v>40213</v>
      </c>
      <c r="M531" s="6">
        <v>53.82</v>
      </c>
      <c r="N531" s="6">
        <v>54.43</v>
      </c>
      <c r="O531" s="6">
        <v>52.41</v>
      </c>
      <c r="P531" s="6">
        <v>52.41</v>
      </c>
      <c r="Q531" s="6">
        <v>39.437336000000002</v>
      </c>
      <c r="R531" s="58">
        <v>6502200</v>
      </c>
    </row>
    <row r="532" spans="12:18" x14ac:dyDescent="0.25">
      <c r="L532" s="26">
        <v>40214</v>
      </c>
      <c r="M532" s="6">
        <v>52.189999</v>
      </c>
      <c r="N532" s="6">
        <v>53.02</v>
      </c>
      <c r="O532" s="6">
        <v>52.060001</v>
      </c>
      <c r="P532" s="6">
        <v>52.720001000000003</v>
      </c>
      <c r="Q532" s="6">
        <v>39.670611999999998</v>
      </c>
      <c r="R532" s="58">
        <v>4463000</v>
      </c>
    </row>
    <row r="533" spans="12:18" x14ac:dyDescent="0.25">
      <c r="L533" s="26">
        <v>40217</v>
      </c>
      <c r="M533" s="6">
        <v>52.82</v>
      </c>
      <c r="N533" s="6">
        <v>52.82</v>
      </c>
      <c r="O533" s="6">
        <v>51.990001999999997</v>
      </c>
      <c r="P533" s="6">
        <v>52.009998000000003</v>
      </c>
      <c r="Q533" s="6">
        <v>39.136344999999999</v>
      </c>
      <c r="R533" s="58">
        <v>2102500</v>
      </c>
    </row>
    <row r="534" spans="12:18" x14ac:dyDescent="0.25">
      <c r="L534" s="26">
        <v>40218</v>
      </c>
      <c r="M534" s="6">
        <v>52.290000999999997</v>
      </c>
      <c r="N534" s="6">
        <v>52.880001</v>
      </c>
      <c r="O534" s="6">
        <v>52.139999000000003</v>
      </c>
      <c r="P534" s="6">
        <v>52.490001999999997</v>
      </c>
      <c r="Q534" s="6">
        <v>39.497540000000001</v>
      </c>
      <c r="R534" s="58">
        <v>2192600</v>
      </c>
    </row>
    <row r="535" spans="12:18" x14ac:dyDescent="0.25">
      <c r="L535" s="26">
        <v>40219</v>
      </c>
      <c r="M535" s="6">
        <v>52.549999</v>
      </c>
      <c r="N535" s="6">
        <v>52.619999</v>
      </c>
      <c r="O535" s="6">
        <v>52.220001000000003</v>
      </c>
      <c r="P535" s="6">
        <v>52.330002</v>
      </c>
      <c r="Q535" s="6">
        <v>39.377139999999997</v>
      </c>
      <c r="R535" s="58">
        <v>2001900</v>
      </c>
    </row>
    <row r="536" spans="12:18" x14ac:dyDescent="0.25">
      <c r="L536" s="26">
        <v>40220</v>
      </c>
      <c r="M536" s="6">
        <v>52.41</v>
      </c>
      <c r="N536" s="6">
        <v>52.66</v>
      </c>
      <c r="O536" s="6">
        <v>51.93</v>
      </c>
      <c r="P536" s="6">
        <v>52.619999</v>
      </c>
      <c r="Q536" s="6">
        <v>39.595356000000002</v>
      </c>
      <c r="R536" s="58">
        <v>1918900</v>
      </c>
    </row>
    <row r="537" spans="12:18" x14ac:dyDescent="0.25">
      <c r="L537" s="26">
        <v>40221</v>
      </c>
      <c r="M537" s="6">
        <v>52.389999000000003</v>
      </c>
      <c r="N537" s="6">
        <v>52.790000999999997</v>
      </c>
      <c r="O537" s="6">
        <v>52.200001</v>
      </c>
      <c r="P537" s="6">
        <v>52.34</v>
      </c>
      <c r="Q537" s="6">
        <v>39.38467</v>
      </c>
      <c r="R537" s="58">
        <v>3179000</v>
      </c>
    </row>
    <row r="538" spans="12:18" x14ac:dyDescent="0.25">
      <c r="L538" s="26">
        <v>40225</v>
      </c>
      <c r="M538" s="6">
        <v>52.599997999999999</v>
      </c>
      <c r="N538" s="6">
        <v>52.68</v>
      </c>
      <c r="O538" s="6">
        <v>51.91</v>
      </c>
      <c r="P538" s="6">
        <v>52.599997999999999</v>
      </c>
      <c r="Q538" s="6">
        <v>39.580303000000001</v>
      </c>
      <c r="R538" s="58">
        <v>2551100</v>
      </c>
    </row>
    <row r="539" spans="12:18" x14ac:dyDescent="0.25">
      <c r="L539" s="26">
        <v>40226</v>
      </c>
      <c r="M539" s="6">
        <v>52.560001</v>
      </c>
      <c r="N539" s="6">
        <v>52.98</v>
      </c>
      <c r="O539" s="6">
        <v>52.450001</v>
      </c>
      <c r="P539" s="6">
        <v>52.98</v>
      </c>
      <c r="Q539" s="6">
        <v>39.866249000000003</v>
      </c>
      <c r="R539" s="58">
        <v>2304600</v>
      </c>
    </row>
    <row r="540" spans="12:18" x14ac:dyDescent="0.25">
      <c r="L540" s="26">
        <v>40227</v>
      </c>
      <c r="M540" s="6">
        <v>52.849997999999999</v>
      </c>
      <c r="N540" s="6">
        <v>53.119999</v>
      </c>
      <c r="O540" s="6">
        <v>52.779998999999997</v>
      </c>
      <c r="P540" s="6">
        <v>53.009998000000003</v>
      </c>
      <c r="Q540" s="6">
        <v>39.888821</v>
      </c>
      <c r="R540" s="58">
        <v>1458900</v>
      </c>
    </row>
    <row r="541" spans="12:18" x14ac:dyDescent="0.25">
      <c r="L541" s="26">
        <v>40228</v>
      </c>
      <c r="M541" s="6">
        <v>52.93</v>
      </c>
      <c r="N541" s="6">
        <v>53.400002000000001</v>
      </c>
      <c r="O541" s="6">
        <v>52.810001</v>
      </c>
      <c r="P541" s="6">
        <v>53.200001</v>
      </c>
      <c r="Q541" s="6">
        <v>40.031802999999996</v>
      </c>
      <c r="R541" s="58">
        <v>1985200</v>
      </c>
    </row>
    <row r="542" spans="12:18" x14ac:dyDescent="0.25">
      <c r="L542" s="26">
        <v>40231</v>
      </c>
      <c r="M542" s="6">
        <v>53.150002000000001</v>
      </c>
      <c r="N542" s="6">
        <v>53.32</v>
      </c>
      <c r="O542" s="6">
        <v>52.740001999999997</v>
      </c>
      <c r="P542" s="6">
        <v>52.860000999999997</v>
      </c>
      <c r="Q542" s="6">
        <v>39.775950999999999</v>
      </c>
      <c r="R542" s="58">
        <v>2577100</v>
      </c>
    </row>
    <row r="543" spans="12:18" x14ac:dyDescent="0.25">
      <c r="L543" s="26">
        <v>40232</v>
      </c>
      <c r="M543" s="6">
        <v>52.889999000000003</v>
      </c>
      <c r="N543" s="6">
        <v>53.060001</v>
      </c>
      <c r="O543" s="6">
        <v>52.369999</v>
      </c>
      <c r="P543" s="6">
        <v>52.73</v>
      </c>
      <c r="Q543" s="6">
        <v>39.678122999999999</v>
      </c>
      <c r="R543" s="58">
        <v>2344700</v>
      </c>
    </row>
    <row r="544" spans="12:18" x14ac:dyDescent="0.25">
      <c r="L544" s="26">
        <v>40233</v>
      </c>
      <c r="M544" s="6">
        <v>52.799999</v>
      </c>
      <c r="N544" s="6">
        <v>53.32</v>
      </c>
      <c r="O544" s="6">
        <v>52.150002000000001</v>
      </c>
      <c r="P544" s="6">
        <v>52.400002000000001</v>
      </c>
      <c r="Q544" s="6">
        <v>39.429813000000003</v>
      </c>
      <c r="R544" s="58">
        <v>2329300</v>
      </c>
    </row>
    <row r="545" spans="12:18" x14ac:dyDescent="0.25">
      <c r="L545" s="26">
        <v>40234</v>
      </c>
      <c r="M545" s="6">
        <v>52.040000999999997</v>
      </c>
      <c r="N545" s="6">
        <v>52.380001</v>
      </c>
      <c r="O545" s="6">
        <v>51.700001</v>
      </c>
      <c r="P545" s="6">
        <v>52.310001</v>
      </c>
      <c r="Q545" s="6">
        <v>39.362087000000002</v>
      </c>
      <c r="R545" s="58">
        <v>2045000</v>
      </c>
    </row>
    <row r="546" spans="12:18" x14ac:dyDescent="0.25">
      <c r="L546" s="26">
        <v>40235</v>
      </c>
      <c r="M546" s="6">
        <v>52.330002</v>
      </c>
      <c r="N546" s="6">
        <v>52.389999000000003</v>
      </c>
      <c r="O546" s="6">
        <v>51.82</v>
      </c>
      <c r="P546" s="6">
        <v>52.150002000000001</v>
      </c>
      <c r="Q546" s="6">
        <v>39.525047000000001</v>
      </c>
      <c r="R546" s="58">
        <v>2110700</v>
      </c>
    </row>
    <row r="547" spans="12:18" x14ac:dyDescent="0.25">
      <c r="L547" s="26">
        <v>40238</v>
      </c>
      <c r="M547" s="6">
        <v>52.310001</v>
      </c>
      <c r="N547" s="6">
        <v>52.459999000000003</v>
      </c>
      <c r="O547" s="6">
        <v>52.049999</v>
      </c>
      <c r="P547" s="6">
        <v>52.16</v>
      </c>
      <c r="Q547" s="6">
        <v>39.532618999999997</v>
      </c>
      <c r="R547" s="58">
        <v>2476100</v>
      </c>
    </row>
    <row r="548" spans="12:18" x14ac:dyDescent="0.25">
      <c r="L548" s="26">
        <v>40239</v>
      </c>
      <c r="M548" s="6">
        <v>52.32</v>
      </c>
      <c r="N548" s="6">
        <v>52.77</v>
      </c>
      <c r="O548" s="6">
        <v>52.32</v>
      </c>
      <c r="P548" s="6">
        <v>52.610000999999997</v>
      </c>
      <c r="Q548" s="6">
        <v>39.87368</v>
      </c>
      <c r="R548" s="58">
        <v>2301800</v>
      </c>
    </row>
    <row r="549" spans="12:18" x14ac:dyDescent="0.25">
      <c r="L549" s="26">
        <v>40240</v>
      </c>
      <c r="M549" s="6">
        <v>52.599997999999999</v>
      </c>
      <c r="N549" s="6">
        <v>52.790000999999997</v>
      </c>
      <c r="O549" s="6">
        <v>52.48</v>
      </c>
      <c r="P549" s="6">
        <v>52.57</v>
      </c>
      <c r="Q549" s="6">
        <v>39.843361000000002</v>
      </c>
      <c r="R549" s="58">
        <v>2050700</v>
      </c>
    </row>
    <row r="550" spans="12:18" x14ac:dyDescent="0.25">
      <c r="L550" s="26">
        <v>40241</v>
      </c>
      <c r="M550" s="6">
        <v>52.529998999999997</v>
      </c>
      <c r="N550" s="6">
        <v>53</v>
      </c>
      <c r="O550" s="6">
        <v>52.209999000000003</v>
      </c>
      <c r="P550" s="6">
        <v>52.650002000000001</v>
      </c>
      <c r="Q550" s="6">
        <v>39.903992000000002</v>
      </c>
      <c r="R550" s="58">
        <v>2761900</v>
      </c>
    </row>
    <row r="551" spans="12:18" x14ac:dyDescent="0.25">
      <c r="L551" s="26">
        <v>40242</v>
      </c>
      <c r="M551" s="6">
        <v>52.759998000000003</v>
      </c>
      <c r="N551" s="6">
        <v>52.939999</v>
      </c>
      <c r="O551" s="6">
        <v>52.41</v>
      </c>
      <c r="P551" s="6">
        <v>52.93</v>
      </c>
      <c r="Q551" s="6">
        <v>40.116211</v>
      </c>
      <c r="R551" s="58">
        <v>1649400</v>
      </c>
    </row>
    <row r="552" spans="12:18" x14ac:dyDescent="0.25">
      <c r="L552" s="26">
        <v>40245</v>
      </c>
      <c r="M552" s="6">
        <v>52.799999</v>
      </c>
      <c r="N552" s="6">
        <v>52.799999</v>
      </c>
      <c r="O552" s="6">
        <v>52.509998000000003</v>
      </c>
      <c r="P552" s="6">
        <v>52.619999</v>
      </c>
      <c r="Q552" s="6">
        <v>39.881252000000003</v>
      </c>
      <c r="R552" s="58">
        <v>1518000</v>
      </c>
    </row>
    <row r="553" spans="12:18" x14ac:dyDescent="0.25">
      <c r="L553" s="26">
        <v>40246</v>
      </c>
      <c r="M553" s="6">
        <v>52.439999</v>
      </c>
      <c r="N553" s="6">
        <v>52.709999000000003</v>
      </c>
      <c r="O553" s="6">
        <v>52.32</v>
      </c>
      <c r="P553" s="6">
        <v>52.43</v>
      </c>
      <c r="Q553" s="6">
        <v>39.737259000000002</v>
      </c>
      <c r="R553" s="58">
        <v>1408300</v>
      </c>
    </row>
    <row r="554" spans="12:18" x14ac:dyDescent="0.25">
      <c r="L554" s="26">
        <v>40247</v>
      </c>
      <c r="M554" s="6">
        <v>52.470001000000003</v>
      </c>
      <c r="N554" s="6">
        <v>52.75</v>
      </c>
      <c r="O554" s="6">
        <v>52.310001</v>
      </c>
      <c r="P554" s="6">
        <v>52.509998000000003</v>
      </c>
      <c r="Q554" s="6">
        <v>39.797885999999998</v>
      </c>
      <c r="R554" s="58">
        <v>2099300</v>
      </c>
    </row>
    <row r="555" spans="12:18" x14ac:dyDescent="0.25">
      <c r="L555" s="26">
        <v>40248</v>
      </c>
      <c r="M555" s="6">
        <v>52.790000999999997</v>
      </c>
      <c r="N555" s="6">
        <v>52.970001000000003</v>
      </c>
      <c r="O555" s="6">
        <v>52.330002</v>
      </c>
      <c r="P555" s="6">
        <v>52.689999</v>
      </c>
      <c r="Q555" s="6">
        <v>39.934306999999997</v>
      </c>
      <c r="R555" s="58">
        <v>2331000</v>
      </c>
    </row>
    <row r="556" spans="12:18" x14ac:dyDescent="0.25">
      <c r="L556" s="26">
        <v>40249</v>
      </c>
      <c r="M556" s="6">
        <v>52.610000999999997</v>
      </c>
      <c r="N556" s="6">
        <v>53.049999</v>
      </c>
      <c r="O556" s="6">
        <v>52.439999</v>
      </c>
      <c r="P556" s="6">
        <v>52.490001999999997</v>
      </c>
      <c r="Q556" s="6">
        <v>39.782733999999998</v>
      </c>
      <c r="R556" s="58">
        <v>2173300</v>
      </c>
    </row>
    <row r="557" spans="12:18" x14ac:dyDescent="0.25">
      <c r="L557" s="26">
        <v>40252</v>
      </c>
      <c r="M557" s="6">
        <v>52.439999</v>
      </c>
      <c r="N557" s="6">
        <v>52.799999</v>
      </c>
      <c r="O557" s="6">
        <v>52.389999000000003</v>
      </c>
      <c r="P557" s="6">
        <v>52.509998000000003</v>
      </c>
      <c r="Q557" s="6">
        <v>39.797885999999998</v>
      </c>
      <c r="R557" s="58">
        <v>1385600</v>
      </c>
    </row>
    <row r="558" spans="12:18" x14ac:dyDescent="0.25">
      <c r="L558" s="26">
        <v>40253</v>
      </c>
      <c r="M558" s="6">
        <v>52.73</v>
      </c>
      <c r="N558" s="6">
        <v>52.91</v>
      </c>
      <c r="O558" s="6">
        <v>52.509998000000003</v>
      </c>
      <c r="P558" s="6">
        <v>52.830002</v>
      </c>
      <c r="Q558" s="6">
        <v>40.040427999999999</v>
      </c>
      <c r="R558" s="58">
        <v>1912600</v>
      </c>
    </row>
    <row r="559" spans="12:18" x14ac:dyDescent="0.25">
      <c r="L559" s="26">
        <v>40254</v>
      </c>
      <c r="M559" s="6">
        <v>52.970001000000003</v>
      </c>
      <c r="N559" s="6">
        <v>53.130001</v>
      </c>
      <c r="O559" s="6">
        <v>52.619999</v>
      </c>
      <c r="P559" s="6">
        <v>52.959999000000003</v>
      </c>
      <c r="Q559" s="6">
        <v>40.138947000000002</v>
      </c>
      <c r="R559" s="58">
        <v>1967000</v>
      </c>
    </row>
    <row r="560" spans="12:18" x14ac:dyDescent="0.25">
      <c r="L560" s="26">
        <v>40255</v>
      </c>
      <c r="M560" s="6">
        <v>52.98</v>
      </c>
      <c r="N560" s="6">
        <v>53.080002</v>
      </c>
      <c r="O560" s="6">
        <v>52.700001</v>
      </c>
      <c r="P560" s="6">
        <v>52.84</v>
      </c>
      <c r="Q560" s="6">
        <v>40.047997000000002</v>
      </c>
      <c r="R560" s="58">
        <v>1974500</v>
      </c>
    </row>
    <row r="561" spans="12:18" x14ac:dyDescent="0.25">
      <c r="L561" s="26">
        <v>40256</v>
      </c>
      <c r="M561" s="6">
        <v>53.43</v>
      </c>
      <c r="N561" s="6">
        <v>53.459999000000003</v>
      </c>
      <c r="O561" s="6">
        <v>52.689999</v>
      </c>
      <c r="P561" s="6">
        <v>53.43</v>
      </c>
      <c r="Q561" s="6">
        <v>40.495162999999998</v>
      </c>
      <c r="R561" s="58">
        <v>3283100</v>
      </c>
    </row>
    <row r="562" spans="12:18" x14ac:dyDescent="0.25">
      <c r="L562" s="26">
        <v>40259</v>
      </c>
      <c r="M562" s="6">
        <v>53.490001999999997</v>
      </c>
      <c r="N562" s="6">
        <v>54.32</v>
      </c>
      <c r="O562" s="6">
        <v>53.259998000000003</v>
      </c>
      <c r="P562" s="6">
        <v>54.16</v>
      </c>
      <c r="Q562" s="6">
        <v>41.048431000000001</v>
      </c>
      <c r="R562" s="58">
        <v>3631700</v>
      </c>
    </row>
    <row r="563" spans="12:18" x14ac:dyDescent="0.25">
      <c r="L563" s="26">
        <v>40260</v>
      </c>
      <c r="M563" s="6">
        <v>54.349997999999999</v>
      </c>
      <c r="N563" s="6">
        <v>54.799999</v>
      </c>
      <c r="O563" s="6">
        <v>54.119999</v>
      </c>
      <c r="P563" s="6">
        <v>54.759998000000003</v>
      </c>
      <c r="Q563" s="6">
        <v>41.503185000000002</v>
      </c>
      <c r="R563" s="58">
        <v>2804500</v>
      </c>
    </row>
    <row r="564" spans="12:18" x14ac:dyDescent="0.25">
      <c r="L564" s="26">
        <v>40261</v>
      </c>
      <c r="M564" s="6">
        <v>54.549999</v>
      </c>
      <c r="N564" s="6">
        <v>54.75</v>
      </c>
      <c r="O564" s="6">
        <v>54.34</v>
      </c>
      <c r="P564" s="6">
        <v>54.610000999999997</v>
      </c>
      <c r="Q564" s="6">
        <v>41.389502999999998</v>
      </c>
      <c r="R564" s="58">
        <v>2126600</v>
      </c>
    </row>
    <row r="565" spans="12:18" x14ac:dyDescent="0.25">
      <c r="L565" s="26">
        <v>40262</v>
      </c>
      <c r="M565" s="6">
        <v>54.75</v>
      </c>
      <c r="N565" s="6">
        <v>54.799999</v>
      </c>
      <c r="O565" s="6">
        <v>53.950001</v>
      </c>
      <c r="P565" s="6">
        <v>54.240001999999997</v>
      </c>
      <c r="Q565" s="6">
        <v>41.109081000000003</v>
      </c>
      <c r="R565" s="58">
        <v>2490700</v>
      </c>
    </row>
    <row r="566" spans="12:18" x14ac:dyDescent="0.25">
      <c r="L566" s="26">
        <v>40263</v>
      </c>
      <c r="M566" s="6">
        <v>54.240001999999997</v>
      </c>
      <c r="N566" s="6">
        <v>54.349997999999999</v>
      </c>
      <c r="O566" s="6">
        <v>53.529998999999997</v>
      </c>
      <c r="P566" s="6">
        <v>53.759998000000003</v>
      </c>
      <c r="Q566" s="6">
        <v>40.745280999999999</v>
      </c>
      <c r="R566" s="58">
        <v>1940600</v>
      </c>
    </row>
    <row r="567" spans="12:18" x14ac:dyDescent="0.25">
      <c r="L567" s="26">
        <v>40266</v>
      </c>
      <c r="M567" s="6">
        <v>53.279998999999997</v>
      </c>
      <c r="N567" s="6">
        <v>53.959999000000003</v>
      </c>
      <c r="O567" s="6">
        <v>53.099997999999999</v>
      </c>
      <c r="P567" s="6">
        <v>53.860000999999997</v>
      </c>
      <c r="Q567" s="6">
        <v>40.821060000000003</v>
      </c>
      <c r="R567" s="58">
        <v>2381300</v>
      </c>
    </row>
    <row r="568" spans="12:18" x14ac:dyDescent="0.25">
      <c r="L568" s="26">
        <v>40267</v>
      </c>
      <c r="M568" s="6">
        <v>53.889999000000003</v>
      </c>
      <c r="N568" s="6">
        <v>54.200001</v>
      </c>
      <c r="O568" s="6">
        <v>53.73</v>
      </c>
      <c r="P568" s="6">
        <v>53.75</v>
      </c>
      <c r="Q568" s="6">
        <v>40.737685999999997</v>
      </c>
      <c r="R568" s="58">
        <v>1937700</v>
      </c>
    </row>
    <row r="569" spans="12:18" x14ac:dyDescent="0.25">
      <c r="L569" s="26">
        <v>40268</v>
      </c>
      <c r="M569" s="6">
        <v>53.57</v>
      </c>
      <c r="N569" s="6">
        <v>53.720001000000003</v>
      </c>
      <c r="O569" s="6">
        <v>53.34</v>
      </c>
      <c r="P569" s="6">
        <v>53.43</v>
      </c>
      <c r="Q569" s="6">
        <v>40.495162999999998</v>
      </c>
      <c r="R569" s="58">
        <v>1943300</v>
      </c>
    </row>
    <row r="570" spans="12:18" x14ac:dyDescent="0.25">
      <c r="L570" s="26">
        <v>40269</v>
      </c>
      <c r="M570" s="6">
        <v>53.529998999999997</v>
      </c>
      <c r="N570" s="6">
        <v>53.889999000000003</v>
      </c>
      <c r="O570" s="6">
        <v>53.43</v>
      </c>
      <c r="P570" s="6">
        <v>53.610000999999997</v>
      </c>
      <c r="Q570" s="6">
        <v>40.631588000000001</v>
      </c>
      <c r="R570" s="58">
        <v>1933400</v>
      </c>
    </row>
    <row r="571" spans="12:18" x14ac:dyDescent="0.25">
      <c r="L571" s="26">
        <v>40273</v>
      </c>
      <c r="M571" s="6">
        <v>53.75</v>
      </c>
      <c r="N571" s="6">
        <v>53.810001</v>
      </c>
      <c r="O571" s="6">
        <v>53.029998999999997</v>
      </c>
      <c r="P571" s="6">
        <v>53.139999000000003</v>
      </c>
      <c r="Q571" s="6">
        <v>40.275359999999999</v>
      </c>
      <c r="R571" s="58">
        <v>1960400</v>
      </c>
    </row>
    <row r="572" spans="12:18" x14ac:dyDescent="0.25">
      <c r="L572" s="26">
        <v>40274</v>
      </c>
      <c r="M572" s="6">
        <v>53.040000999999997</v>
      </c>
      <c r="N572" s="6">
        <v>53.150002000000001</v>
      </c>
      <c r="O572" s="6">
        <v>52.849997999999999</v>
      </c>
      <c r="P572" s="6">
        <v>53.040000999999997</v>
      </c>
      <c r="Q572" s="6">
        <v>40.199581000000002</v>
      </c>
      <c r="R572" s="58">
        <v>1824100</v>
      </c>
    </row>
    <row r="573" spans="12:18" x14ac:dyDescent="0.25">
      <c r="L573" s="26">
        <v>40275</v>
      </c>
      <c r="M573" s="6">
        <v>53.060001</v>
      </c>
      <c r="N573" s="6">
        <v>53.060001</v>
      </c>
      <c r="O573" s="6">
        <v>52.540000999999997</v>
      </c>
      <c r="P573" s="6">
        <v>52.650002000000001</v>
      </c>
      <c r="Q573" s="6">
        <v>39.903992000000002</v>
      </c>
      <c r="R573" s="58">
        <v>2325100</v>
      </c>
    </row>
    <row r="574" spans="12:18" x14ac:dyDescent="0.25">
      <c r="L574" s="26">
        <v>40276</v>
      </c>
      <c r="M574" s="6">
        <v>52.5</v>
      </c>
      <c r="N574" s="6">
        <v>52.580002</v>
      </c>
      <c r="O574" s="6">
        <v>52.240001999999997</v>
      </c>
      <c r="P574" s="6">
        <v>52.310001</v>
      </c>
      <c r="Q574" s="6">
        <v>39.646304999999998</v>
      </c>
      <c r="R574" s="58">
        <v>2309300</v>
      </c>
    </row>
    <row r="575" spans="12:18" x14ac:dyDescent="0.25">
      <c r="L575" s="26">
        <v>40277</v>
      </c>
      <c r="M575" s="6">
        <v>52.32</v>
      </c>
      <c r="N575" s="6">
        <v>52.970001000000003</v>
      </c>
      <c r="O575" s="6">
        <v>52.029998999999997</v>
      </c>
      <c r="P575" s="6">
        <v>52.810001</v>
      </c>
      <c r="Q575" s="6">
        <v>40.025257000000003</v>
      </c>
      <c r="R575" s="58">
        <v>3031600</v>
      </c>
    </row>
    <row r="576" spans="12:18" x14ac:dyDescent="0.25">
      <c r="L576" s="26">
        <v>40280</v>
      </c>
      <c r="M576" s="6">
        <v>53.060001</v>
      </c>
      <c r="N576" s="6">
        <v>53.169998</v>
      </c>
      <c r="O576" s="6">
        <v>52.900002000000001</v>
      </c>
      <c r="P576" s="6">
        <v>53.080002</v>
      </c>
      <c r="Q576" s="6">
        <v>40.229900000000001</v>
      </c>
      <c r="R576" s="58">
        <v>1582900</v>
      </c>
    </row>
    <row r="577" spans="12:18" x14ac:dyDescent="0.25">
      <c r="L577" s="26">
        <v>40281</v>
      </c>
      <c r="M577" s="6">
        <v>52.970001000000003</v>
      </c>
      <c r="N577" s="6">
        <v>53.27</v>
      </c>
      <c r="O577" s="6">
        <v>52.93</v>
      </c>
      <c r="P577" s="6">
        <v>53.119999</v>
      </c>
      <c r="Q577" s="6">
        <v>40.260207999999999</v>
      </c>
      <c r="R577" s="58">
        <v>2175800</v>
      </c>
    </row>
    <row r="578" spans="12:18" x14ac:dyDescent="0.25">
      <c r="L578" s="26">
        <v>40282</v>
      </c>
      <c r="M578" s="6">
        <v>53.119999</v>
      </c>
      <c r="N578" s="6">
        <v>53.52</v>
      </c>
      <c r="O578" s="6">
        <v>52.939999</v>
      </c>
      <c r="P578" s="6">
        <v>53.52</v>
      </c>
      <c r="Q578" s="6">
        <v>40.563374000000003</v>
      </c>
      <c r="R578" s="58">
        <v>2721500</v>
      </c>
    </row>
    <row r="579" spans="12:18" x14ac:dyDescent="0.25">
      <c r="L579" s="26">
        <v>40283</v>
      </c>
      <c r="M579" s="6">
        <v>53.290000999999997</v>
      </c>
      <c r="N579" s="6">
        <v>53.700001</v>
      </c>
      <c r="O579" s="6">
        <v>52.91</v>
      </c>
      <c r="P579" s="6">
        <v>53.540000999999997</v>
      </c>
      <c r="Q579" s="6">
        <v>40.578536999999997</v>
      </c>
      <c r="R579" s="58">
        <v>1960600</v>
      </c>
    </row>
    <row r="580" spans="12:18" x14ac:dyDescent="0.25">
      <c r="L580" s="26">
        <v>40284</v>
      </c>
      <c r="M580" s="6">
        <v>53.439999</v>
      </c>
      <c r="N580" s="6">
        <v>54.119999</v>
      </c>
      <c r="O580" s="6">
        <v>53.400002000000001</v>
      </c>
      <c r="P580" s="6">
        <v>54.040000999999997</v>
      </c>
      <c r="Q580" s="6">
        <v>40.957496999999996</v>
      </c>
      <c r="R580" s="58">
        <v>3888000</v>
      </c>
    </row>
    <row r="581" spans="12:18" x14ac:dyDescent="0.25">
      <c r="L581" s="26">
        <v>40287</v>
      </c>
      <c r="M581" s="6">
        <v>53.830002</v>
      </c>
      <c r="N581" s="6">
        <v>53.939999</v>
      </c>
      <c r="O581" s="6">
        <v>53.450001</v>
      </c>
      <c r="P581" s="6">
        <v>53.779998999999997</v>
      </c>
      <c r="Q581" s="6">
        <v>40.760426000000002</v>
      </c>
      <c r="R581" s="58">
        <v>2235800</v>
      </c>
    </row>
    <row r="582" spans="12:18" x14ac:dyDescent="0.25">
      <c r="L582" s="26">
        <v>40288</v>
      </c>
      <c r="M582" s="6">
        <v>53.919998</v>
      </c>
      <c r="N582" s="6">
        <v>54</v>
      </c>
      <c r="O582" s="6">
        <v>53.150002000000001</v>
      </c>
      <c r="P582" s="6">
        <v>53.610000999999997</v>
      </c>
      <c r="Q582" s="6">
        <v>40.631588000000001</v>
      </c>
      <c r="R582" s="58">
        <v>2450200</v>
      </c>
    </row>
    <row r="583" spans="12:18" x14ac:dyDescent="0.25">
      <c r="L583" s="26">
        <v>40289</v>
      </c>
      <c r="M583" s="6">
        <v>53.560001</v>
      </c>
      <c r="N583" s="6">
        <v>54</v>
      </c>
      <c r="O583" s="6">
        <v>53.52</v>
      </c>
      <c r="P583" s="6">
        <v>53.869999</v>
      </c>
      <c r="Q583" s="6">
        <v>40.828643999999997</v>
      </c>
      <c r="R583" s="58">
        <v>2284800</v>
      </c>
    </row>
    <row r="584" spans="12:18" x14ac:dyDescent="0.25">
      <c r="L584" s="26">
        <v>40290</v>
      </c>
      <c r="M584" s="6">
        <v>53.709999000000003</v>
      </c>
      <c r="N584" s="6">
        <v>54</v>
      </c>
      <c r="O584" s="6">
        <v>53.52</v>
      </c>
      <c r="P584" s="6">
        <v>53.98</v>
      </c>
      <c r="Q584" s="6">
        <v>40.912002999999999</v>
      </c>
      <c r="R584" s="58">
        <v>2339700</v>
      </c>
    </row>
    <row r="585" spans="12:18" x14ac:dyDescent="0.25">
      <c r="L585" s="26">
        <v>40291</v>
      </c>
      <c r="M585" s="6">
        <v>53.880001</v>
      </c>
      <c r="N585" s="6">
        <v>53.950001</v>
      </c>
      <c r="O585" s="6">
        <v>53.360000999999997</v>
      </c>
      <c r="P585" s="6">
        <v>53.619999</v>
      </c>
      <c r="Q585" s="6">
        <v>40.639167999999998</v>
      </c>
      <c r="R585" s="58">
        <v>2190000</v>
      </c>
    </row>
    <row r="586" spans="12:18" x14ac:dyDescent="0.25">
      <c r="L586" s="26">
        <v>40294</v>
      </c>
      <c r="M586" s="6">
        <v>53.669998</v>
      </c>
      <c r="N586" s="6">
        <v>53.959999000000003</v>
      </c>
      <c r="O586" s="6">
        <v>53.27</v>
      </c>
      <c r="P586" s="6">
        <v>53.34</v>
      </c>
      <c r="Q586" s="6">
        <v>40.426949</v>
      </c>
      <c r="R586" s="58">
        <v>2326000</v>
      </c>
    </row>
    <row r="587" spans="12:18" x14ac:dyDescent="0.25">
      <c r="L587" s="26">
        <v>40295</v>
      </c>
      <c r="M587" s="6">
        <v>53.080002</v>
      </c>
      <c r="N587" s="6">
        <v>53.25</v>
      </c>
      <c r="O587" s="6">
        <v>52.43</v>
      </c>
      <c r="P587" s="6">
        <v>52.43</v>
      </c>
      <c r="Q587" s="6">
        <v>39.737259000000002</v>
      </c>
      <c r="R587" s="58">
        <v>2996500</v>
      </c>
    </row>
    <row r="588" spans="12:18" x14ac:dyDescent="0.25">
      <c r="L588" s="26">
        <v>40296</v>
      </c>
      <c r="M588" s="6">
        <v>52.639999000000003</v>
      </c>
      <c r="N588" s="6">
        <v>52.799999</v>
      </c>
      <c r="O588" s="6">
        <v>52.150002000000001</v>
      </c>
      <c r="P588" s="6">
        <v>52.580002</v>
      </c>
      <c r="Q588" s="6">
        <v>39.850951999999999</v>
      </c>
      <c r="R588" s="58">
        <v>2918800</v>
      </c>
    </row>
    <row r="589" spans="12:18" x14ac:dyDescent="0.25">
      <c r="L589" s="26">
        <v>40297</v>
      </c>
      <c r="M589" s="6">
        <v>53</v>
      </c>
      <c r="N589" s="6">
        <v>55.360000999999997</v>
      </c>
      <c r="O589" s="6">
        <v>53</v>
      </c>
      <c r="P589" s="6">
        <v>55.009998000000003</v>
      </c>
      <c r="Q589" s="6">
        <v>41.692672999999999</v>
      </c>
      <c r="R589" s="58">
        <v>8059100</v>
      </c>
    </row>
    <row r="590" spans="12:18" x14ac:dyDescent="0.25">
      <c r="L590" s="26">
        <v>40298</v>
      </c>
      <c r="M590" s="6">
        <v>54.790000999999997</v>
      </c>
      <c r="N590" s="6">
        <v>55.450001</v>
      </c>
      <c r="O590" s="6">
        <v>54.759998000000003</v>
      </c>
      <c r="P590" s="6">
        <v>54.939999</v>
      </c>
      <c r="Q590" s="6">
        <v>41.639609999999998</v>
      </c>
      <c r="R590" s="58">
        <v>3460400</v>
      </c>
    </row>
    <row r="591" spans="12:18" x14ac:dyDescent="0.25">
      <c r="L591" s="26">
        <v>40301</v>
      </c>
      <c r="M591" s="6">
        <v>55.130001</v>
      </c>
      <c r="N591" s="6">
        <v>55.130001</v>
      </c>
      <c r="O591" s="6">
        <v>54.290000999999997</v>
      </c>
      <c r="P591" s="6">
        <v>54.740001999999997</v>
      </c>
      <c r="Q591" s="6">
        <v>41.488036999999998</v>
      </c>
      <c r="R591" s="58">
        <v>2704300</v>
      </c>
    </row>
    <row r="592" spans="12:18" x14ac:dyDescent="0.25">
      <c r="L592" s="26">
        <v>40302</v>
      </c>
      <c r="M592" s="6">
        <v>54.310001</v>
      </c>
      <c r="N592" s="6">
        <v>54.860000999999997</v>
      </c>
      <c r="O592" s="6">
        <v>53.959999000000003</v>
      </c>
      <c r="P592" s="6">
        <v>54.130001</v>
      </c>
      <c r="Q592" s="6">
        <v>41.025706999999997</v>
      </c>
      <c r="R592" s="58">
        <v>3053200</v>
      </c>
    </row>
    <row r="593" spans="12:18" x14ac:dyDescent="0.25">
      <c r="L593" s="26">
        <v>40303</v>
      </c>
      <c r="M593" s="6">
        <v>54.040000999999997</v>
      </c>
      <c r="N593" s="6">
        <v>54.779998999999997</v>
      </c>
      <c r="O593" s="6">
        <v>53.880001</v>
      </c>
      <c r="P593" s="6">
        <v>54.740001999999997</v>
      </c>
      <c r="Q593" s="6">
        <v>41.488036999999998</v>
      </c>
      <c r="R593" s="58">
        <v>3409000</v>
      </c>
    </row>
    <row r="594" spans="12:18" x14ac:dyDescent="0.25">
      <c r="L594" s="26">
        <v>40304</v>
      </c>
      <c r="M594" s="6">
        <v>54.599997999999999</v>
      </c>
      <c r="N594" s="6">
        <v>54.900002000000001</v>
      </c>
      <c r="O594" s="6">
        <v>52.5</v>
      </c>
      <c r="P594" s="6">
        <v>53.709999000000003</v>
      </c>
      <c r="Q594" s="6">
        <v>40.707371000000002</v>
      </c>
      <c r="R594" s="58">
        <v>4834500</v>
      </c>
    </row>
    <row r="595" spans="12:18" x14ac:dyDescent="0.25">
      <c r="L595" s="26">
        <v>40305</v>
      </c>
      <c r="M595" s="6">
        <v>53.599997999999999</v>
      </c>
      <c r="N595" s="6">
        <v>53.700001</v>
      </c>
      <c r="O595" s="6">
        <v>52.400002000000001</v>
      </c>
      <c r="P595" s="6">
        <v>52.84</v>
      </c>
      <c r="Q595" s="6">
        <v>40.047997000000002</v>
      </c>
      <c r="R595" s="58">
        <v>4408000</v>
      </c>
    </row>
    <row r="596" spans="12:18" x14ac:dyDescent="0.25">
      <c r="L596" s="26">
        <v>40308</v>
      </c>
      <c r="M596" s="6">
        <v>54.220001000000003</v>
      </c>
      <c r="N596" s="6">
        <v>54.490001999999997</v>
      </c>
      <c r="O596" s="6">
        <v>53.779998999999997</v>
      </c>
      <c r="P596" s="6">
        <v>54.25</v>
      </c>
      <c r="Q596" s="6">
        <v>41.116646000000003</v>
      </c>
      <c r="R596" s="58">
        <v>3062500</v>
      </c>
    </row>
    <row r="597" spans="12:18" x14ac:dyDescent="0.25">
      <c r="L597" s="26">
        <v>40309</v>
      </c>
      <c r="M597" s="6">
        <v>53.950001</v>
      </c>
      <c r="N597" s="6">
        <v>54.919998</v>
      </c>
      <c r="O597" s="6">
        <v>53.639999000000003</v>
      </c>
      <c r="P597" s="6">
        <v>54.380001</v>
      </c>
      <c r="Q597" s="6">
        <v>41.215176</v>
      </c>
      <c r="R597" s="58">
        <v>1859200</v>
      </c>
    </row>
    <row r="598" spans="12:18" x14ac:dyDescent="0.25">
      <c r="L598" s="26">
        <v>40310</v>
      </c>
      <c r="M598" s="6">
        <v>54.389999000000003</v>
      </c>
      <c r="N598" s="6">
        <v>55</v>
      </c>
      <c r="O598" s="6">
        <v>54.099997999999999</v>
      </c>
      <c r="P598" s="6">
        <v>54.889999000000003</v>
      </c>
      <c r="Q598" s="6">
        <v>41.601711000000002</v>
      </c>
      <c r="R598" s="58">
        <v>2729100</v>
      </c>
    </row>
    <row r="599" spans="12:18" x14ac:dyDescent="0.25">
      <c r="L599" s="26">
        <v>40311</v>
      </c>
      <c r="M599" s="6">
        <v>54.98</v>
      </c>
      <c r="N599" s="6">
        <v>55.25</v>
      </c>
      <c r="O599" s="6">
        <v>54.43</v>
      </c>
      <c r="P599" s="6">
        <v>54.630001</v>
      </c>
      <c r="Q599" s="6">
        <v>41.404662999999999</v>
      </c>
      <c r="R599" s="58">
        <v>1673800</v>
      </c>
    </row>
    <row r="600" spans="12:18" x14ac:dyDescent="0.25">
      <c r="L600" s="26">
        <v>40312</v>
      </c>
      <c r="M600" s="6">
        <v>54.310001</v>
      </c>
      <c r="N600" s="6">
        <v>54.630001</v>
      </c>
      <c r="O600" s="6">
        <v>54.200001</v>
      </c>
      <c r="P600" s="6">
        <v>54.5</v>
      </c>
      <c r="Q600" s="6">
        <v>41.306128999999999</v>
      </c>
      <c r="R600" s="58">
        <v>2680400</v>
      </c>
    </row>
    <row r="601" spans="12:18" x14ac:dyDescent="0.25">
      <c r="L601" s="26">
        <v>40315</v>
      </c>
      <c r="M601" s="6">
        <v>54.650002000000001</v>
      </c>
      <c r="N601" s="6">
        <v>55.68</v>
      </c>
      <c r="O601" s="6">
        <v>54.48</v>
      </c>
      <c r="P601" s="6">
        <v>55.580002</v>
      </c>
      <c r="Q601" s="6">
        <v>42.124682999999997</v>
      </c>
      <c r="R601" s="58">
        <v>3654900</v>
      </c>
    </row>
    <row r="602" spans="12:18" x14ac:dyDescent="0.25">
      <c r="L602" s="26">
        <v>40316</v>
      </c>
      <c r="M602" s="6">
        <v>55.740001999999997</v>
      </c>
      <c r="N602" s="6">
        <v>56</v>
      </c>
      <c r="O602" s="6">
        <v>55.389999000000003</v>
      </c>
      <c r="P602" s="6">
        <v>55.459999000000003</v>
      </c>
      <c r="Q602" s="6">
        <v>42.033721999999997</v>
      </c>
      <c r="R602" s="58">
        <v>2798400</v>
      </c>
    </row>
    <row r="603" spans="12:18" x14ac:dyDescent="0.25">
      <c r="L603" s="26">
        <v>40317</v>
      </c>
      <c r="M603" s="6">
        <v>55.41</v>
      </c>
      <c r="N603" s="6">
        <v>55.459999000000003</v>
      </c>
      <c r="O603" s="6">
        <v>54.700001</v>
      </c>
      <c r="P603" s="6">
        <v>55.169998</v>
      </c>
      <c r="Q603" s="6">
        <v>41.813930999999997</v>
      </c>
      <c r="R603" s="58">
        <v>2829500</v>
      </c>
    </row>
    <row r="604" spans="12:18" x14ac:dyDescent="0.25">
      <c r="L604" s="26">
        <v>40318</v>
      </c>
      <c r="M604" s="6">
        <v>54.57</v>
      </c>
      <c r="N604" s="6">
        <v>54.610000999999997</v>
      </c>
      <c r="O604" s="6">
        <v>53.759998000000003</v>
      </c>
      <c r="P604" s="6">
        <v>53.759998000000003</v>
      </c>
      <c r="Q604" s="6">
        <v>40.745280999999999</v>
      </c>
      <c r="R604" s="58">
        <v>4538700</v>
      </c>
    </row>
    <row r="605" spans="12:18" x14ac:dyDescent="0.25">
      <c r="L605" s="26">
        <v>40319</v>
      </c>
      <c r="M605" s="6">
        <v>53.200001</v>
      </c>
      <c r="N605" s="6">
        <v>54.080002</v>
      </c>
      <c r="O605" s="6">
        <v>53.200001</v>
      </c>
      <c r="P605" s="6">
        <v>54.080002</v>
      </c>
      <c r="Q605" s="6">
        <v>40.987803999999997</v>
      </c>
      <c r="R605" s="58">
        <v>2781700</v>
      </c>
    </row>
    <row r="606" spans="12:18" x14ac:dyDescent="0.25">
      <c r="L606" s="26">
        <v>40322</v>
      </c>
      <c r="M606" s="6">
        <v>53.82</v>
      </c>
      <c r="N606" s="6">
        <v>54.43</v>
      </c>
      <c r="O606" s="6">
        <v>53.610000999999997</v>
      </c>
      <c r="P606" s="6">
        <v>53.959999000000003</v>
      </c>
      <c r="Q606" s="6">
        <v>40.896853999999998</v>
      </c>
      <c r="R606" s="58">
        <v>1540100</v>
      </c>
    </row>
    <row r="607" spans="12:18" x14ac:dyDescent="0.25">
      <c r="L607" s="26">
        <v>40323</v>
      </c>
      <c r="M607" s="6">
        <v>53.130001</v>
      </c>
      <c r="N607" s="6">
        <v>53.43</v>
      </c>
      <c r="O607" s="6">
        <v>52.669998</v>
      </c>
      <c r="P607" s="6">
        <v>53.43</v>
      </c>
      <c r="Q607" s="6">
        <v>40.495162999999998</v>
      </c>
      <c r="R607" s="58">
        <v>2916100</v>
      </c>
    </row>
    <row r="608" spans="12:18" x14ac:dyDescent="0.25">
      <c r="L608" s="26">
        <v>40324</v>
      </c>
      <c r="M608" s="6">
        <v>53.790000999999997</v>
      </c>
      <c r="N608" s="6">
        <v>53.830002</v>
      </c>
      <c r="O608" s="6">
        <v>52.849997999999999</v>
      </c>
      <c r="P608" s="6">
        <v>52.91</v>
      </c>
      <c r="Q608" s="6">
        <v>40.101055000000002</v>
      </c>
      <c r="R608" s="58">
        <v>3189500</v>
      </c>
    </row>
    <row r="609" spans="12:18" x14ac:dyDescent="0.25">
      <c r="L609" s="26">
        <v>40325</v>
      </c>
      <c r="M609" s="6">
        <v>53.200001</v>
      </c>
      <c r="N609" s="6">
        <v>53.610000999999997</v>
      </c>
      <c r="O609" s="6">
        <v>52.970001000000003</v>
      </c>
      <c r="P609" s="6">
        <v>53.59</v>
      </c>
      <c r="Q609" s="6">
        <v>40.906360999999997</v>
      </c>
      <c r="R609" s="58">
        <v>1668200</v>
      </c>
    </row>
    <row r="610" spans="12:18" x14ac:dyDescent="0.25">
      <c r="L610" s="26">
        <v>40326</v>
      </c>
      <c r="M610" s="6">
        <v>53.740001999999997</v>
      </c>
      <c r="N610" s="6">
        <v>53.880001</v>
      </c>
      <c r="O610" s="6">
        <v>53.220001000000003</v>
      </c>
      <c r="P610" s="6">
        <v>53.43</v>
      </c>
      <c r="Q610" s="6">
        <v>40.784224999999999</v>
      </c>
      <c r="R610" s="58">
        <v>2665800</v>
      </c>
    </row>
    <row r="611" spans="12:18" x14ac:dyDescent="0.25">
      <c r="L611" s="26">
        <v>40330</v>
      </c>
      <c r="M611" s="6">
        <v>53.119999</v>
      </c>
      <c r="N611" s="6">
        <v>54.049999</v>
      </c>
      <c r="O611" s="6">
        <v>53.029998999999997</v>
      </c>
      <c r="P611" s="6">
        <v>53.59</v>
      </c>
      <c r="Q611" s="6">
        <v>40.906360999999997</v>
      </c>
      <c r="R611" s="58">
        <v>3136100</v>
      </c>
    </row>
    <row r="612" spans="12:18" x14ac:dyDescent="0.25">
      <c r="L612" s="26">
        <v>40331</v>
      </c>
      <c r="M612" s="6">
        <v>53.849997999999999</v>
      </c>
      <c r="N612" s="6">
        <v>54.939999</v>
      </c>
      <c r="O612" s="6">
        <v>53.790000999999997</v>
      </c>
      <c r="P612" s="6">
        <v>54.939999</v>
      </c>
      <c r="Q612" s="6">
        <v>41.936836</v>
      </c>
      <c r="R612" s="58">
        <v>2989800</v>
      </c>
    </row>
    <row r="613" spans="12:18" x14ac:dyDescent="0.25">
      <c r="L613" s="26">
        <v>40332</v>
      </c>
      <c r="M613" s="6">
        <v>54.939999</v>
      </c>
      <c r="N613" s="6">
        <v>55.209999000000003</v>
      </c>
      <c r="O613" s="6">
        <v>54.880001</v>
      </c>
      <c r="P613" s="6">
        <v>55.110000999999997</v>
      </c>
      <c r="Q613" s="6">
        <v>42.066597000000002</v>
      </c>
      <c r="R613" s="58">
        <v>1604400</v>
      </c>
    </row>
    <row r="614" spans="12:18" x14ac:dyDescent="0.25">
      <c r="L614" s="26">
        <v>40333</v>
      </c>
      <c r="M614" s="6">
        <v>54.02</v>
      </c>
      <c r="N614" s="6">
        <v>54.119999</v>
      </c>
      <c r="O614" s="6">
        <v>52.970001000000003</v>
      </c>
      <c r="P614" s="6">
        <v>53.220001000000003</v>
      </c>
      <c r="Q614" s="6">
        <v>40.623927999999999</v>
      </c>
      <c r="R614" s="58">
        <v>4448800</v>
      </c>
    </row>
    <row r="615" spans="12:18" x14ac:dyDescent="0.25">
      <c r="L615" s="26">
        <v>40336</v>
      </c>
      <c r="M615" s="6">
        <v>53.189999</v>
      </c>
      <c r="N615" s="6">
        <v>54.23</v>
      </c>
      <c r="O615" s="6">
        <v>53.02</v>
      </c>
      <c r="P615" s="6">
        <v>53.490001999999997</v>
      </c>
      <c r="Q615" s="6">
        <v>40.830021000000002</v>
      </c>
      <c r="R615" s="58">
        <v>2437100</v>
      </c>
    </row>
    <row r="616" spans="12:18" x14ac:dyDescent="0.25">
      <c r="L616" s="26">
        <v>40337</v>
      </c>
      <c r="M616" s="6">
        <v>53.490001999999997</v>
      </c>
      <c r="N616" s="6">
        <v>54.400002000000001</v>
      </c>
      <c r="O616" s="6">
        <v>53.330002</v>
      </c>
      <c r="P616" s="6">
        <v>54.349997999999999</v>
      </c>
      <c r="Q616" s="6">
        <v>41.486477000000001</v>
      </c>
      <c r="R616" s="58">
        <v>3138600</v>
      </c>
    </row>
    <row r="617" spans="12:18" x14ac:dyDescent="0.25">
      <c r="L617" s="26">
        <v>40338</v>
      </c>
      <c r="M617" s="6">
        <v>54.209999000000003</v>
      </c>
      <c r="N617" s="6">
        <v>54.639999000000003</v>
      </c>
      <c r="O617" s="6">
        <v>53.849997999999999</v>
      </c>
      <c r="P617" s="6">
        <v>53.98</v>
      </c>
      <c r="Q617" s="6">
        <v>41.204037</v>
      </c>
      <c r="R617" s="58">
        <v>3443800</v>
      </c>
    </row>
    <row r="618" spans="12:18" x14ac:dyDescent="0.25">
      <c r="L618" s="26">
        <v>40339</v>
      </c>
      <c r="M618" s="6">
        <v>54.549999</v>
      </c>
      <c r="N618" s="6">
        <v>54.740001999999997</v>
      </c>
      <c r="O618" s="6">
        <v>54.060001</v>
      </c>
      <c r="P618" s="6">
        <v>54.330002</v>
      </c>
      <c r="Q618" s="6">
        <v>41.471218</v>
      </c>
      <c r="R618" s="58">
        <v>3892900</v>
      </c>
    </row>
    <row r="619" spans="12:18" x14ac:dyDescent="0.25">
      <c r="L619" s="26">
        <v>40340</v>
      </c>
      <c r="M619" s="6">
        <v>53.970001000000003</v>
      </c>
      <c r="N619" s="6">
        <v>53.990001999999997</v>
      </c>
      <c r="O619" s="6">
        <v>53.369999</v>
      </c>
      <c r="P619" s="6">
        <v>53.66</v>
      </c>
      <c r="Q619" s="6">
        <v>40.959789000000001</v>
      </c>
      <c r="R619" s="58">
        <v>3162600</v>
      </c>
    </row>
    <row r="620" spans="12:18" x14ac:dyDescent="0.25">
      <c r="L620" s="26">
        <v>40343</v>
      </c>
      <c r="M620" s="6">
        <v>53.990001999999997</v>
      </c>
      <c r="N620" s="6">
        <v>54.900002000000001</v>
      </c>
      <c r="O620" s="6">
        <v>53.990001999999997</v>
      </c>
      <c r="P620" s="6">
        <v>54.470001000000003</v>
      </c>
      <c r="Q620" s="6">
        <v>41.578082999999999</v>
      </c>
      <c r="R620" s="58">
        <v>3347500</v>
      </c>
    </row>
    <row r="621" spans="12:18" x14ac:dyDescent="0.25">
      <c r="L621" s="26">
        <v>40344</v>
      </c>
      <c r="M621" s="6">
        <v>54.970001000000003</v>
      </c>
      <c r="N621" s="6">
        <v>54.970001000000003</v>
      </c>
      <c r="O621" s="6">
        <v>54.200001</v>
      </c>
      <c r="P621" s="6">
        <v>54.619999</v>
      </c>
      <c r="Q621" s="6">
        <v>41.692577</v>
      </c>
      <c r="R621" s="58">
        <v>2181000</v>
      </c>
    </row>
    <row r="622" spans="12:18" x14ac:dyDescent="0.25">
      <c r="L622" s="26">
        <v>40345</v>
      </c>
      <c r="M622" s="6">
        <v>54.18</v>
      </c>
      <c r="N622" s="6">
        <v>54.400002000000001</v>
      </c>
      <c r="O622" s="6">
        <v>54.07</v>
      </c>
      <c r="P622" s="6">
        <v>54.200001</v>
      </c>
      <c r="Q622" s="6">
        <v>41.371979000000003</v>
      </c>
      <c r="R622" s="58">
        <v>2289100</v>
      </c>
    </row>
    <row r="623" spans="12:18" x14ac:dyDescent="0.25">
      <c r="L623" s="26">
        <v>40346</v>
      </c>
      <c r="M623" s="6">
        <v>54.400002000000001</v>
      </c>
      <c r="N623" s="6">
        <v>54.810001</v>
      </c>
      <c r="O623" s="6">
        <v>54.220001000000003</v>
      </c>
      <c r="P623" s="6">
        <v>54.799999</v>
      </c>
      <c r="Q623" s="6">
        <v>41.829963999999997</v>
      </c>
      <c r="R623" s="58">
        <v>2448300</v>
      </c>
    </row>
    <row r="624" spans="12:18" x14ac:dyDescent="0.25">
      <c r="L624" s="26">
        <v>40347</v>
      </c>
      <c r="M624" s="6">
        <v>54.669998</v>
      </c>
      <c r="N624" s="6">
        <v>54.959999000000003</v>
      </c>
      <c r="O624" s="6">
        <v>54.41</v>
      </c>
      <c r="P624" s="6">
        <v>54.470001000000003</v>
      </c>
      <c r="Q624" s="6">
        <v>41.578082999999999</v>
      </c>
      <c r="R624" s="58">
        <v>3005300</v>
      </c>
    </row>
    <row r="625" spans="12:18" x14ac:dyDescent="0.25">
      <c r="L625" s="26">
        <v>40350</v>
      </c>
      <c r="M625" s="6">
        <v>54.709999000000003</v>
      </c>
      <c r="N625" s="6">
        <v>54.889999000000003</v>
      </c>
      <c r="O625" s="6">
        <v>53.57</v>
      </c>
      <c r="P625" s="6">
        <v>53.959999000000003</v>
      </c>
      <c r="Q625" s="6">
        <v>41.188782000000003</v>
      </c>
      <c r="R625" s="58">
        <v>4033500</v>
      </c>
    </row>
    <row r="626" spans="12:18" x14ac:dyDescent="0.25">
      <c r="L626" s="26">
        <v>40351</v>
      </c>
      <c r="M626" s="6">
        <v>53.779998999999997</v>
      </c>
      <c r="N626" s="6">
        <v>54.470001000000003</v>
      </c>
      <c r="O626" s="6">
        <v>53.439999</v>
      </c>
      <c r="P626" s="6">
        <v>53.48</v>
      </c>
      <c r="Q626" s="6">
        <v>40.822392000000001</v>
      </c>
      <c r="R626" s="58">
        <v>2359500</v>
      </c>
    </row>
    <row r="627" spans="12:18" x14ac:dyDescent="0.25">
      <c r="L627" s="26">
        <v>40352</v>
      </c>
      <c r="M627" s="6">
        <v>53.459999000000003</v>
      </c>
      <c r="N627" s="6">
        <v>53.650002000000001</v>
      </c>
      <c r="O627" s="6">
        <v>53.02</v>
      </c>
      <c r="P627" s="6">
        <v>53.380001</v>
      </c>
      <c r="Q627" s="6">
        <v>40.746056000000003</v>
      </c>
      <c r="R627" s="58">
        <v>1824200</v>
      </c>
    </row>
    <row r="628" spans="12:18" x14ac:dyDescent="0.25">
      <c r="L628" s="26">
        <v>40353</v>
      </c>
      <c r="M628" s="6">
        <v>53.279998999999997</v>
      </c>
      <c r="N628" s="6">
        <v>53.279998999999997</v>
      </c>
      <c r="O628" s="6">
        <v>52.66</v>
      </c>
      <c r="P628" s="6">
        <v>52.860000999999997</v>
      </c>
      <c r="Q628" s="6">
        <v>40.349128999999998</v>
      </c>
      <c r="R628" s="58">
        <v>2232700</v>
      </c>
    </row>
    <row r="629" spans="12:18" x14ac:dyDescent="0.25">
      <c r="L629" s="26">
        <v>40354</v>
      </c>
      <c r="M629" s="6">
        <v>52.810001</v>
      </c>
      <c r="N629" s="6">
        <v>53.040000999999997</v>
      </c>
      <c r="O629" s="6">
        <v>52.330002</v>
      </c>
      <c r="P629" s="6">
        <v>52.419998</v>
      </c>
      <c r="Q629" s="6">
        <v>40.013271000000003</v>
      </c>
      <c r="R629" s="58">
        <v>3103200</v>
      </c>
    </row>
    <row r="630" spans="12:18" x14ac:dyDescent="0.25">
      <c r="L630" s="26">
        <v>40357</v>
      </c>
      <c r="M630" s="6">
        <v>52.43</v>
      </c>
      <c r="N630" s="6">
        <v>53.060001</v>
      </c>
      <c r="O630" s="6">
        <v>52.299999</v>
      </c>
      <c r="P630" s="6">
        <v>52.509998000000003</v>
      </c>
      <c r="Q630" s="6">
        <v>40.081969999999998</v>
      </c>
      <c r="R630" s="58">
        <v>2042500</v>
      </c>
    </row>
    <row r="631" spans="12:18" x14ac:dyDescent="0.25">
      <c r="L631" s="26">
        <v>40358</v>
      </c>
      <c r="M631" s="6">
        <v>52.009998000000003</v>
      </c>
      <c r="N631" s="6">
        <v>52.34</v>
      </c>
      <c r="O631" s="6">
        <v>51.259998000000003</v>
      </c>
      <c r="P631" s="6">
        <v>51.75</v>
      </c>
      <c r="Q631" s="6">
        <v>39.501849999999997</v>
      </c>
      <c r="R631" s="58">
        <v>3233100</v>
      </c>
    </row>
    <row r="632" spans="12:18" x14ac:dyDescent="0.25">
      <c r="L632" s="26">
        <v>40359</v>
      </c>
      <c r="M632" s="6">
        <v>51.27</v>
      </c>
      <c r="N632" s="6">
        <v>51.27</v>
      </c>
      <c r="O632" s="6">
        <v>50.209999000000003</v>
      </c>
      <c r="P632" s="6">
        <v>50.299999</v>
      </c>
      <c r="Q632" s="6">
        <v>38.395026999999999</v>
      </c>
      <c r="R632" s="58">
        <v>4905600</v>
      </c>
    </row>
    <row r="633" spans="12:18" x14ac:dyDescent="0.25">
      <c r="L633" s="26">
        <v>40360</v>
      </c>
      <c r="M633" s="6">
        <v>50.209999000000003</v>
      </c>
      <c r="N633" s="6">
        <v>50.830002</v>
      </c>
      <c r="O633" s="6">
        <v>49.75</v>
      </c>
      <c r="P633" s="6">
        <v>50.77</v>
      </c>
      <c r="Q633" s="6">
        <v>38.753788</v>
      </c>
      <c r="R633" s="58">
        <v>3107500</v>
      </c>
    </row>
    <row r="634" spans="12:18" x14ac:dyDescent="0.25">
      <c r="L634" s="26">
        <v>40361</v>
      </c>
      <c r="M634" s="6">
        <v>50.77</v>
      </c>
      <c r="N634" s="6">
        <v>50.98</v>
      </c>
      <c r="O634" s="6">
        <v>50.450001</v>
      </c>
      <c r="P634" s="6">
        <v>50.669998</v>
      </c>
      <c r="Q634" s="6">
        <v>38.677455999999999</v>
      </c>
      <c r="R634" s="58">
        <v>1821500</v>
      </c>
    </row>
    <row r="635" spans="12:18" x14ac:dyDescent="0.25">
      <c r="L635" s="26">
        <v>40365</v>
      </c>
      <c r="M635" s="6">
        <v>51.299999</v>
      </c>
      <c r="N635" s="6">
        <v>51.630001</v>
      </c>
      <c r="O635" s="6">
        <v>50.880001</v>
      </c>
      <c r="P635" s="6">
        <v>51.310001</v>
      </c>
      <c r="Q635" s="6">
        <v>39.165999999999997</v>
      </c>
      <c r="R635" s="58">
        <v>1745700</v>
      </c>
    </row>
    <row r="636" spans="12:18" x14ac:dyDescent="0.25">
      <c r="L636" s="26">
        <v>40366</v>
      </c>
      <c r="M636" s="6">
        <v>51.349997999999999</v>
      </c>
      <c r="N636" s="6">
        <v>51.990001999999997</v>
      </c>
      <c r="O636" s="6">
        <v>51.099997999999999</v>
      </c>
      <c r="P636" s="6">
        <v>51.990001999999997</v>
      </c>
      <c r="Q636" s="6">
        <v>39.685046999999997</v>
      </c>
      <c r="R636" s="58">
        <v>1688500</v>
      </c>
    </row>
    <row r="637" spans="12:18" x14ac:dyDescent="0.25">
      <c r="L637" s="26">
        <v>40367</v>
      </c>
      <c r="M637" s="6">
        <v>52.23</v>
      </c>
      <c r="N637" s="6">
        <v>52.419998</v>
      </c>
      <c r="O637" s="6">
        <v>51.560001</v>
      </c>
      <c r="P637" s="6">
        <v>51.939999</v>
      </c>
      <c r="Q637" s="6">
        <v>39.646877000000003</v>
      </c>
      <c r="R637" s="58">
        <v>2172700</v>
      </c>
    </row>
    <row r="638" spans="12:18" x14ac:dyDescent="0.25">
      <c r="L638" s="26">
        <v>40368</v>
      </c>
      <c r="M638" s="6">
        <v>52.040000999999997</v>
      </c>
      <c r="N638" s="6">
        <v>52.049999</v>
      </c>
      <c r="O638" s="6">
        <v>51.619999</v>
      </c>
      <c r="P638" s="6">
        <v>51.77</v>
      </c>
      <c r="Q638" s="6">
        <v>39.517113000000002</v>
      </c>
      <c r="R638" s="58">
        <v>1042100</v>
      </c>
    </row>
    <row r="639" spans="12:18" x14ac:dyDescent="0.25">
      <c r="L639" s="26">
        <v>40371</v>
      </c>
      <c r="M639" s="6">
        <v>51.560001</v>
      </c>
      <c r="N639" s="6">
        <v>51.73</v>
      </c>
      <c r="O639" s="6">
        <v>51.419998</v>
      </c>
      <c r="P639" s="6">
        <v>51.630001</v>
      </c>
      <c r="Q639" s="6">
        <v>39.410243999999999</v>
      </c>
      <c r="R639" s="58">
        <v>1012300</v>
      </c>
    </row>
    <row r="640" spans="12:18" x14ac:dyDescent="0.25">
      <c r="L640" s="26">
        <v>40372</v>
      </c>
      <c r="M640" s="6">
        <v>52.049999</v>
      </c>
      <c r="N640" s="6">
        <v>52.23</v>
      </c>
      <c r="O640" s="6">
        <v>51.799999</v>
      </c>
      <c r="P640" s="6">
        <v>51.950001</v>
      </c>
      <c r="Q640" s="6">
        <v>39.654507000000002</v>
      </c>
      <c r="R640" s="58">
        <v>1661900</v>
      </c>
    </row>
    <row r="641" spans="12:18" x14ac:dyDescent="0.25">
      <c r="L641" s="26">
        <v>40373</v>
      </c>
      <c r="M641" s="6">
        <v>51.790000999999997</v>
      </c>
      <c r="N641" s="6">
        <v>52.099997999999999</v>
      </c>
      <c r="O641" s="6">
        <v>51.490001999999997</v>
      </c>
      <c r="P641" s="6">
        <v>52.060001</v>
      </c>
      <c r="Q641" s="6">
        <v>39.738472000000002</v>
      </c>
      <c r="R641" s="58">
        <v>2300400</v>
      </c>
    </row>
    <row r="642" spans="12:18" x14ac:dyDescent="0.25">
      <c r="L642" s="26">
        <v>40374</v>
      </c>
      <c r="M642" s="6">
        <v>52.119999</v>
      </c>
      <c r="N642" s="6">
        <v>52.259998000000003</v>
      </c>
      <c r="O642" s="6">
        <v>51.389999000000003</v>
      </c>
      <c r="P642" s="6">
        <v>51.889999000000003</v>
      </c>
      <c r="Q642" s="6">
        <v>39.608711</v>
      </c>
      <c r="R642" s="58">
        <v>2455400</v>
      </c>
    </row>
    <row r="643" spans="12:18" x14ac:dyDescent="0.25">
      <c r="L643" s="26">
        <v>40375</v>
      </c>
      <c r="M643" s="6">
        <v>51.639999000000003</v>
      </c>
      <c r="N643" s="6">
        <v>51.810001</v>
      </c>
      <c r="O643" s="6">
        <v>50.93</v>
      </c>
      <c r="P643" s="6">
        <v>51.049999</v>
      </c>
      <c r="Q643" s="6">
        <v>38.967525000000002</v>
      </c>
      <c r="R643" s="58">
        <v>2080900</v>
      </c>
    </row>
    <row r="644" spans="12:18" x14ac:dyDescent="0.25">
      <c r="L644" s="26">
        <v>40378</v>
      </c>
      <c r="M644" s="6">
        <v>51.330002</v>
      </c>
      <c r="N644" s="6">
        <v>51.48</v>
      </c>
      <c r="O644" s="6">
        <v>50.889999000000003</v>
      </c>
      <c r="P644" s="6">
        <v>51.310001</v>
      </c>
      <c r="Q644" s="6">
        <v>39.165999999999997</v>
      </c>
      <c r="R644" s="58">
        <v>1811400</v>
      </c>
    </row>
    <row r="645" spans="12:18" x14ac:dyDescent="0.25">
      <c r="L645" s="26">
        <v>40379</v>
      </c>
      <c r="M645" s="6">
        <v>50.799999</v>
      </c>
      <c r="N645" s="6">
        <v>51.650002000000001</v>
      </c>
      <c r="O645" s="6">
        <v>50.779998999999997</v>
      </c>
      <c r="P645" s="6">
        <v>51.639999000000003</v>
      </c>
      <c r="Q645" s="6">
        <v>39.417876999999997</v>
      </c>
      <c r="R645" s="58">
        <v>1834700</v>
      </c>
    </row>
    <row r="646" spans="12:18" x14ac:dyDescent="0.25">
      <c r="L646" s="26">
        <v>40380</v>
      </c>
      <c r="M646" s="6">
        <v>51.830002</v>
      </c>
      <c r="N646" s="6">
        <v>51.84</v>
      </c>
      <c r="O646" s="6">
        <v>50.990001999999997</v>
      </c>
      <c r="P646" s="6">
        <v>51.139999000000003</v>
      </c>
      <c r="Q646" s="6">
        <v>39.036228000000001</v>
      </c>
      <c r="R646" s="58">
        <v>1925700</v>
      </c>
    </row>
    <row r="647" spans="12:18" x14ac:dyDescent="0.25">
      <c r="L647" s="26">
        <v>40381</v>
      </c>
      <c r="M647" s="6">
        <v>51.330002</v>
      </c>
      <c r="N647" s="6">
        <v>51.630001</v>
      </c>
      <c r="O647" s="6">
        <v>50.349997999999999</v>
      </c>
      <c r="P647" s="6">
        <v>50.599997999999999</v>
      </c>
      <c r="Q647" s="6">
        <v>38.624031000000002</v>
      </c>
      <c r="R647" s="58">
        <v>3334000</v>
      </c>
    </row>
    <row r="648" spans="12:18" x14ac:dyDescent="0.25">
      <c r="L648" s="26">
        <v>40382</v>
      </c>
      <c r="M648" s="6">
        <v>50.630001</v>
      </c>
      <c r="N648" s="6">
        <v>51.400002000000001</v>
      </c>
      <c r="O648" s="6">
        <v>50.540000999999997</v>
      </c>
      <c r="P648" s="6">
        <v>51.099997999999999</v>
      </c>
      <c r="Q648" s="6">
        <v>39.005695000000003</v>
      </c>
      <c r="R648" s="58">
        <v>2488200</v>
      </c>
    </row>
    <row r="649" spans="12:18" x14ac:dyDescent="0.25">
      <c r="L649" s="26">
        <v>40385</v>
      </c>
      <c r="M649" s="6">
        <v>51</v>
      </c>
      <c r="N649" s="6">
        <v>51.509998000000003</v>
      </c>
      <c r="O649" s="6">
        <v>51</v>
      </c>
      <c r="P649" s="6">
        <v>51.34</v>
      </c>
      <c r="Q649" s="6">
        <v>39.188884999999999</v>
      </c>
      <c r="R649" s="58">
        <v>2345400</v>
      </c>
    </row>
    <row r="650" spans="12:18" x14ac:dyDescent="0.25">
      <c r="L650" s="26">
        <v>40386</v>
      </c>
      <c r="M650" s="6">
        <v>51.549999</v>
      </c>
      <c r="N650" s="6">
        <v>52.580002</v>
      </c>
      <c r="O650" s="6">
        <v>51.150002000000001</v>
      </c>
      <c r="P650" s="6">
        <v>52.48</v>
      </c>
      <c r="Q650" s="6">
        <v>40.059071000000003</v>
      </c>
      <c r="R650" s="58">
        <v>3708400</v>
      </c>
    </row>
    <row r="651" spans="12:18" x14ac:dyDescent="0.25">
      <c r="L651" s="26">
        <v>40387</v>
      </c>
      <c r="M651" s="6">
        <v>52.48</v>
      </c>
      <c r="N651" s="6">
        <v>52.48</v>
      </c>
      <c r="O651" s="6">
        <v>51.470001000000003</v>
      </c>
      <c r="P651" s="6">
        <v>51.52</v>
      </c>
      <c r="Q651" s="6">
        <v>39.326286000000003</v>
      </c>
      <c r="R651" s="58">
        <v>3023400</v>
      </c>
    </row>
    <row r="652" spans="12:18" x14ac:dyDescent="0.25">
      <c r="L652" s="26">
        <v>40388</v>
      </c>
      <c r="M652" s="6">
        <v>49.540000999999997</v>
      </c>
      <c r="N652" s="6">
        <v>50.099997999999999</v>
      </c>
      <c r="O652" s="6">
        <v>47.279998999999997</v>
      </c>
      <c r="P652" s="6">
        <v>47.98</v>
      </c>
      <c r="Q652" s="6">
        <v>36.624133999999998</v>
      </c>
      <c r="R652" s="58">
        <v>10932200</v>
      </c>
    </row>
    <row r="653" spans="12:18" x14ac:dyDescent="0.25">
      <c r="L653" s="26">
        <v>40389</v>
      </c>
      <c r="M653" s="6">
        <v>47.790000999999997</v>
      </c>
      <c r="N653" s="6">
        <v>50.16</v>
      </c>
      <c r="O653" s="6">
        <v>47.790000999999997</v>
      </c>
      <c r="P653" s="6">
        <v>50.049999</v>
      </c>
      <c r="Q653" s="6">
        <v>38.204211999999998</v>
      </c>
      <c r="R653" s="58">
        <v>9721900</v>
      </c>
    </row>
    <row r="654" spans="12:18" x14ac:dyDescent="0.25">
      <c r="L654" s="26">
        <v>40392</v>
      </c>
      <c r="M654" s="6">
        <v>50.470001000000003</v>
      </c>
      <c r="N654" s="6">
        <v>50.529998999999997</v>
      </c>
      <c r="O654" s="6">
        <v>49.75</v>
      </c>
      <c r="P654" s="6">
        <v>50</v>
      </c>
      <c r="Q654" s="6">
        <v>38.166030999999997</v>
      </c>
      <c r="R654" s="58">
        <v>4236800</v>
      </c>
    </row>
    <row r="655" spans="12:18" x14ac:dyDescent="0.25">
      <c r="L655" s="26">
        <v>40393</v>
      </c>
      <c r="M655" s="6">
        <v>49.59</v>
      </c>
      <c r="N655" s="6">
        <v>50.07</v>
      </c>
      <c r="O655" s="6">
        <v>49.52</v>
      </c>
      <c r="P655" s="6">
        <v>49.669998</v>
      </c>
      <c r="Q655" s="6">
        <v>37.914138999999999</v>
      </c>
      <c r="R655" s="58">
        <v>3758100</v>
      </c>
    </row>
    <row r="656" spans="12:18" x14ac:dyDescent="0.25">
      <c r="L656" s="26">
        <v>40394</v>
      </c>
      <c r="M656" s="6">
        <v>49.849997999999999</v>
      </c>
      <c r="N656" s="6">
        <v>50.950001</v>
      </c>
      <c r="O656" s="6">
        <v>49.68</v>
      </c>
      <c r="P656" s="6">
        <v>50.759998000000003</v>
      </c>
      <c r="Q656" s="6">
        <v>38.746158999999999</v>
      </c>
      <c r="R656" s="58">
        <v>3462000</v>
      </c>
    </row>
    <row r="657" spans="12:18" x14ac:dyDescent="0.25">
      <c r="L657" s="26">
        <v>40395</v>
      </c>
      <c r="M657" s="6">
        <v>50.599997999999999</v>
      </c>
      <c r="N657" s="6">
        <v>50.599997999999999</v>
      </c>
      <c r="O657" s="6">
        <v>48.970001000000003</v>
      </c>
      <c r="P657" s="6">
        <v>49.869999</v>
      </c>
      <c r="Q657" s="6">
        <v>38.066799000000003</v>
      </c>
      <c r="R657" s="58">
        <v>5463500</v>
      </c>
    </row>
    <row r="658" spans="12:18" x14ac:dyDescent="0.25">
      <c r="L658" s="26">
        <v>40396</v>
      </c>
      <c r="M658" s="6">
        <v>49.630001</v>
      </c>
      <c r="N658" s="6">
        <v>50.240001999999997</v>
      </c>
      <c r="O658" s="6">
        <v>49.43</v>
      </c>
      <c r="P658" s="6">
        <v>50.150002000000001</v>
      </c>
      <c r="Q658" s="6">
        <v>38.280532999999998</v>
      </c>
      <c r="R658" s="58">
        <v>4328400</v>
      </c>
    </row>
    <row r="659" spans="12:18" x14ac:dyDescent="0.25">
      <c r="L659" s="26">
        <v>40399</v>
      </c>
      <c r="M659" s="6">
        <v>50.209999000000003</v>
      </c>
      <c r="N659" s="6">
        <v>51.09</v>
      </c>
      <c r="O659" s="6">
        <v>50.209999000000003</v>
      </c>
      <c r="P659" s="6">
        <v>50.790000999999997</v>
      </c>
      <c r="Q659" s="6">
        <v>38.769053999999997</v>
      </c>
      <c r="R659" s="58">
        <v>3977600</v>
      </c>
    </row>
    <row r="660" spans="12:18" x14ac:dyDescent="0.25">
      <c r="L660" s="26">
        <v>40400</v>
      </c>
      <c r="M660" s="6">
        <v>50.580002</v>
      </c>
      <c r="N660" s="6">
        <v>51.84</v>
      </c>
      <c r="O660" s="6">
        <v>50.580002</v>
      </c>
      <c r="P660" s="6">
        <v>51.77</v>
      </c>
      <c r="Q660" s="6">
        <v>39.517113000000002</v>
      </c>
      <c r="R660" s="58">
        <v>4992900</v>
      </c>
    </row>
    <row r="661" spans="12:18" x14ac:dyDescent="0.25">
      <c r="L661" s="26">
        <v>40401</v>
      </c>
      <c r="M661" s="6">
        <v>51.25</v>
      </c>
      <c r="N661" s="6">
        <v>51.380001</v>
      </c>
      <c r="O661" s="6">
        <v>50.630001</v>
      </c>
      <c r="P661" s="6">
        <v>50.919998</v>
      </c>
      <c r="Q661" s="6">
        <v>38.868290000000002</v>
      </c>
      <c r="R661" s="58">
        <v>4404400</v>
      </c>
    </row>
    <row r="662" spans="12:18" x14ac:dyDescent="0.25">
      <c r="L662" s="26">
        <v>40402</v>
      </c>
      <c r="M662" s="6">
        <v>49.91</v>
      </c>
      <c r="N662" s="6">
        <v>50.650002000000001</v>
      </c>
      <c r="O662" s="6">
        <v>49.799999</v>
      </c>
      <c r="P662" s="6">
        <v>50.369999</v>
      </c>
      <c r="Q662" s="6">
        <v>38.448462999999997</v>
      </c>
      <c r="R662" s="58">
        <v>4689500</v>
      </c>
    </row>
    <row r="663" spans="12:18" x14ac:dyDescent="0.25">
      <c r="L663" s="26">
        <v>40403</v>
      </c>
      <c r="M663" s="6">
        <v>50.220001000000003</v>
      </c>
      <c r="N663" s="6">
        <v>51.02</v>
      </c>
      <c r="O663" s="6">
        <v>50.060001</v>
      </c>
      <c r="P663" s="6">
        <v>50.639999000000003</v>
      </c>
      <c r="Q663" s="6">
        <v>38.654552000000002</v>
      </c>
      <c r="R663" s="58">
        <v>3457100</v>
      </c>
    </row>
    <row r="664" spans="12:18" x14ac:dyDescent="0.25">
      <c r="L664" s="26">
        <v>40406</v>
      </c>
      <c r="M664" s="6">
        <v>50.48</v>
      </c>
      <c r="N664" s="6">
        <v>50.939999</v>
      </c>
      <c r="O664" s="6">
        <v>50.23</v>
      </c>
      <c r="P664" s="6">
        <v>50.93</v>
      </c>
      <c r="Q664" s="6">
        <v>38.875919000000003</v>
      </c>
      <c r="R664" s="58">
        <v>1609200</v>
      </c>
    </row>
    <row r="665" spans="12:18" x14ac:dyDescent="0.25">
      <c r="L665" s="26">
        <v>40407</v>
      </c>
      <c r="M665" s="6">
        <v>51.130001</v>
      </c>
      <c r="N665" s="6">
        <v>51.57</v>
      </c>
      <c r="O665" s="6">
        <v>50.860000999999997</v>
      </c>
      <c r="P665" s="6">
        <v>51.200001</v>
      </c>
      <c r="Q665" s="6">
        <v>39.08202</v>
      </c>
      <c r="R665" s="58">
        <v>2377400</v>
      </c>
    </row>
    <row r="666" spans="12:18" x14ac:dyDescent="0.25">
      <c r="L666" s="26">
        <v>40408</v>
      </c>
      <c r="M666" s="6">
        <v>51.27</v>
      </c>
      <c r="N666" s="6">
        <v>51.299999</v>
      </c>
      <c r="O666" s="6">
        <v>50.790000999999997</v>
      </c>
      <c r="P666" s="6">
        <v>50.959999000000003</v>
      </c>
      <c r="Q666" s="6">
        <v>38.898826999999997</v>
      </c>
      <c r="R666" s="58">
        <v>2282800</v>
      </c>
    </row>
    <row r="667" spans="12:18" x14ac:dyDescent="0.25">
      <c r="L667" s="26">
        <v>40409</v>
      </c>
      <c r="M667" s="6">
        <v>50.91</v>
      </c>
      <c r="N667" s="6">
        <v>50.91</v>
      </c>
      <c r="O667" s="6">
        <v>49.700001</v>
      </c>
      <c r="P667" s="6">
        <v>49.860000999999997</v>
      </c>
      <c r="Q667" s="6">
        <v>38.059165999999998</v>
      </c>
      <c r="R667" s="58">
        <v>3670900</v>
      </c>
    </row>
    <row r="668" spans="12:18" x14ac:dyDescent="0.25">
      <c r="L668" s="26">
        <v>40410</v>
      </c>
      <c r="M668" s="6">
        <v>49.759998000000003</v>
      </c>
      <c r="N668" s="6">
        <v>49.860000999999997</v>
      </c>
      <c r="O668" s="6">
        <v>49.509998000000003</v>
      </c>
      <c r="P668" s="6">
        <v>49.75</v>
      </c>
      <c r="Q668" s="6">
        <v>37.975203999999998</v>
      </c>
      <c r="R668" s="58">
        <v>2878900</v>
      </c>
    </row>
    <row r="669" spans="12:18" x14ac:dyDescent="0.25">
      <c r="L669" s="26">
        <v>40413</v>
      </c>
      <c r="M669" s="6">
        <v>49.959999000000003</v>
      </c>
      <c r="N669" s="6">
        <v>50.209999000000003</v>
      </c>
      <c r="O669" s="6">
        <v>49.75</v>
      </c>
      <c r="P669" s="6">
        <v>49.91</v>
      </c>
      <c r="Q669" s="6">
        <v>38.097343000000002</v>
      </c>
      <c r="R669" s="58">
        <v>1795100</v>
      </c>
    </row>
    <row r="670" spans="12:18" x14ac:dyDescent="0.25">
      <c r="L670" s="26">
        <v>40414</v>
      </c>
      <c r="M670" s="6">
        <v>49.509998000000003</v>
      </c>
      <c r="N670" s="6">
        <v>49.939999</v>
      </c>
      <c r="O670" s="6">
        <v>49.5</v>
      </c>
      <c r="P670" s="6">
        <v>49.720001000000003</v>
      </c>
      <c r="Q670" s="6">
        <v>37.952300999999999</v>
      </c>
      <c r="R670" s="58">
        <v>2797600</v>
      </c>
    </row>
    <row r="671" spans="12:18" x14ac:dyDescent="0.25">
      <c r="L671" s="26">
        <v>40415</v>
      </c>
      <c r="M671" s="6">
        <v>49.400002000000001</v>
      </c>
      <c r="N671" s="6">
        <v>49.919998</v>
      </c>
      <c r="O671" s="6">
        <v>49.32</v>
      </c>
      <c r="P671" s="6">
        <v>49.599997999999999</v>
      </c>
      <c r="Q671" s="6">
        <v>37.860703000000001</v>
      </c>
      <c r="R671" s="58">
        <v>2755900</v>
      </c>
    </row>
    <row r="672" spans="12:18" x14ac:dyDescent="0.25">
      <c r="L672" s="26">
        <v>40416</v>
      </c>
      <c r="M672" s="6">
        <v>49.619999</v>
      </c>
      <c r="N672" s="6">
        <v>49.830002</v>
      </c>
      <c r="O672" s="6">
        <v>49</v>
      </c>
      <c r="P672" s="6">
        <v>49.41</v>
      </c>
      <c r="Q672" s="6">
        <v>37.715674999999997</v>
      </c>
      <c r="R672" s="58">
        <v>3073600</v>
      </c>
    </row>
    <row r="673" spans="12:18" x14ac:dyDescent="0.25">
      <c r="L673" s="26">
        <v>40417</v>
      </c>
      <c r="M673" s="6">
        <v>49.48</v>
      </c>
      <c r="N673" s="6">
        <v>50.509998000000003</v>
      </c>
      <c r="O673" s="6">
        <v>49.48</v>
      </c>
      <c r="P673" s="6">
        <v>50.490001999999997</v>
      </c>
      <c r="Q673" s="6">
        <v>38.540053999999998</v>
      </c>
      <c r="R673" s="58">
        <v>2519400</v>
      </c>
    </row>
    <row r="674" spans="12:18" x14ac:dyDescent="0.25">
      <c r="L674" s="26">
        <v>40420</v>
      </c>
      <c r="M674" s="6">
        <v>49.970001000000003</v>
      </c>
      <c r="N674" s="6">
        <v>50.119999</v>
      </c>
      <c r="O674" s="6">
        <v>49.290000999999997</v>
      </c>
      <c r="P674" s="6">
        <v>49.310001</v>
      </c>
      <c r="Q674" s="6">
        <v>37.943702999999999</v>
      </c>
      <c r="R674" s="58">
        <v>1996500</v>
      </c>
    </row>
    <row r="675" spans="12:18" x14ac:dyDescent="0.25">
      <c r="L675" s="26">
        <v>40421</v>
      </c>
      <c r="M675" s="6">
        <v>49.27</v>
      </c>
      <c r="N675" s="6">
        <v>50.029998999999997</v>
      </c>
      <c r="O675" s="6">
        <v>49.27</v>
      </c>
      <c r="P675" s="6">
        <v>49.68</v>
      </c>
      <c r="Q675" s="6">
        <v>38.228416000000003</v>
      </c>
      <c r="R675" s="58">
        <v>3239800</v>
      </c>
    </row>
    <row r="676" spans="12:18" x14ac:dyDescent="0.25">
      <c r="L676" s="26">
        <v>40422</v>
      </c>
      <c r="M676" s="6">
        <v>50.200001</v>
      </c>
      <c r="N676" s="6">
        <v>50.439999</v>
      </c>
      <c r="O676" s="6">
        <v>49.68</v>
      </c>
      <c r="P676" s="6">
        <v>49.900002000000001</v>
      </c>
      <c r="Q676" s="6">
        <v>38.397705000000002</v>
      </c>
      <c r="R676" s="58">
        <v>3298600</v>
      </c>
    </row>
    <row r="677" spans="12:18" x14ac:dyDescent="0.25">
      <c r="L677" s="26">
        <v>40423</v>
      </c>
      <c r="M677" s="6">
        <v>50.060001</v>
      </c>
      <c r="N677" s="6">
        <v>50.169998</v>
      </c>
      <c r="O677" s="6">
        <v>49.490001999999997</v>
      </c>
      <c r="P677" s="6">
        <v>50.02</v>
      </c>
      <c r="Q677" s="6">
        <v>38.490051000000001</v>
      </c>
      <c r="R677" s="58">
        <v>2568200</v>
      </c>
    </row>
    <row r="678" spans="12:18" x14ac:dyDescent="0.25">
      <c r="L678" s="26">
        <v>40424</v>
      </c>
      <c r="M678" s="6">
        <v>50.200001</v>
      </c>
      <c r="N678" s="6">
        <v>50.41</v>
      </c>
      <c r="O678" s="6">
        <v>49.939999</v>
      </c>
      <c r="P678" s="6">
        <v>50.41</v>
      </c>
      <c r="Q678" s="6">
        <v>38.790142000000003</v>
      </c>
      <c r="R678" s="58">
        <v>1954100</v>
      </c>
    </row>
    <row r="679" spans="12:18" x14ac:dyDescent="0.25">
      <c r="L679" s="26">
        <v>40428</v>
      </c>
      <c r="M679" s="6">
        <v>50.23</v>
      </c>
      <c r="N679" s="6">
        <v>50.529998999999997</v>
      </c>
      <c r="O679" s="6">
        <v>50.029998999999997</v>
      </c>
      <c r="P679" s="6">
        <v>50.07</v>
      </c>
      <c r="Q679" s="6">
        <v>38.528514999999999</v>
      </c>
      <c r="R679" s="58">
        <v>1180300</v>
      </c>
    </row>
    <row r="680" spans="12:18" x14ac:dyDescent="0.25">
      <c r="L680" s="26">
        <v>40429</v>
      </c>
      <c r="M680" s="6">
        <v>50.049999</v>
      </c>
      <c r="N680" s="6">
        <v>50.75</v>
      </c>
      <c r="O680" s="6">
        <v>50.049999</v>
      </c>
      <c r="P680" s="6">
        <v>50.560001</v>
      </c>
      <c r="Q680" s="6">
        <v>38.905574999999999</v>
      </c>
      <c r="R680" s="58">
        <v>1584500</v>
      </c>
    </row>
    <row r="681" spans="12:18" x14ac:dyDescent="0.25">
      <c r="L681" s="26">
        <v>40430</v>
      </c>
      <c r="M681" s="6">
        <v>50.98</v>
      </c>
      <c r="N681" s="6">
        <v>50.98</v>
      </c>
      <c r="O681" s="6">
        <v>50.669998</v>
      </c>
      <c r="P681" s="6">
        <v>50.889999000000003</v>
      </c>
      <c r="Q681" s="6">
        <v>39.159508000000002</v>
      </c>
      <c r="R681" s="58">
        <v>1216000</v>
      </c>
    </row>
    <row r="682" spans="12:18" x14ac:dyDescent="0.25">
      <c r="L682" s="26">
        <v>40431</v>
      </c>
      <c r="M682" s="6">
        <v>50.610000999999997</v>
      </c>
      <c r="N682" s="6">
        <v>51.32</v>
      </c>
      <c r="O682" s="6">
        <v>50.610000999999997</v>
      </c>
      <c r="P682" s="6">
        <v>51.27</v>
      </c>
      <c r="Q682" s="6">
        <v>39.451912</v>
      </c>
      <c r="R682" s="58">
        <v>1955100</v>
      </c>
    </row>
    <row r="683" spans="12:18" x14ac:dyDescent="0.25">
      <c r="L683" s="26">
        <v>40434</v>
      </c>
      <c r="M683" s="6">
        <v>51.450001</v>
      </c>
      <c r="N683" s="6">
        <v>51.52</v>
      </c>
      <c r="O683" s="6">
        <v>50.970001000000003</v>
      </c>
      <c r="P683" s="6">
        <v>51.310001</v>
      </c>
      <c r="Q683" s="6">
        <v>39.482711999999999</v>
      </c>
      <c r="R683" s="58">
        <v>1356000</v>
      </c>
    </row>
    <row r="684" spans="12:18" x14ac:dyDescent="0.25">
      <c r="L684" s="26">
        <v>40435</v>
      </c>
      <c r="M684" s="6">
        <v>51.060001</v>
      </c>
      <c r="N684" s="6">
        <v>51.060001</v>
      </c>
      <c r="O684" s="6">
        <v>50.619999</v>
      </c>
      <c r="P684" s="6">
        <v>50.709999000000003</v>
      </c>
      <c r="Q684" s="6">
        <v>39.020988000000003</v>
      </c>
      <c r="R684" s="58">
        <v>1806500</v>
      </c>
    </row>
    <row r="685" spans="12:18" x14ac:dyDescent="0.25">
      <c r="L685" s="26">
        <v>40436</v>
      </c>
      <c r="M685" s="6">
        <v>50.740001999999997</v>
      </c>
      <c r="N685" s="6">
        <v>51.029998999999997</v>
      </c>
      <c r="O685" s="6">
        <v>50.400002000000001</v>
      </c>
      <c r="P685" s="6">
        <v>51</v>
      </c>
      <c r="Q685" s="6">
        <v>39.244148000000003</v>
      </c>
      <c r="R685" s="58">
        <v>1999800</v>
      </c>
    </row>
    <row r="686" spans="12:18" x14ac:dyDescent="0.25">
      <c r="L686" s="26">
        <v>40437</v>
      </c>
      <c r="M686" s="6">
        <v>51</v>
      </c>
      <c r="N686" s="6">
        <v>51.07</v>
      </c>
      <c r="O686" s="6">
        <v>50.610000999999997</v>
      </c>
      <c r="P686" s="6">
        <v>50.98</v>
      </c>
      <c r="Q686" s="6">
        <v>39.228760000000001</v>
      </c>
      <c r="R686" s="58">
        <v>1531400</v>
      </c>
    </row>
    <row r="687" spans="12:18" x14ac:dyDescent="0.25">
      <c r="L687" s="26">
        <v>40438</v>
      </c>
      <c r="M687" s="6">
        <v>51</v>
      </c>
      <c r="N687" s="6">
        <v>51.110000999999997</v>
      </c>
      <c r="O687" s="6">
        <v>50.57</v>
      </c>
      <c r="P687" s="6">
        <v>50.580002</v>
      </c>
      <c r="Q687" s="6">
        <v>38.920963</v>
      </c>
      <c r="R687" s="58">
        <v>2214100</v>
      </c>
    </row>
    <row r="688" spans="12:18" x14ac:dyDescent="0.25">
      <c r="L688" s="26">
        <v>40441</v>
      </c>
      <c r="M688" s="6">
        <v>50.75</v>
      </c>
      <c r="N688" s="6">
        <v>50.880001</v>
      </c>
      <c r="O688" s="6">
        <v>50.59</v>
      </c>
      <c r="P688" s="6">
        <v>50.82</v>
      </c>
      <c r="Q688" s="6">
        <v>39.105643999999998</v>
      </c>
      <c r="R688" s="58">
        <v>1999400</v>
      </c>
    </row>
    <row r="689" spans="12:18" x14ac:dyDescent="0.25">
      <c r="L689" s="26">
        <v>40442</v>
      </c>
      <c r="M689" s="6">
        <v>50.599997999999999</v>
      </c>
      <c r="N689" s="6">
        <v>50.830002</v>
      </c>
      <c r="O689" s="6">
        <v>50.029998999999997</v>
      </c>
      <c r="P689" s="6">
        <v>50.360000999999997</v>
      </c>
      <c r="Q689" s="6">
        <v>38.751685999999999</v>
      </c>
      <c r="R689" s="58">
        <v>2846500</v>
      </c>
    </row>
    <row r="690" spans="12:18" x14ac:dyDescent="0.25">
      <c r="L690" s="26">
        <v>40443</v>
      </c>
      <c r="M690" s="6">
        <v>50.470001000000003</v>
      </c>
      <c r="N690" s="6">
        <v>51</v>
      </c>
      <c r="O690" s="6">
        <v>50.470001000000003</v>
      </c>
      <c r="P690" s="6">
        <v>50.77</v>
      </c>
      <c r="Q690" s="6">
        <v>39.067165000000003</v>
      </c>
      <c r="R690" s="58">
        <v>2035100</v>
      </c>
    </row>
    <row r="691" spans="12:18" x14ac:dyDescent="0.25">
      <c r="L691" s="26">
        <v>40444</v>
      </c>
      <c r="M691" s="6">
        <v>50.299999</v>
      </c>
      <c r="N691" s="6">
        <v>50.799999</v>
      </c>
      <c r="O691" s="6">
        <v>50.25</v>
      </c>
      <c r="P691" s="6">
        <v>50.560001</v>
      </c>
      <c r="Q691" s="6">
        <v>38.905574999999999</v>
      </c>
      <c r="R691" s="58">
        <v>1641400</v>
      </c>
    </row>
    <row r="692" spans="12:18" x14ac:dyDescent="0.25">
      <c r="L692" s="26">
        <v>40445</v>
      </c>
      <c r="M692" s="6">
        <v>50.830002</v>
      </c>
      <c r="N692" s="6">
        <v>51.049999</v>
      </c>
      <c r="O692" s="6">
        <v>50.790000999999997</v>
      </c>
      <c r="P692" s="6">
        <v>51</v>
      </c>
      <c r="Q692" s="6">
        <v>39.244148000000003</v>
      </c>
      <c r="R692" s="58">
        <v>2180800</v>
      </c>
    </row>
    <row r="693" spans="12:18" x14ac:dyDescent="0.25">
      <c r="L693" s="26">
        <v>40448</v>
      </c>
      <c r="M693" s="6">
        <v>50.939999</v>
      </c>
      <c r="N693" s="6">
        <v>51</v>
      </c>
      <c r="O693" s="6">
        <v>50.599997999999999</v>
      </c>
      <c r="P693" s="6">
        <v>50.610000999999997</v>
      </c>
      <c r="Q693" s="6">
        <v>38.944046</v>
      </c>
      <c r="R693" s="58">
        <v>1480800</v>
      </c>
    </row>
    <row r="694" spans="12:18" x14ac:dyDescent="0.25">
      <c r="L694" s="26">
        <v>40449</v>
      </c>
      <c r="M694" s="6">
        <v>50.709999000000003</v>
      </c>
      <c r="N694" s="6">
        <v>50.880001</v>
      </c>
      <c r="O694" s="6">
        <v>50.209999000000003</v>
      </c>
      <c r="P694" s="6">
        <v>50.66</v>
      </c>
      <c r="Q694" s="6">
        <v>38.982532999999997</v>
      </c>
      <c r="R694" s="58">
        <v>1707200</v>
      </c>
    </row>
    <row r="695" spans="12:18" x14ac:dyDescent="0.25">
      <c r="L695" s="26">
        <v>40450</v>
      </c>
      <c r="M695" s="6">
        <v>50.529998999999997</v>
      </c>
      <c r="N695" s="6">
        <v>50.82</v>
      </c>
      <c r="O695" s="6">
        <v>50.349997999999999</v>
      </c>
      <c r="P695" s="6">
        <v>50.619999</v>
      </c>
      <c r="Q695" s="6">
        <v>38.951748000000002</v>
      </c>
      <c r="R695" s="58">
        <v>1164800</v>
      </c>
    </row>
    <row r="696" spans="12:18" x14ac:dyDescent="0.25">
      <c r="L696" s="26">
        <v>40451</v>
      </c>
      <c r="M696" s="6">
        <v>50.689999</v>
      </c>
      <c r="N696" s="6">
        <v>50.990001999999997</v>
      </c>
      <c r="O696" s="6">
        <v>50.130001</v>
      </c>
      <c r="P696" s="6">
        <v>50.509998000000003</v>
      </c>
      <c r="Q696" s="6">
        <v>38.867092</v>
      </c>
      <c r="R696" s="58">
        <v>2165100</v>
      </c>
    </row>
    <row r="697" spans="12:18" x14ac:dyDescent="0.25">
      <c r="L697" s="26">
        <v>40452</v>
      </c>
      <c r="M697" s="6">
        <v>50.540000999999997</v>
      </c>
      <c r="N697" s="6">
        <v>51</v>
      </c>
      <c r="O697" s="6">
        <v>50.52</v>
      </c>
      <c r="P697" s="6">
        <v>50.91</v>
      </c>
      <c r="Q697" s="6">
        <v>39.174892</v>
      </c>
      <c r="R697" s="58">
        <v>2041900</v>
      </c>
    </row>
    <row r="698" spans="12:18" x14ac:dyDescent="0.25">
      <c r="L698" s="26">
        <v>40455</v>
      </c>
      <c r="M698" s="6">
        <v>50.59</v>
      </c>
      <c r="N698" s="6">
        <v>50.970001000000003</v>
      </c>
      <c r="O698" s="6">
        <v>50.34</v>
      </c>
      <c r="P698" s="6">
        <v>50.580002</v>
      </c>
      <c r="Q698" s="6">
        <v>38.920963</v>
      </c>
      <c r="R698" s="58">
        <v>1986800</v>
      </c>
    </row>
    <row r="699" spans="12:18" x14ac:dyDescent="0.25">
      <c r="L699" s="26">
        <v>40456</v>
      </c>
      <c r="M699" s="6">
        <v>50.799999</v>
      </c>
      <c r="N699" s="6">
        <v>51</v>
      </c>
      <c r="O699" s="6">
        <v>50.59</v>
      </c>
      <c r="P699" s="6">
        <v>50.639999000000003</v>
      </c>
      <c r="Q699" s="6">
        <v>38.967125000000003</v>
      </c>
      <c r="R699" s="58">
        <v>3559600</v>
      </c>
    </row>
    <row r="700" spans="12:18" x14ac:dyDescent="0.25">
      <c r="L700" s="26">
        <v>40457</v>
      </c>
      <c r="M700" s="6">
        <v>50.630001</v>
      </c>
      <c r="N700" s="6">
        <v>50.91</v>
      </c>
      <c r="O700" s="6">
        <v>50.380001</v>
      </c>
      <c r="P700" s="6">
        <v>50.490001999999997</v>
      </c>
      <c r="Q700" s="6">
        <v>38.851703999999998</v>
      </c>
      <c r="R700" s="58">
        <v>2520300</v>
      </c>
    </row>
    <row r="701" spans="12:18" x14ac:dyDescent="0.25">
      <c r="L701" s="26">
        <v>40458</v>
      </c>
      <c r="M701" s="6">
        <v>50.73</v>
      </c>
      <c r="N701" s="6">
        <v>50.77</v>
      </c>
      <c r="O701" s="6">
        <v>50.02</v>
      </c>
      <c r="P701" s="6">
        <v>50.200001</v>
      </c>
      <c r="Q701" s="6">
        <v>38.628551000000002</v>
      </c>
      <c r="R701" s="58">
        <v>1517600</v>
      </c>
    </row>
    <row r="702" spans="12:18" x14ac:dyDescent="0.25">
      <c r="L702" s="26">
        <v>40459</v>
      </c>
      <c r="M702" s="6">
        <v>50.169998</v>
      </c>
      <c r="N702" s="6">
        <v>50.299999</v>
      </c>
      <c r="O702" s="6">
        <v>49.650002000000001</v>
      </c>
      <c r="P702" s="6">
        <v>49.970001000000003</v>
      </c>
      <c r="Q702" s="6">
        <v>38.45158</v>
      </c>
      <c r="R702" s="58">
        <v>2447700</v>
      </c>
    </row>
    <row r="703" spans="12:18" x14ac:dyDescent="0.25">
      <c r="L703" s="26">
        <v>40462</v>
      </c>
      <c r="M703" s="6">
        <v>49.91</v>
      </c>
      <c r="N703" s="6">
        <v>50.02</v>
      </c>
      <c r="O703" s="6">
        <v>49.700001</v>
      </c>
      <c r="P703" s="6">
        <v>49.82</v>
      </c>
      <c r="Q703" s="6">
        <v>38.336146999999997</v>
      </c>
      <c r="R703" s="58">
        <v>1471600</v>
      </c>
    </row>
    <row r="704" spans="12:18" x14ac:dyDescent="0.25">
      <c r="L704" s="26">
        <v>40463</v>
      </c>
      <c r="M704" s="6">
        <v>49.759998000000003</v>
      </c>
      <c r="N704" s="6">
        <v>50.16</v>
      </c>
      <c r="O704" s="6">
        <v>49.529998999999997</v>
      </c>
      <c r="P704" s="6">
        <v>50.029998999999997</v>
      </c>
      <c r="Q704" s="6">
        <v>38.497734000000001</v>
      </c>
      <c r="R704" s="58">
        <v>1903700</v>
      </c>
    </row>
    <row r="705" spans="12:18" x14ac:dyDescent="0.25">
      <c r="L705" s="26">
        <v>40464</v>
      </c>
      <c r="M705" s="6">
        <v>50.220001000000003</v>
      </c>
      <c r="N705" s="6">
        <v>50.919998</v>
      </c>
      <c r="O705" s="6">
        <v>50.220001000000003</v>
      </c>
      <c r="P705" s="6">
        <v>50.810001</v>
      </c>
      <c r="Q705" s="6">
        <v>39.097946</v>
      </c>
      <c r="R705" s="58">
        <v>2739300</v>
      </c>
    </row>
    <row r="706" spans="12:18" x14ac:dyDescent="0.25">
      <c r="L706" s="26">
        <v>40465</v>
      </c>
      <c r="M706" s="6">
        <v>50.849997999999999</v>
      </c>
      <c r="N706" s="6">
        <v>51.099997999999999</v>
      </c>
      <c r="O706" s="6">
        <v>50.259998000000003</v>
      </c>
      <c r="P706" s="6">
        <v>50.369999</v>
      </c>
      <c r="Q706" s="6">
        <v>38.759365000000003</v>
      </c>
      <c r="R706" s="58">
        <v>2460600</v>
      </c>
    </row>
    <row r="707" spans="12:18" x14ac:dyDescent="0.25">
      <c r="L707" s="26">
        <v>40466</v>
      </c>
      <c r="M707" s="6">
        <v>50.700001</v>
      </c>
      <c r="N707" s="6">
        <v>50.75</v>
      </c>
      <c r="O707" s="6">
        <v>49.939999</v>
      </c>
      <c r="P707" s="6">
        <v>50.080002</v>
      </c>
      <c r="Q707" s="6">
        <v>38.536212999999996</v>
      </c>
      <c r="R707" s="58">
        <v>3004700</v>
      </c>
    </row>
    <row r="708" spans="12:18" x14ac:dyDescent="0.25">
      <c r="L708" s="26">
        <v>40469</v>
      </c>
      <c r="M708" s="6">
        <v>50.16</v>
      </c>
      <c r="N708" s="6">
        <v>50.16</v>
      </c>
      <c r="O708" s="6">
        <v>49.93</v>
      </c>
      <c r="P708" s="6">
        <v>50.099997999999999</v>
      </c>
      <c r="Q708" s="6">
        <v>38.551597999999998</v>
      </c>
      <c r="R708" s="58">
        <v>2210600</v>
      </c>
    </row>
    <row r="709" spans="12:18" x14ac:dyDescent="0.25">
      <c r="L709" s="26">
        <v>40470</v>
      </c>
      <c r="M709" s="6">
        <v>49.84</v>
      </c>
      <c r="N709" s="6">
        <v>50.310001</v>
      </c>
      <c r="O709" s="6">
        <v>49.59</v>
      </c>
      <c r="P709" s="6">
        <v>49.900002000000001</v>
      </c>
      <c r="Q709" s="6">
        <v>38.397705000000002</v>
      </c>
      <c r="R709" s="58">
        <v>2183400</v>
      </c>
    </row>
    <row r="710" spans="12:18" x14ac:dyDescent="0.25">
      <c r="L710" s="26">
        <v>40471</v>
      </c>
      <c r="M710" s="6">
        <v>49.959999000000003</v>
      </c>
      <c r="N710" s="6">
        <v>50.369999</v>
      </c>
      <c r="O710" s="6">
        <v>49.939999</v>
      </c>
      <c r="P710" s="6">
        <v>50.02</v>
      </c>
      <c r="Q710" s="6">
        <v>38.490051000000001</v>
      </c>
      <c r="R710" s="58">
        <v>1683500</v>
      </c>
    </row>
    <row r="711" spans="12:18" x14ac:dyDescent="0.25">
      <c r="L711" s="26">
        <v>40472</v>
      </c>
      <c r="M711" s="6">
        <v>49.049999</v>
      </c>
      <c r="N711" s="6">
        <v>50.540000999999997</v>
      </c>
      <c r="O711" s="6">
        <v>48.810001</v>
      </c>
      <c r="P711" s="6">
        <v>49.75</v>
      </c>
      <c r="Q711" s="6">
        <v>38.28228</v>
      </c>
      <c r="R711" s="58">
        <v>7321900</v>
      </c>
    </row>
    <row r="712" spans="12:18" x14ac:dyDescent="0.25">
      <c r="L712" s="26">
        <v>40473</v>
      </c>
      <c r="M712" s="6">
        <v>49.549999</v>
      </c>
      <c r="N712" s="6">
        <v>49.700001</v>
      </c>
      <c r="O712" s="6">
        <v>49.169998</v>
      </c>
      <c r="P712" s="6">
        <v>49.549999</v>
      </c>
      <c r="Q712" s="6">
        <v>38.128386999999996</v>
      </c>
      <c r="R712" s="58">
        <v>4288100</v>
      </c>
    </row>
    <row r="713" spans="12:18" x14ac:dyDescent="0.25">
      <c r="L713" s="26">
        <v>40476</v>
      </c>
      <c r="M713" s="6">
        <v>49.759998000000003</v>
      </c>
      <c r="N713" s="6">
        <v>49.889999000000003</v>
      </c>
      <c r="O713" s="6">
        <v>49.450001</v>
      </c>
      <c r="P713" s="6">
        <v>49.57</v>
      </c>
      <c r="Q713" s="6">
        <v>38.143776000000003</v>
      </c>
      <c r="R713" s="58">
        <v>2369600</v>
      </c>
    </row>
    <row r="714" spans="12:18" x14ac:dyDescent="0.25">
      <c r="L714" s="26">
        <v>40477</v>
      </c>
      <c r="M714" s="6">
        <v>49.509998000000003</v>
      </c>
      <c r="N714" s="6">
        <v>49.59</v>
      </c>
      <c r="O714" s="6">
        <v>49.130001</v>
      </c>
      <c r="P714" s="6">
        <v>49.259998000000003</v>
      </c>
      <c r="Q714" s="6">
        <v>37.905234999999998</v>
      </c>
      <c r="R714" s="58">
        <v>2585200</v>
      </c>
    </row>
    <row r="715" spans="12:18" x14ac:dyDescent="0.25">
      <c r="L715" s="26">
        <v>40478</v>
      </c>
      <c r="M715" s="6">
        <v>48.98</v>
      </c>
      <c r="N715" s="6">
        <v>49.299999</v>
      </c>
      <c r="O715" s="6">
        <v>48.720001000000003</v>
      </c>
      <c r="P715" s="6">
        <v>49.080002</v>
      </c>
      <c r="Q715" s="6">
        <v>37.766734999999997</v>
      </c>
      <c r="R715" s="58">
        <v>3152900</v>
      </c>
    </row>
    <row r="716" spans="12:18" x14ac:dyDescent="0.25">
      <c r="L716" s="26">
        <v>40479</v>
      </c>
      <c r="M716" s="6">
        <v>49.139999000000003</v>
      </c>
      <c r="N716" s="6">
        <v>49.82</v>
      </c>
      <c r="O716" s="6">
        <v>49.049999</v>
      </c>
      <c r="P716" s="6">
        <v>49.380001</v>
      </c>
      <c r="Q716" s="6">
        <v>37.997570000000003</v>
      </c>
      <c r="R716" s="58">
        <v>3031900</v>
      </c>
    </row>
    <row r="717" spans="12:18" x14ac:dyDescent="0.25">
      <c r="L717" s="26">
        <v>40480</v>
      </c>
      <c r="M717" s="6">
        <v>49.27</v>
      </c>
      <c r="N717" s="6">
        <v>50.290000999999997</v>
      </c>
      <c r="O717" s="6">
        <v>49.27</v>
      </c>
      <c r="P717" s="6">
        <v>50.259998000000003</v>
      </c>
      <c r="Q717" s="6">
        <v>38.674728000000002</v>
      </c>
      <c r="R717" s="58">
        <v>4072600</v>
      </c>
    </row>
    <row r="718" spans="12:18" x14ac:dyDescent="0.25">
      <c r="L718" s="26">
        <v>40483</v>
      </c>
      <c r="M718" s="6">
        <v>50.369999</v>
      </c>
      <c r="N718" s="6">
        <v>50.799999</v>
      </c>
      <c r="O718" s="6">
        <v>50.099997999999999</v>
      </c>
      <c r="P718" s="6">
        <v>50.75</v>
      </c>
      <c r="Q718" s="6">
        <v>39.051765000000003</v>
      </c>
      <c r="R718" s="58">
        <v>4941900</v>
      </c>
    </row>
    <row r="719" spans="12:18" x14ac:dyDescent="0.25">
      <c r="L719" s="26">
        <v>40484</v>
      </c>
      <c r="M719" s="6">
        <v>50.5</v>
      </c>
      <c r="N719" s="6">
        <v>50.5</v>
      </c>
      <c r="O719" s="6">
        <v>49.360000999999997</v>
      </c>
      <c r="P719" s="6">
        <v>49.689999</v>
      </c>
      <c r="Q719" s="6">
        <v>38.236111000000001</v>
      </c>
      <c r="R719" s="58">
        <v>7224000</v>
      </c>
    </row>
    <row r="720" spans="12:18" x14ac:dyDescent="0.25">
      <c r="L720" s="26">
        <v>40485</v>
      </c>
      <c r="M720" s="6">
        <v>49.650002000000001</v>
      </c>
      <c r="N720" s="6">
        <v>49.959999000000003</v>
      </c>
      <c r="O720" s="6">
        <v>49.209999000000003</v>
      </c>
      <c r="P720" s="6">
        <v>49.57</v>
      </c>
      <c r="Q720" s="6">
        <v>38.143776000000003</v>
      </c>
      <c r="R720" s="58">
        <v>3356300</v>
      </c>
    </row>
    <row r="721" spans="12:18" x14ac:dyDescent="0.25">
      <c r="L721" s="26">
        <v>40486</v>
      </c>
      <c r="M721" s="6">
        <v>49.599997999999999</v>
      </c>
      <c r="N721" s="6">
        <v>49.740001999999997</v>
      </c>
      <c r="O721" s="6">
        <v>49.16</v>
      </c>
      <c r="P721" s="6">
        <v>49.310001</v>
      </c>
      <c r="Q721" s="6">
        <v>37.943702999999999</v>
      </c>
      <c r="R721" s="58">
        <v>4757700</v>
      </c>
    </row>
    <row r="722" spans="12:18" x14ac:dyDescent="0.25">
      <c r="L722" s="26">
        <v>40487</v>
      </c>
      <c r="M722" s="6">
        <v>49.400002000000001</v>
      </c>
      <c r="N722" s="6">
        <v>49.48</v>
      </c>
      <c r="O722" s="6">
        <v>49.049999</v>
      </c>
      <c r="P722" s="6">
        <v>49.32</v>
      </c>
      <c r="Q722" s="6">
        <v>37.951393000000003</v>
      </c>
      <c r="R722" s="58">
        <v>4955500</v>
      </c>
    </row>
    <row r="723" spans="12:18" x14ac:dyDescent="0.25">
      <c r="L723" s="26">
        <v>40490</v>
      </c>
      <c r="M723" s="6">
        <v>49.150002000000001</v>
      </c>
      <c r="N723" s="6">
        <v>49.380001</v>
      </c>
      <c r="O723" s="6">
        <v>49.049999</v>
      </c>
      <c r="P723" s="6">
        <v>49.32</v>
      </c>
      <c r="Q723" s="6">
        <v>37.951393000000003</v>
      </c>
      <c r="R723" s="58">
        <v>2233400</v>
      </c>
    </row>
    <row r="724" spans="12:18" x14ac:dyDescent="0.25">
      <c r="L724" s="26">
        <v>40491</v>
      </c>
      <c r="M724" s="6">
        <v>49.32</v>
      </c>
      <c r="N724" s="6">
        <v>49.360000999999997</v>
      </c>
      <c r="O724" s="6">
        <v>48.779998999999997</v>
      </c>
      <c r="P724" s="6">
        <v>48.939999</v>
      </c>
      <c r="Q724" s="6">
        <v>37.658988999999998</v>
      </c>
      <c r="R724" s="58">
        <v>3212800</v>
      </c>
    </row>
    <row r="725" spans="12:18" x14ac:dyDescent="0.25">
      <c r="L725" s="26">
        <v>40492</v>
      </c>
      <c r="M725" s="6">
        <v>48.75</v>
      </c>
      <c r="N725" s="6">
        <v>48.880001</v>
      </c>
      <c r="O725" s="6">
        <v>48.509998000000003</v>
      </c>
      <c r="P725" s="6">
        <v>48.880001</v>
      </c>
      <c r="Q725" s="6">
        <v>37.612827000000003</v>
      </c>
      <c r="R725" s="58">
        <v>2730000</v>
      </c>
    </row>
    <row r="726" spans="12:18" x14ac:dyDescent="0.25">
      <c r="L726" s="26">
        <v>40493</v>
      </c>
      <c r="M726" s="6">
        <v>48.709999000000003</v>
      </c>
      <c r="N726" s="6">
        <v>49.25</v>
      </c>
      <c r="O726" s="6">
        <v>48.580002</v>
      </c>
      <c r="P726" s="6">
        <v>49.25</v>
      </c>
      <c r="Q726" s="6">
        <v>37.897537</v>
      </c>
      <c r="R726" s="58">
        <v>2136600</v>
      </c>
    </row>
    <row r="727" spans="12:18" x14ac:dyDescent="0.25">
      <c r="L727" s="26">
        <v>40494</v>
      </c>
      <c r="M727" s="6">
        <v>49.200001</v>
      </c>
      <c r="N727" s="6">
        <v>49.209999000000003</v>
      </c>
      <c r="O727" s="6">
        <v>48.759998000000003</v>
      </c>
      <c r="P727" s="6">
        <v>48.950001</v>
      </c>
      <c r="Q727" s="6">
        <v>37.666691</v>
      </c>
      <c r="R727" s="58">
        <v>1869100</v>
      </c>
    </row>
    <row r="728" spans="12:18" x14ac:dyDescent="0.25">
      <c r="L728" s="26">
        <v>40497</v>
      </c>
      <c r="M728" s="6">
        <v>49.130001</v>
      </c>
      <c r="N728" s="6">
        <v>49.25</v>
      </c>
      <c r="O728" s="6">
        <v>48.740001999999997</v>
      </c>
      <c r="P728" s="6">
        <v>48.799999</v>
      </c>
      <c r="Q728" s="6">
        <v>37.551265999999998</v>
      </c>
      <c r="R728" s="58">
        <v>1113500</v>
      </c>
    </row>
    <row r="729" spans="12:18" x14ac:dyDescent="0.25">
      <c r="L729" s="26">
        <v>40498</v>
      </c>
      <c r="M729" s="6">
        <v>48.639999000000003</v>
      </c>
      <c r="N729" s="6">
        <v>48.970001000000003</v>
      </c>
      <c r="O729" s="6">
        <v>48.529998999999997</v>
      </c>
      <c r="P729" s="6">
        <v>48.939999</v>
      </c>
      <c r="Q729" s="6">
        <v>37.658988999999998</v>
      </c>
      <c r="R729" s="58">
        <v>3481300</v>
      </c>
    </row>
    <row r="730" spans="12:18" x14ac:dyDescent="0.25">
      <c r="L730" s="26">
        <v>40499</v>
      </c>
      <c r="M730" s="6">
        <v>48.939999</v>
      </c>
      <c r="N730" s="6">
        <v>49.130001</v>
      </c>
      <c r="O730" s="6">
        <v>48.82</v>
      </c>
      <c r="P730" s="6">
        <v>48.880001</v>
      </c>
      <c r="Q730" s="6">
        <v>37.612827000000003</v>
      </c>
      <c r="R730" s="58">
        <v>2275800</v>
      </c>
    </row>
    <row r="731" spans="12:18" x14ac:dyDescent="0.25">
      <c r="L731" s="26">
        <v>40500</v>
      </c>
      <c r="M731" s="6">
        <v>49.16</v>
      </c>
      <c r="N731" s="6">
        <v>49.419998</v>
      </c>
      <c r="O731" s="6">
        <v>49.02</v>
      </c>
      <c r="P731" s="6">
        <v>49.380001</v>
      </c>
      <c r="Q731" s="6">
        <v>37.997570000000003</v>
      </c>
      <c r="R731" s="58">
        <v>6365200</v>
      </c>
    </row>
    <row r="732" spans="12:18" x14ac:dyDescent="0.25">
      <c r="L732" s="26">
        <v>40501</v>
      </c>
      <c r="M732" s="6">
        <v>49.380001</v>
      </c>
      <c r="N732" s="6">
        <v>49.380001</v>
      </c>
      <c r="O732" s="6">
        <v>48.869999</v>
      </c>
      <c r="P732" s="6">
        <v>48.98</v>
      </c>
      <c r="Q732" s="6">
        <v>37.689765999999999</v>
      </c>
      <c r="R732" s="58">
        <v>7264200</v>
      </c>
    </row>
    <row r="733" spans="12:18" x14ac:dyDescent="0.25">
      <c r="L733" s="26">
        <v>40504</v>
      </c>
      <c r="M733" s="6">
        <v>48.939999</v>
      </c>
      <c r="N733" s="6">
        <v>49.189999</v>
      </c>
      <c r="O733" s="6">
        <v>48.650002000000001</v>
      </c>
      <c r="P733" s="6">
        <v>49.130001</v>
      </c>
      <c r="Q733" s="6">
        <v>37.805199000000002</v>
      </c>
      <c r="R733" s="58">
        <v>5757600</v>
      </c>
    </row>
    <row r="734" spans="12:18" x14ac:dyDescent="0.25">
      <c r="L734" s="26">
        <v>40505</v>
      </c>
      <c r="M734" s="6">
        <v>49.02</v>
      </c>
      <c r="N734" s="6">
        <v>49.32</v>
      </c>
      <c r="O734" s="6">
        <v>48.689999</v>
      </c>
      <c r="P734" s="6">
        <v>49.299999</v>
      </c>
      <c r="Q734" s="6">
        <v>37.936016000000002</v>
      </c>
      <c r="R734" s="58">
        <v>3214600</v>
      </c>
    </row>
    <row r="735" spans="12:18" x14ac:dyDescent="0.25">
      <c r="L735" s="26">
        <v>40506</v>
      </c>
      <c r="M735" s="6">
        <v>49.189999</v>
      </c>
      <c r="N735" s="6">
        <v>49.48</v>
      </c>
      <c r="O735" s="6">
        <v>49.029998999999997</v>
      </c>
      <c r="P735" s="6">
        <v>49.189999</v>
      </c>
      <c r="Q735" s="6">
        <v>37.851363999999997</v>
      </c>
      <c r="R735" s="58">
        <v>1875900</v>
      </c>
    </row>
    <row r="736" spans="12:18" x14ac:dyDescent="0.25">
      <c r="L736" s="26">
        <v>40508</v>
      </c>
      <c r="M736" s="6">
        <v>49.110000999999997</v>
      </c>
      <c r="N736" s="6">
        <v>49.57</v>
      </c>
      <c r="O736" s="6">
        <v>48.970001000000003</v>
      </c>
      <c r="P736" s="6">
        <v>49.48</v>
      </c>
      <c r="Q736" s="6">
        <v>38.07452</v>
      </c>
      <c r="R736" s="58">
        <v>1183900</v>
      </c>
    </row>
    <row r="737" spans="12:18" x14ac:dyDescent="0.25">
      <c r="L737" s="26">
        <v>40511</v>
      </c>
      <c r="M737" s="6">
        <v>48.939999</v>
      </c>
      <c r="N737" s="6">
        <v>49.290000999999997</v>
      </c>
      <c r="O737" s="6">
        <v>48.740001999999997</v>
      </c>
      <c r="P737" s="6">
        <v>49.189999</v>
      </c>
      <c r="Q737" s="6">
        <v>38.163733999999998</v>
      </c>
      <c r="R737" s="58">
        <v>3133700</v>
      </c>
    </row>
    <row r="738" spans="12:18" x14ac:dyDescent="0.25">
      <c r="L738" s="26">
        <v>40512</v>
      </c>
      <c r="M738" s="6">
        <v>48.990001999999997</v>
      </c>
      <c r="N738" s="6">
        <v>49.48</v>
      </c>
      <c r="O738" s="6">
        <v>48.869999</v>
      </c>
      <c r="P738" s="6">
        <v>49.23</v>
      </c>
      <c r="Q738" s="6">
        <v>38.194771000000003</v>
      </c>
      <c r="R738" s="58">
        <v>3053200</v>
      </c>
    </row>
    <row r="739" spans="12:18" x14ac:dyDescent="0.25">
      <c r="L739" s="26">
        <v>40513</v>
      </c>
      <c r="M739" s="6">
        <v>49.52</v>
      </c>
      <c r="N739" s="6">
        <v>49.580002</v>
      </c>
      <c r="O739" s="6">
        <v>49.040000999999997</v>
      </c>
      <c r="P739" s="6">
        <v>49.439999</v>
      </c>
      <c r="Q739" s="6">
        <v>38.357692999999998</v>
      </c>
      <c r="R739" s="58">
        <v>3138800</v>
      </c>
    </row>
    <row r="740" spans="12:18" x14ac:dyDescent="0.25">
      <c r="L740" s="26">
        <v>40514</v>
      </c>
      <c r="M740" s="6">
        <v>49.34</v>
      </c>
      <c r="N740" s="6">
        <v>49.549999</v>
      </c>
      <c r="O740" s="6">
        <v>49.220001000000003</v>
      </c>
      <c r="P740" s="6">
        <v>49.529998999999997</v>
      </c>
      <c r="Q740" s="6">
        <v>38.427520999999999</v>
      </c>
      <c r="R740" s="58">
        <v>3059000</v>
      </c>
    </row>
    <row r="741" spans="12:18" x14ac:dyDescent="0.25">
      <c r="L741" s="26">
        <v>40515</v>
      </c>
      <c r="M741" s="6">
        <v>49.369999</v>
      </c>
      <c r="N741" s="6">
        <v>49.549999</v>
      </c>
      <c r="O741" s="6">
        <v>49.060001</v>
      </c>
      <c r="P741" s="6">
        <v>49.5</v>
      </c>
      <c r="Q741" s="6">
        <v>38.404240000000001</v>
      </c>
      <c r="R741" s="58">
        <v>2162900</v>
      </c>
    </row>
    <row r="742" spans="12:18" x14ac:dyDescent="0.25">
      <c r="L742" s="26">
        <v>40518</v>
      </c>
      <c r="M742" s="6">
        <v>49.490001999999997</v>
      </c>
      <c r="N742" s="6">
        <v>49.59</v>
      </c>
      <c r="O742" s="6">
        <v>49.240001999999997</v>
      </c>
      <c r="P742" s="6">
        <v>49.299999</v>
      </c>
      <c r="Q742" s="6">
        <v>38.249084000000003</v>
      </c>
      <c r="R742" s="58">
        <v>3078600</v>
      </c>
    </row>
    <row r="743" spans="12:18" x14ac:dyDescent="0.25">
      <c r="L743" s="26">
        <v>40519</v>
      </c>
      <c r="M743" s="6">
        <v>49.509998000000003</v>
      </c>
      <c r="N743" s="6">
        <v>49.509998000000003</v>
      </c>
      <c r="O743" s="6">
        <v>48.849997999999999</v>
      </c>
      <c r="P743" s="6">
        <v>48.91</v>
      </c>
      <c r="Q743" s="6">
        <v>37.946506999999997</v>
      </c>
      <c r="R743" s="58">
        <v>3571200</v>
      </c>
    </row>
    <row r="744" spans="12:18" x14ac:dyDescent="0.25">
      <c r="L744" s="26">
        <v>40520</v>
      </c>
      <c r="M744" s="6">
        <v>48.98</v>
      </c>
      <c r="N744" s="6">
        <v>49.73</v>
      </c>
      <c r="O744" s="6">
        <v>48.869999</v>
      </c>
      <c r="P744" s="6">
        <v>49.639999000000003</v>
      </c>
      <c r="Q744" s="6">
        <v>38.512870999999997</v>
      </c>
      <c r="R744" s="58">
        <v>3452100</v>
      </c>
    </row>
    <row r="745" spans="12:18" x14ac:dyDescent="0.25">
      <c r="L745" s="26">
        <v>40521</v>
      </c>
      <c r="M745" s="6">
        <v>49.66</v>
      </c>
      <c r="N745" s="6">
        <v>49.990001999999997</v>
      </c>
      <c r="O745" s="6">
        <v>49.66</v>
      </c>
      <c r="P745" s="6">
        <v>49.77</v>
      </c>
      <c r="Q745" s="6">
        <v>38.613723999999998</v>
      </c>
      <c r="R745" s="58">
        <v>3000900</v>
      </c>
    </row>
    <row r="746" spans="12:18" x14ac:dyDescent="0.25">
      <c r="L746" s="26">
        <v>40522</v>
      </c>
      <c r="M746" s="6">
        <v>49.799999</v>
      </c>
      <c r="N746" s="6">
        <v>49.860000999999997</v>
      </c>
      <c r="O746" s="6">
        <v>49.66</v>
      </c>
      <c r="P746" s="6">
        <v>49.779998999999997</v>
      </c>
      <c r="Q746" s="6">
        <v>38.621487000000002</v>
      </c>
      <c r="R746" s="58">
        <v>3825000</v>
      </c>
    </row>
    <row r="747" spans="12:18" x14ac:dyDescent="0.25">
      <c r="L747" s="26">
        <v>40525</v>
      </c>
      <c r="M747" s="6">
        <v>49.790000999999997</v>
      </c>
      <c r="N747" s="6">
        <v>50.279998999999997</v>
      </c>
      <c r="O747" s="6">
        <v>49.779998999999997</v>
      </c>
      <c r="P747" s="6">
        <v>50.220001000000003</v>
      </c>
      <c r="Q747" s="6">
        <v>38.962868</v>
      </c>
      <c r="R747" s="58">
        <v>4123000</v>
      </c>
    </row>
    <row r="748" spans="12:18" x14ac:dyDescent="0.25">
      <c r="L748" s="26">
        <v>40526</v>
      </c>
      <c r="M748" s="6">
        <v>50.34</v>
      </c>
      <c r="N748" s="6">
        <v>51.09</v>
      </c>
      <c r="O748" s="6">
        <v>50.189999</v>
      </c>
      <c r="P748" s="6">
        <v>51.02</v>
      </c>
      <c r="Q748" s="6">
        <v>39.583534</v>
      </c>
      <c r="R748" s="58">
        <v>3351500</v>
      </c>
    </row>
    <row r="749" spans="12:18" x14ac:dyDescent="0.25">
      <c r="L749" s="26">
        <v>40527</v>
      </c>
      <c r="M749" s="6">
        <v>51.029998999999997</v>
      </c>
      <c r="N749" s="6">
        <v>51.099997999999999</v>
      </c>
      <c r="O749" s="6">
        <v>50.849997999999999</v>
      </c>
      <c r="P749" s="6">
        <v>51.060001</v>
      </c>
      <c r="Q749" s="6">
        <v>39.614578000000002</v>
      </c>
      <c r="R749" s="58">
        <v>2749600</v>
      </c>
    </row>
    <row r="750" spans="12:18" x14ac:dyDescent="0.25">
      <c r="L750" s="26">
        <v>40528</v>
      </c>
      <c r="M750" s="6">
        <v>51.220001000000003</v>
      </c>
      <c r="N750" s="6">
        <v>51.27</v>
      </c>
      <c r="O750" s="6">
        <v>50.970001000000003</v>
      </c>
      <c r="P750" s="6">
        <v>51.139999000000003</v>
      </c>
      <c r="Q750" s="6">
        <v>39.676642999999999</v>
      </c>
      <c r="R750" s="58">
        <v>1881300</v>
      </c>
    </row>
    <row r="751" spans="12:18" x14ac:dyDescent="0.25">
      <c r="L751" s="26">
        <v>40529</v>
      </c>
      <c r="M751" s="6">
        <v>51</v>
      </c>
      <c r="N751" s="6">
        <v>51.380001</v>
      </c>
      <c r="O751" s="6">
        <v>50.990001999999997</v>
      </c>
      <c r="P751" s="6">
        <v>51.23</v>
      </c>
      <c r="Q751" s="6">
        <v>39.746464000000003</v>
      </c>
      <c r="R751" s="58">
        <v>2611900</v>
      </c>
    </row>
    <row r="752" spans="12:18" x14ac:dyDescent="0.25">
      <c r="L752" s="26">
        <v>40532</v>
      </c>
      <c r="M752" s="6">
        <v>51.169998</v>
      </c>
      <c r="N752" s="6">
        <v>51.450001</v>
      </c>
      <c r="O752" s="6">
        <v>51.119999</v>
      </c>
      <c r="P752" s="6">
        <v>51.360000999999997</v>
      </c>
      <c r="Q752" s="6">
        <v>39.847327999999997</v>
      </c>
      <c r="R752" s="58">
        <v>1786400</v>
      </c>
    </row>
    <row r="753" spans="12:18" x14ac:dyDescent="0.25">
      <c r="L753" s="26">
        <v>40533</v>
      </c>
      <c r="M753" s="6">
        <v>51.5</v>
      </c>
      <c r="N753" s="6">
        <v>51.619999</v>
      </c>
      <c r="O753" s="6">
        <v>51.080002</v>
      </c>
      <c r="P753" s="6">
        <v>51.110000999999997</v>
      </c>
      <c r="Q753" s="6">
        <v>39.653362000000001</v>
      </c>
      <c r="R753" s="58">
        <v>1923200</v>
      </c>
    </row>
    <row r="754" spans="12:18" x14ac:dyDescent="0.25">
      <c r="L754" s="26">
        <v>40534</v>
      </c>
      <c r="M754" s="6">
        <v>50.93</v>
      </c>
      <c r="N754" s="6">
        <v>51.380001</v>
      </c>
      <c r="O754" s="6">
        <v>50.91</v>
      </c>
      <c r="P754" s="6">
        <v>51.299999</v>
      </c>
      <c r="Q754" s="6">
        <v>39.800773999999997</v>
      </c>
      <c r="R754" s="58">
        <v>1445200</v>
      </c>
    </row>
    <row r="755" spans="12:18" x14ac:dyDescent="0.25">
      <c r="L755" s="26">
        <v>40535</v>
      </c>
      <c r="M755" s="6">
        <v>51.34</v>
      </c>
      <c r="N755" s="6">
        <v>51.470001000000003</v>
      </c>
      <c r="O755" s="6">
        <v>51.049999</v>
      </c>
      <c r="P755" s="6">
        <v>51.150002000000001</v>
      </c>
      <c r="Q755" s="6">
        <v>39.684398999999999</v>
      </c>
      <c r="R755" s="58">
        <v>1558900</v>
      </c>
    </row>
    <row r="756" spans="12:18" x14ac:dyDescent="0.25">
      <c r="L756" s="26">
        <v>40539</v>
      </c>
      <c r="M756" s="6">
        <v>51.02</v>
      </c>
      <c r="N756" s="6">
        <v>51.290000999999997</v>
      </c>
      <c r="O756" s="6">
        <v>51</v>
      </c>
      <c r="P756" s="6">
        <v>51.07</v>
      </c>
      <c r="Q756" s="6">
        <v>39.622326000000001</v>
      </c>
      <c r="R756" s="58">
        <v>862300</v>
      </c>
    </row>
    <row r="757" spans="12:18" x14ac:dyDescent="0.25">
      <c r="L757" s="26">
        <v>40540</v>
      </c>
      <c r="M757" s="6">
        <v>51.139999000000003</v>
      </c>
      <c r="N757" s="6">
        <v>51.290000999999997</v>
      </c>
      <c r="O757" s="6">
        <v>51.049999</v>
      </c>
      <c r="P757" s="6">
        <v>51.150002000000001</v>
      </c>
      <c r="Q757" s="6">
        <v>39.684398999999999</v>
      </c>
      <c r="R757" s="58">
        <v>686800</v>
      </c>
    </row>
    <row r="758" spans="12:18" x14ac:dyDescent="0.25">
      <c r="L758" s="26">
        <v>40541</v>
      </c>
      <c r="M758" s="6">
        <v>51.169998</v>
      </c>
      <c r="N758" s="6">
        <v>51.490001999999997</v>
      </c>
      <c r="O758" s="6">
        <v>51.110000999999997</v>
      </c>
      <c r="P758" s="6">
        <v>51.110000999999997</v>
      </c>
      <c r="Q758" s="6">
        <v>39.653362000000001</v>
      </c>
      <c r="R758" s="58">
        <v>953600</v>
      </c>
    </row>
    <row r="759" spans="12:18" x14ac:dyDescent="0.25">
      <c r="L759" s="26">
        <v>40542</v>
      </c>
      <c r="M759" s="6">
        <v>51.02</v>
      </c>
      <c r="N759" s="6">
        <v>51.16</v>
      </c>
      <c r="O759" s="6">
        <v>50.970001000000003</v>
      </c>
      <c r="P759" s="6">
        <v>51.119999</v>
      </c>
      <c r="Q759" s="6">
        <v>39.661121000000001</v>
      </c>
      <c r="R759" s="58">
        <v>1076600</v>
      </c>
    </row>
    <row r="760" spans="12:18" x14ac:dyDescent="0.25">
      <c r="L760" s="26">
        <v>40543</v>
      </c>
      <c r="M760" s="6">
        <v>51.080002</v>
      </c>
      <c r="N760" s="6">
        <v>51.279998999999997</v>
      </c>
      <c r="O760" s="6">
        <v>51</v>
      </c>
      <c r="P760" s="6">
        <v>51.080002</v>
      </c>
      <c r="Q760" s="6">
        <v>39.630096000000002</v>
      </c>
      <c r="R760" s="58">
        <v>773800</v>
      </c>
    </row>
    <row r="761" spans="12:18" x14ac:dyDescent="0.25">
      <c r="L761" s="26">
        <v>40546</v>
      </c>
      <c r="M761" s="6">
        <v>51.23</v>
      </c>
      <c r="N761" s="6">
        <v>51.23</v>
      </c>
      <c r="O761" s="6">
        <v>50.740001999999997</v>
      </c>
      <c r="P761" s="6">
        <v>50.880001</v>
      </c>
      <c r="Q761" s="6">
        <v>39.474918000000002</v>
      </c>
      <c r="R761" s="58">
        <v>2659200</v>
      </c>
    </row>
    <row r="762" spans="12:18" x14ac:dyDescent="0.25">
      <c r="L762" s="26">
        <v>40547</v>
      </c>
      <c r="M762" s="6">
        <v>50.939999</v>
      </c>
      <c r="N762" s="6">
        <v>51.470001000000003</v>
      </c>
      <c r="O762" s="6">
        <v>50.580002</v>
      </c>
      <c r="P762" s="6">
        <v>51.290000999999997</v>
      </c>
      <c r="Q762" s="6">
        <v>39.793007000000003</v>
      </c>
      <c r="R762" s="58">
        <v>3093800</v>
      </c>
    </row>
    <row r="763" spans="12:18" x14ac:dyDescent="0.25">
      <c r="L763" s="26">
        <v>40548</v>
      </c>
      <c r="M763" s="6">
        <v>51.07</v>
      </c>
      <c r="N763" s="6">
        <v>51.5</v>
      </c>
      <c r="O763" s="6">
        <v>50.939999</v>
      </c>
      <c r="P763" s="6">
        <v>51.07</v>
      </c>
      <c r="Q763" s="6">
        <v>39.622326000000001</v>
      </c>
      <c r="R763" s="58">
        <v>2492900</v>
      </c>
    </row>
    <row r="764" spans="12:18" x14ac:dyDescent="0.25">
      <c r="L764" s="26">
        <v>40549</v>
      </c>
      <c r="M764" s="6">
        <v>51</v>
      </c>
      <c r="N764" s="6">
        <v>51.080002</v>
      </c>
      <c r="O764" s="6">
        <v>50.740001999999997</v>
      </c>
      <c r="P764" s="6">
        <v>50.919998</v>
      </c>
      <c r="Q764" s="6">
        <v>39.505951000000003</v>
      </c>
      <c r="R764" s="58">
        <v>1774700</v>
      </c>
    </row>
    <row r="765" spans="12:18" x14ac:dyDescent="0.25">
      <c r="L765" s="26">
        <v>40550</v>
      </c>
      <c r="M765" s="6">
        <v>50.869999</v>
      </c>
      <c r="N765" s="6">
        <v>51.209999000000003</v>
      </c>
      <c r="O765" s="6">
        <v>50.790000999999997</v>
      </c>
      <c r="P765" s="6">
        <v>51</v>
      </c>
      <c r="Q765" s="6">
        <v>39.568016</v>
      </c>
      <c r="R765" s="58">
        <v>1510500</v>
      </c>
    </row>
    <row r="766" spans="12:18" x14ac:dyDescent="0.25">
      <c r="L766" s="26">
        <v>40553</v>
      </c>
      <c r="M766" s="6">
        <v>50.919998</v>
      </c>
      <c r="N766" s="6">
        <v>51.209999000000003</v>
      </c>
      <c r="O766" s="6">
        <v>50.880001</v>
      </c>
      <c r="P766" s="6">
        <v>51.049999</v>
      </c>
      <c r="Q766" s="6">
        <v>39.606819000000002</v>
      </c>
      <c r="R766" s="58">
        <v>1257400</v>
      </c>
    </row>
    <row r="767" spans="12:18" x14ac:dyDescent="0.25">
      <c r="L767" s="26">
        <v>40554</v>
      </c>
      <c r="M767" s="6">
        <v>51.060001</v>
      </c>
      <c r="N767" s="6">
        <v>51.25</v>
      </c>
      <c r="O767" s="6">
        <v>50.880001</v>
      </c>
      <c r="P767" s="6">
        <v>50.919998</v>
      </c>
      <c r="Q767" s="6">
        <v>39.505951000000003</v>
      </c>
      <c r="R767" s="58">
        <v>1802300</v>
      </c>
    </row>
    <row r="768" spans="12:18" x14ac:dyDescent="0.25">
      <c r="L768" s="26">
        <v>40555</v>
      </c>
      <c r="M768" s="6">
        <v>50.990001999999997</v>
      </c>
      <c r="N768" s="6">
        <v>51.450001</v>
      </c>
      <c r="O768" s="6">
        <v>50.93</v>
      </c>
      <c r="P768" s="6">
        <v>51.110000999999997</v>
      </c>
      <c r="Q768" s="6">
        <v>39.653362000000001</v>
      </c>
      <c r="R768" s="58">
        <v>2129300</v>
      </c>
    </row>
    <row r="769" spans="12:18" x14ac:dyDescent="0.25">
      <c r="L769" s="26">
        <v>40556</v>
      </c>
      <c r="M769" s="6">
        <v>51.18</v>
      </c>
      <c r="N769" s="6">
        <v>51.639999000000003</v>
      </c>
      <c r="O769" s="6">
        <v>51.07</v>
      </c>
      <c r="P769" s="6">
        <v>51.5</v>
      </c>
      <c r="Q769" s="6">
        <v>39.955939999999998</v>
      </c>
      <c r="R769" s="58">
        <v>2385000</v>
      </c>
    </row>
    <row r="770" spans="12:18" x14ac:dyDescent="0.25">
      <c r="L770" s="26">
        <v>40557</v>
      </c>
      <c r="M770" s="6">
        <v>51.439999</v>
      </c>
      <c r="N770" s="6">
        <v>51.669998</v>
      </c>
      <c r="O770" s="6">
        <v>50.970001000000003</v>
      </c>
      <c r="P770" s="6">
        <v>51</v>
      </c>
      <c r="Q770" s="6">
        <v>39.568016</v>
      </c>
      <c r="R770" s="58">
        <v>2512800</v>
      </c>
    </row>
    <row r="771" spans="12:18" x14ac:dyDescent="0.25">
      <c r="L771" s="26">
        <v>40561</v>
      </c>
      <c r="M771" s="6">
        <v>51.169998</v>
      </c>
      <c r="N771" s="6">
        <v>51.23</v>
      </c>
      <c r="O771" s="6">
        <v>50.950001</v>
      </c>
      <c r="P771" s="6">
        <v>51.139999000000003</v>
      </c>
      <c r="Q771" s="6">
        <v>39.676642999999999</v>
      </c>
      <c r="R771" s="58">
        <v>2399300</v>
      </c>
    </row>
    <row r="772" spans="12:18" x14ac:dyDescent="0.25">
      <c r="L772" s="26">
        <v>40562</v>
      </c>
      <c r="M772" s="6">
        <v>51.209999000000003</v>
      </c>
      <c r="N772" s="6">
        <v>51.490001999999997</v>
      </c>
      <c r="O772" s="6">
        <v>50.939999</v>
      </c>
      <c r="P772" s="6">
        <v>51.049999</v>
      </c>
      <c r="Q772" s="6">
        <v>39.606819000000002</v>
      </c>
      <c r="R772" s="58">
        <v>1800000</v>
      </c>
    </row>
    <row r="773" spans="12:18" x14ac:dyDescent="0.25">
      <c r="L773" s="26">
        <v>40563</v>
      </c>
      <c r="M773" s="6">
        <v>50.889999000000003</v>
      </c>
      <c r="N773" s="6">
        <v>51.82</v>
      </c>
      <c r="O773" s="6">
        <v>50.889999000000003</v>
      </c>
      <c r="P773" s="6">
        <v>51.68</v>
      </c>
      <c r="Q773" s="6">
        <v>40.095596</v>
      </c>
      <c r="R773" s="58">
        <v>4730200</v>
      </c>
    </row>
    <row r="774" spans="12:18" x14ac:dyDescent="0.25">
      <c r="L774" s="26">
        <v>40564</v>
      </c>
      <c r="M774" s="6">
        <v>51.849997999999999</v>
      </c>
      <c r="N774" s="6">
        <v>52.040000999999997</v>
      </c>
      <c r="O774" s="6">
        <v>51.709999000000003</v>
      </c>
      <c r="P774" s="6">
        <v>51.950001</v>
      </c>
      <c r="Q774" s="6">
        <v>40.305064999999999</v>
      </c>
      <c r="R774" s="58">
        <v>2322300</v>
      </c>
    </row>
    <row r="775" spans="12:18" x14ac:dyDescent="0.25">
      <c r="L775" s="26">
        <v>40567</v>
      </c>
      <c r="M775" s="6">
        <v>52.009998000000003</v>
      </c>
      <c r="N775" s="6">
        <v>52.200001</v>
      </c>
      <c r="O775" s="6">
        <v>51.810001</v>
      </c>
      <c r="P775" s="6">
        <v>51.849997999999999</v>
      </c>
      <c r="Q775" s="6">
        <v>40.227474000000001</v>
      </c>
      <c r="R775" s="58">
        <v>1598100</v>
      </c>
    </row>
    <row r="776" spans="12:18" x14ac:dyDescent="0.25">
      <c r="L776" s="26">
        <v>40568</v>
      </c>
      <c r="M776" s="6">
        <v>51.830002</v>
      </c>
      <c r="N776" s="6">
        <v>51.990001999999997</v>
      </c>
      <c r="O776" s="6">
        <v>51.669998</v>
      </c>
      <c r="P776" s="6">
        <v>51.73</v>
      </c>
      <c r="Q776" s="6">
        <v>40.134383999999997</v>
      </c>
      <c r="R776" s="58">
        <v>2533500</v>
      </c>
    </row>
    <row r="777" spans="12:18" x14ac:dyDescent="0.25">
      <c r="L777" s="26">
        <v>40569</v>
      </c>
      <c r="M777" s="6">
        <v>51.91</v>
      </c>
      <c r="N777" s="6">
        <v>52.060001</v>
      </c>
      <c r="O777" s="6">
        <v>51.279998999999997</v>
      </c>
      <c r="P777" s="6">
        <v>51.5</v>
      </c>
      <c r="Q777" s="6">
        <v>39.955939999999998</v>
      </c>
      <c r="R777" s="58">
        <v>1994600</v>
      </c>
    </row>
    <row r="778" spans="12:18" x14ac:dyDescent="0.25">
      <c r="L778" s="26">
        <v>40570</v>
      </c>
      <c r="M778" s="6">
        <v>51.68</v>
      </c>
      <c r="N778" s="6">
        <v>51.68</v>
      </c>
      <c r="O778" s="6">
        <v>50.540000999999997</v>
      </c>
      <c r="P778" s="6">
        <v>50.849997999999999</v>
      </c>
      <c r="Q778" s="6">
        <v>39.451649000000003</v>
      </c>
      <c r="R778" s="58">
        <v>2686000</v>
      </c>
    </row>
    <row r="779" spans="12:18" x14ac:dyDescent="0.25">
      <c r="L779" s="26">
        <v>40571</v>
      </c>
      <c r="M779" s="6">
        <v>50.93</v>
      </c>
      <c r="N779" s="6">
        <v>51.32</v>
      </c>
      <c r="O779" s="6">
        <v>50.439999</v>
      </c>
      <c r="P779" s="6">
        <v>50.490001999999997</v>
      </c>
      <c r="Q779" s="6">
        <v>39.172333000000002</v>
      </c>
      <c r="R779" s="58">
        <v>1925900</v>
      </c>
    </row>
    <row r="780" spans="12:18" x14ac:dyDescent="0.25">
      <c r="L780" s="26">
        <v>40574</v>
      </c>
      <c r="M780" s="6">
        <v>50.560001</v>
      </c>
      <c r="N780" s="6">
        <v>50.630001</v>
      </c>
      <c r="O780" s="6">
        <v>50.029998999999997</v>
      </c>
      <c r="P780" s="6">
        <v>50.299999</v>
      </c>
      <c r="Q780" s="6">
        <v>39.024929</v>
      </c>
      <c r="R780" s="58">
        <v>2334000</v>
      </c>
    </row>
    <row r="781" spans="12:18" x14ac:dyDescent="0.25">
      <c r="L781" s="26">
        <v>40575</v>
      </c>
      <c r="M781" s="6">
        <v>50.32</v>
      </c>
      <c r="N781" s="6">
        <v>50.630001</v>
      </c>
      <c r="O781" s="6">
        <v>49.990001999999997</v>
      </c>
      <c r="P781" s="6">
        <v>50.200001</v>
      </c>
      <c r="Q781" s="6">
        <v>38.947346000000003</v>
      </c>
      <c r="R781" s="58">
        <v>2448200</v>
      </c>
    </row>
    <row r="782" spans="12:18" x14ac:dyDescent="0.25">
      <c r="L782" s="26">
        <v>40576</v>
      </c>
      <c r="M782" s="6">
        <v>50.259998000000003</v>
      </c>
      <c r="N782" s="6">
        <v>50.75</v>
      </c>
      <c r="O782" s="6">
        <v>50.139999000000003</v>
      </c>
      <c r="P782" s="6">
        <v>50.360000999999997</v>
      </c>
      <c r="Q782" s="6">
        <v>39.071491000000002</v>
      </c>
      <c r="R782" s="58">
        <v>3010000</v>
      </c>
    </row>
    <row r="783" spans="12:18" x14ac:dyDescent="0.25">
      <c r="L783" s="26">
        <v>40577</v>
      </c>
      <c r="M783" s="6">
        <v>51.25</v>
      </c>
      <c r="N783" s="6">
        <v>52.650002000000001</v>
      </c>
      <c r="O783" s="6">
        <v>50.740001999999997</v>
      </c>
      <c r="P783" s="6">
        <v>52.52</v>
      </c>
      <c r="Q783" s="6">
        <v>40.747311000000003</v>
      </c>
      <c r="R783" s="58">
        <v>8099600</v>
      </c>
    </row>
    <row r="784" spans="12:18" x14ac:dyDescent="0.25">
      <c r="L784" s="26">
        <v>40578</v>
      </c>
      <c r="M784" s="6">
        <v>52.91</v>
      </c>
      <c r="N784" s="6">
        <v>53.700001</v>
      </c>
      <c r="O784" s="6">
        <v>52.700001</v>
      </c>
      <c r="P784" s="6">
        <v>53.419998</v>
      </c>
      <c r="Q784" s="6">
        <v>41.445557000000001</v>
      </c>
      <c r="R784" s="58">
        <v>5566300</v>
      </c>
    </row>
    <row r="785" spans="12:18" x14ac:dyDescent="0.25">
      <c r="L785" s="26">
        <v>40581</v>
      </c>
      <c r="M785" s="6">
        <v>53.490001999999997</v>
      </c>
      <c r="N785" s="6">
        <v>53.759998000000003</v>
      </c>
      <c r="O785" s="6">
        <v>53.220001000000003</v>
      </c>
      <c r="P785" s="6">
        <v>53.25</v>
      </c>
      <c r="Q785" s="6">
        <v>41.313670999999999</v>
      </c>
      <c r="R785" s="58">
        <v>3264400</v>
      </c>
    </row>
    <row r="786" spans="12:18" x14ac:dyDescent="0.25">
      <c r="L786" s="26">
        <v>40582</v>
      </c>
      <c r="M786" s="6">
        <v>53.279998999999997</v>
      </c>
      <c r="N786" s="6">
        <v>53.669998</v>
      </c>
      <c r="O786" s="6">
        <v>53.150002000000001</v>
      </c>
      <c r="P786" s="6">
        <v>53.290000999999997</v>
      </c>
      <c r="Q786" s="6">
        <v>41.344707</v>
      </c>
      <c r="R786" s="58">
        <v>2882500</v>
      </c>
    </row>
    <row r="787" spans="12:18" x14ac:dyDescent="0.25">
      <c r="L787" s="26">
        <v>40583</v>
      </c>
      <c r="M787" s="6">
        <v>53.110000999999997</v>
      </c>
      <c r="N787" s="6">
        <v>53.27</v>
      </c>
      <c r="O787" s="6">
        <v>52.900002000000001</v>
      </c>
      <c r="P787" s="6">
        <v>53.099997999999999</v>
      </c>
      <c r="Q787" s="6">
        <v>41.197288999999998</v>
      </c>
      <c r="R787" s="58">
        <v>2191200</v>
      </c>
    </row>
    <row r="788" spans="12:18" x14ac:dyDescent="0.25">
      <c r="L788" s="26">
        <v>40584</v>
      </c>
      <c r="M788" s="6">
        <v>53.029998999999997</v>
      </c>
      <c r="N788" s="6">
        <v>53.23</v>
      </c>
      <c r="O788" s="6">
        <v>52.630001</v>
      </c>
      <c r="P788" s="6">
        <v>52.810001</v>
      </c>
      <c r="Q788" s="6">
        <v>40.972293999999998</v>
      </c>
      <c r="R788" s="58">
        <v>2440000</v>
      </c>
    </row>
    <row r="789" spans="12:18" x14ac:dyDescent="0.25">
      <c r="L789" s="26">
        <v>40585</v>
      </c>
      <c r="M789" s="6">
        <v>52.52</v>
      </c>
      <c r="N789" s="6">
        <v>53.200001</v>
      </c>
      <c r="O789" s="6">
        <v>52.25</v>
      </c>
      <c r="P789" s="6">
        <v>53.09</v>
      </c>
      <c r="Q789" s="6">
        <v>41.189532999999997</v>
      </c>
      <c r="R789" s="58">
        <v>1994400</v>
      </c>
    </row>
    <row r="790" spans="12:18" x14ac:dyDescent="0.25">
      <c r="L790" s="26">
        <v>40588</v>
      </c>
      <c r="M790" s="6">
        <v>53.18</v>
      </c>
      <c r="N790" s="6">
        <v>54.790000999999997</v>
      </c>
      <c r="O790" s="6">
        <v>52.950001</v>
      </c>
      <c r="P790" s="6">
        <v>53.48</v>
      </c>
      <c r="Q790" s="6">
        <v>41.492119000000002</v>
      </c>
      <c r="R790" s="58">
        <v>5199400</v>
      </c>
    </row>
    <row r="791" spans="12:18" x14ac:dyDescent="0.25">
      <c r="L791" s="26">
        <v>40589</v>
      </c>
      <c r="M791" s="6">
        <v>53.139999000000003</v>
      </c>
      <c r="N791" s="6">
        <v>53.490001999999997</v>
      </c>
      <c r="O791" s="6">
        <v>52.919998</v>
      </c>
      <c r="P791" s="6">
        <v>53</v>
      </c>
      <c r="Q791" s="6">
        <v>41.119717000000001</v>
      </c>
      <c r="R791" s="58">
        <v>2602200</v>
      </c>
    </row>
    <row r="792" spans="12:18" x14ac:dyDescent="0.25">
      <c r="L792" s="26">
        <v>40590</v>
      </c>
      <c r="M792" s="6">
        <v>53.169998</v>
      </c>
      <c r="N792" s="6">
        <v>53.18</v>
      </c>
      <c r="O792" s="6">
        <v>52.73</v>
      </c>
      <c r="P792" s="6">
        <v>52.93</v>
      </c>
      <c r="Q792" s="6">
        <v>41.065398999999999</v>
      </c>
      <c r="R792" s="58">
        <v>1703200</v>
      </c>
    </row>
    <row r="793" spans="12:18" x14ac:dyDescent="0.25">
      <c r="L793" s="26">
        <v>40591</v>
      </c>
      <c r="M793" s="6">
        <v>52.849997999999999</v>
      </c>
      <c r="N793" s="6">
        <v>53.16</v>
      </c>
      <c r="O793" s="6">
        <v>52.700001</v>
      </c>
      <c r="P793" s="6">
        <v>53</v>
      </c>
      <c r="Q793" s="6">
        <v>41.119717000000001</v>
      </c>
      <c r="R793" s="58">
        <v>1754000</v>
      </c>
    </row>
    <row r="794" spans="12:18" x14ac:dyDescent="0.25">
      <c r="L794" s="26">
        <v>40592</v>
      </c>
      <c r="M794" s="6">
        <v>53.060001</v>
      </c>
      <c r="N794" s="6">
        <v>53.060001</v>
      </c>
      <c r="O794" s="6">
        <v>52.59</v>
      </c>
      <c r="P794" s="6">
        <v>53.009998000000003</v>
      </c>
      <c r="Q794" s="6">
        <v>41.127464000000003</v>
      </c>
      <c r="R794" s="58">
        <v>2216300</v>
      </c>
    </row>
    <row r="795" spans="12:18" x14ac:dyDescent="0.25">
      <c r="L795" s="26">
        <v>40596</v>
      </c>
      <c r="M795" s="6">
        <v>52.889999000000003</v>
      </c>
      <c r="N795" s="6">
        <v>53.57</v>
      </c>
      <c r="O795" s="6">
        <v>52.889999000000003</v>
      </c>
      <c r="P795" s="6">
        <v>53.189999</v>
      </c>
      <c r="Q795" s="6">
        <v>41.267113000000002</v>
      </c>
      <c r="R795" s="58">
        <v>3432700</v>
      </c>
    </row>
    <row r="796" spans="12:18" x14ac:dyDescent="0.25">
      <c r="L796" s="26">
        <v>40597</v>
      </c>
      <c r="M796" s="6">
        <v>53.279998999999997</v>
      </c>
      <c r="N796" s="6">
        <v>54</v>
      </c>
      <c r="O796" s="6">
        <v>53.209999000000003</v>
      </c>
      <c r="P796" s="6">
        <v>53.459999000000003</v>
      </c>
      <c r="Q796" s="6">
        <v>41.476601000000002</v>
      </c>
      <c r="R796" s="58">
        <v>3784000</v>
      </c>
    </row>
    <row r="797" spans="12:18" x14ac:dyDescent="0.25">
      <c r="L797" s="26">
        <v>40598</v>
      </c>
      <c r="M797" s="6">
        <v>53.349997999999999</v>
      </c>
      <c r="N797" s="6">
        <v>53.689999</v>
      </c>
      <c r="O797" s="6">
        <v>53.080002</v>
      </c>
      <c r="P797" s="6">
        <v>53.099997999999999</v>
      </c>
      <c r="Q797" s="6">
        <v>41.197288999999998</v>
      </c>
      <c r="R797" s="58">
        <v>2585600</v>
      </c>
    </row>
    <row r="798" spans="12:18" x14ac:dyDescent="0.25">
      <c r="L798" s="26">
        <v>40599</v>
      </c>
      <c r="M798" s="6">
        <v>53.040000999999997</v>
      </c>
      <c r="N798" s="6">
        <v>53.450001</v>
      </c>
      <c r="O798" s="6">
        <v>52.700001</v>
      </c>
      <c r="P798" s="6">
        <v>53.150002000000001</v>
      </c>
      <c r="Q798" s="6">
        <v>41.553004999999999</v>
      </c>
      <c r="R798" s="58">
        <v>1830700</v>
      </c>
    </row>
    <row r="799" spans="12:18" x14ac:dyDescent="0.25">
      <c r="L799" s="26">
        <v>40602</v>
      </c>
      <c r="M799" s="6">
        <v>53.310001</v>
      </c>
      <c r="N799" s="6">
        <v>53.75</v>
      </c>
      <c r="O799" s="6">
        <v>53.150002000000001</v>
      </c>
      <c r="P799" s="6">
        <v>53.560001</v>
      </c>
      <c r="Q799" s="6">
        <v>41.873550000000002</v>
      </c>
      <c r="R799" s="58">
        <v>2496800</v>
      </c>
    </row>
    <row r="800" spans="12:18" x14ac:dyDescent="0.25">
      <c r="L800" s="26">
        <v>40603</v>
      </c>
      <c r="M800" s="6">
        <v>53.52</v>
      </c>
      <c r="N800" s="6">
        <v>53.830002</v>
      </c>
      <c r="O800" s="6">
        <v>52.970001000000003</v>
      </c>
      <c r="P800" s="6">
        <v>52.990001999999997</v>
      </c>
      <c r="Q800" s="6">
        <v>41.427928999999999</v>
      </c>
      <c r="R800" s="58">
        <v>1804400</v>
      </c>
    </row>
    <row r="801" spans="12:18" x14ac:dyDescent="0.25">
      <c r="L801" s="26">
        <v>40604</v>
      </c>
      <c r="M801" s="6">
        <v>52.849997999999999</v>
      </c>
      <c r="N801" s="6">
        <v>53.27</v>
      </c>
      <c r="O801" s="6">
        <v>52.720001000000003</v>
      </c>
      <c r="P801" s="6">
        <v>53.169998</v>
      </c>
      <c r="Q801" s="6">
        <v>41.568644999999997</v>
      </c>
      <c r="R801" s="58">
        <v>2159600</v>
      </c>
    </row>
    <row r="802" spans="12:18" x14ac:dyDescent="0.25">
      <c r="L802" s="26">
        <v>40605</v>
      </c>
      <c r="M802" s="6">
        <v>53.32</v>
      </c>
      <c r="N802" s="6">
        <v>54.040000999999997</v>
      </c>
      <c r="O802" s="6">
        <v>53.32</v>
      </c>
      <c r="P802" s="6">
        <v>53.970001000000003</v>
      </c>
      <c r="Q802" s="6">
        <v>42.194099000000001</v>
      </c>
      <c r="R802" s="58">
        <v>2822500</v>
      </c>
    </row>
    <row r="803" spans="12:18" x14ac:dyDescent="0.25">
      <c r="L803" s="26">
        <v>40606</v>
      </c>
      <c r="M803" s="6">
        <v>53.830002</v>
      </c>
      <c r="N803" s="6">
        <v>54.5</v>
      </c>
      <c r="O803" s="6">
        <v>53.830002</v>
      </c>
      <c r="P803" s="6">
        <v>54.330002</v>
      </c>
      <c r="Q803" s="6">
        <v>42.475552</v>
      </c>
      <c r="R803" s="58">
        <v>3222100</v>
      </c>
    </row>
    <row r="804" spans="12:18" x14ac:dyDescent="0.25">
      <c r="L804" s="26">
        <v>40609</v>
      </c>
      <c r="M804" s="6">
        <v>54.32</v>
      </c>
      <c r="N804" s="6">
        <v>54.490001999999997</v>
      </c>
      <c r="O804" s="6">
        <v>53.889999000000003</v>
      </c>
      <c r="P804" s="6">
        <v>54.169998</v>
      </c>
      <c r="Q804" s="6">
        <v>42.350445000000001</v>
      </c>
      <c r="R804" s="58">
        <v>2003700</v>
      </c>
    </row>
    <row r="805" spans="12:18" x14ac:dyDescent="0.25">
      <c r="L805" s="26">
        <v>40610</v>
      </c>
      <c r="M805" s="6">
        <v>54.16</v>
      </c>
      <c r="N805" s="6">
        <v>54.59</v>
      </c>
      <c r="O805" s="6">
        <v>54.049999</v>
      </c>
      <c r="P805" s="6">
        <v>54.540000999999997</v>
      </c>
      <c r="Q805" s="6">
        <v>42.639713</v>
      </c>
      <c r="R805" s="58">
        <v>1351700</v>
      </c>
    </row>
    <row r="806" spans="12:18" x14ac:dyDescent="0.25">
      <c r="L806" s="26">
        <v>40611</v>
      </c>
      <c r="M806" s="6">
        <v>54.459999000000003</v>
      </c>
      <c r="N806" s="6">
        <v>54.959999000000003</v>
      </c>
      <c r="O806" s="6">
        <v>54.450001</v>
      </c>
      <c r="P806" s="6">
        <v>54.900002000000001</v>
      </c>
      <c r="Q806" s="6">
        <v>42.921168999999999</v>
      </c>
      <c r="R806" s="58">
        <v>1240200</v>
      </c>
    </row>
    <row r="807" spans="12:18" x14ac:dyDescent="0.25">
      <c r="L807" s="26">
        <v>40612</v>
      </c>
      <c r="M807" s="6">
        <v>54.400002000000001</v>
      </c>
      <c r="N807" s="6">
        <v>55</v>
      </c>
      <c r="O807" s="6">
        <v>54.349997999999999</v>
      </c>
      <c r="P807" s="6">
        <v>54.900002000000001</v>
      </c>
      <c r="Q807" s="6">
        <v>42.921168999999999</v>
      </c>
      <c r="R807" s="58">
        <v>2272900</v>
      </c>
    </row>
    <row r="808" spans="12:18" x14ac:dyDescent="0.25">
      <c r="L808" s="26">
        <v>40613</v>
      </c>
      <c r="M808" s="6">
        <v>54.790000999999997</v>
      </c>
      <c r="N808" s="6">
        <v>55.41</v>
      </c>
      <c r="O808" s="6">
        <v>54.790000999999997</v>
      </c>
      <c r="P808" s="6">
        <v>55.040000999999997</v>
      </c>
      <c r="Q808" s="6">
        <v>43.030631999999997</v>
      </c>
      <c r="R808" s="58">
        <v>2687900</v>
      </c>
    </row>
    <row r="809" spans="12:18" x14ac:dyDescent="0.25">
      <c r="L809" s="26">
        <v>40616</v>
      </c>
      <c r="M809" s="6">
        <v>54.860000999999997</v>
      </c>
      <c r="N809" s="6">
        <v>54.900002000000001</v>
      </c>
      <c r="O809" s="6">
        <v>54.41</v>
      </c>
      <c r="P809" s="6">
        <v>54.540000999999997</v>
      </c>
      <c r="Q809" s="6">
        <v>42.639713</v>
      </c>
      <c r="R809" s="58">
        <v>1675400</v>
      </c>
    </row>
    <row r="810" spans="12:18" x14ac:dyDescent="0.25">
      <c r="L810" s="26">
        <v>40617</v>
      </c>
      <c r="M810" s="6">
        <v>53.880001</v>
      </c>
      <c r="N810" s="6">
        <v>54.369999</v>
      </c>
      <c r="O810" s="6">
        <v>53.75</v>
      </c>
      <c r="P810" s="6">
        <v>54.07</v>
      </c>
      <c r="Q810" s="6">
        <v>42.272266000000002</v>
      </c>
      <c r="R810" s="58">
        <v>2120900</v>
      </c>
    </row>
    <row r="811" spans="12:18" x14ac:dyDescent="0.25">
      <c r="L811" s="26">
        <v>40618</v>
      </c>
      <c r="M811" s="6">
        <v>54.18</v>
      </c>
      <c r="N811" s="6">
        <v>54.23</v>
      </c>
      <c r="O811" s="6">
        <v>53.450001</v>
      </c>
      <c r="P811" s="6">
        <v>53.650002000000001</v>
      </c>
      <c r="Q811" s="6">
        <v>41.943919999999999</v>
      </c>
      <c r="R811" s="58">
        <v>2139700</v>
      </c>
    </row>
    <row r="812" spans="12:18" x14ac:dyDescent="0.25">
      <c r="L812" s="26">
        <v>40619</v>
      </c>
      <c r="M812" s="6">
        <v>53.98</v>
      </c>
      <c r="N812" s="6">
        <v>54.029998999999997</v>
      </c>
      <c r="O812" s="6">
        <v>53.110000999999997</v>
      </c>
      <c r="P812" s="6">
        <v>53.450001</v>
      </c>
      <c r="Q812" s="6">
        <v>41.787559999999999</v>
      </c>
      <c r="R812" s="58">
        <v>2439700</v>
      </c>
    </row>
    <row r="813" spans="12:18" x14ac:dyDescent="0.25">
      <c r="L813" s="26">
        <v>40620</v>
      </c>
      <c r="M813" s="6">
        <v>53.84</v>
      </c>
      <c r="N813" s="6">
        <v>54.310001</v>
      </c>
      <c r="O813" s="6">
        <v>53.810001</v>
      </c>
      <c r="P813" s="6">
        <v>54.169998</v>
      </c>
      <c r="Q813" s="6">
        <v>42.350445000000001</v>
      </c>
      <c r="R813" s="58">
        <v>2072400</v>
      </c>
    </row>
    <row r="814" spans="12:18" x14ac:dyDescent="0.25">
      <c r="L814" s="26">
        <v>40623</v>
      </c>
      <c r="M814" s="6">
        <v>54.380001</v>
      </c>
      <c r="N814" s="6">
        <v>54.5</v>
      </c>
      <c r="O814" s="6">
        <v>54</v>
      </c>
      <c r="P814" s="6">
        <v>54.099997999999999</v>
      </c>
      <c r="Q814" s="6">
        <v>42.295726999999999</v>
      </c>
      <c r="R814" s="58">
        <v>1892600</v>
      </c>
    </row>
    <row r="815" spans="12:18" x14ac:dyDescent="0.25">
      <c r="L815" s="26">
        <v>40624</v>
      </c>
      <c r="M815" s="6">
        <v>54.09</v>
      </c>
      <c r="N815" s="6">
        <v>54.32</v>
      </c>
      <c r="O815" s="6">
        <v>53.880001</v>
      </c>
      <c r="P815" s="6">
        <v>53.970001000000003</v>
      </c>
      <c r="Q815" s="6">
        <v>42.194099000000001</v>
      </c>
      <c r="R815" s="58">
        <v>2205800</v>
      </c>
    </row>
    <row r="816" spans="12:18" x14ac:dyDescent="0.25">
      <c r="L816" s="26">
        <v>40625</v>
      </c>
      <c r="M816" s="6">
        <v>53.849997999999999</v>
      </c>
      <c r="N816" s="6">
        <v>54.060001</v>
      </c>
      <c r="O816" s="6">
        <v>53.57</v>
      </c>
      <c r="P816" s="6">
        <v>53.66</v>
      </c>
      <c r="Q816" s="6">
        <v>41.951743999999998</v>
      </c>
      <c r="R816" s="58">
        <v>2197600</v>
      </c>
    </row>
    <row r="817" spans="12:18" x14ac:dyDescent="0.25">
      <c r="L817" s="26">
        <v>40626</v>
      </c>
      <c r="M817" s="6">
        <v>53.720001000000003</v>
      </c>
      <c r="N817" s="6">
        <v>53.860000999999997</v>
      </c>
      <c r="O817" s="6">
        <v>53.48</v>
      </c>
      <c r="P817" s="6">
        <v>53.59</v>
      </c>
      <c r="Q817" s="6">
        <v>41.897015000000003</v>
      </c>
      <c r="R817" s="58">
        <v>1729000</v>
      </c>
    </row>
    <row r="818" spans="12:18" x14ac:dyDescent="0.25">
      <c r="L818" s="26">
        <v>40627</v>
      </c>
      <c r="M818" s="6">
        <v>53.740001999999997</v>
      </c>
      <c r="N818" s="6">
        <v>53.77</v>
      </c>
      <c r="O818" s="6">
        <v>53.290000999999997</v>
      </c>
      <c r="P818" s="6">
        <v>53.389999000000003</v>
      </c>
      <c r="Q818" s="6">
        <v>41.740653999999999</v>
      </c>
      <c r="R818" s="58">
        <v>1597700</v>
      </c>
    </row>
    <row r="819" spans="12:18" x14ac:dyDescent="0.25">
      <c r="L819" s="26">
        <v>40630</v>
      </c>
      <c r="M819" s="6">
        <v>53.330002</v>
      </c>
      <c r="N819" s="6">
        <v>54</v>
      </c>
      <c r="O819" s="6">
        <v>53.279998999999997</v>
      </c>
      <c r="P819" s="6">
        <v>53.740001999999997</v>
      </c>
      <c r="Q819" s="6">
        <v>42.014290000000003</v>
      </c>
      <c r="R819" s="58">
        <v>1415800</v>
      </c>
    </row>
    <row r="820" spans="12:18" x14ac:dyDescent="0.25">
      <c r="L820" s="26">
        <v>40631</v>
      </c>
      <c r="M820" s="6">
        <v>53.59</v>
      </c>
      <c r="N820" s="6">
        <v>53.970001000000003</v>
      </c>
      <c r="O820" s="6">
        <v>53.560001</v>
      </c>
      <c r="P820" s="6">
        <v>53.880001</v>
      </c>
      <c r="Q820" s="6">
        <v>42.123725999999998</v>
      </c>
      <c r="R820" s="58">
        <v>1363400</v>
      </c>
    </row>
    <row r="821" spans="12:18" x14ac:dyDescent="0.25">
      <c r="L821" s="26">
        <v>40632</v>
      </c>
      <c r="M821" s="6">
        <v>53.900002000000001</v>
      </c>
      <c r="N821" s="6">
        <v>54.18</v>
      </c>
      <c r="O821" s="6">
        <v>53.689999</v>
      </c>
      <c r="P821" s="6">
        <v>53.900002000000001</v>
      </c>
      <c r="Q821" s="6">
        <v>42.13937</v>
      </c>
      <c r="R821" s="58">
        <v>2237500</v>
      </c>
    </row>
    <row r="822" spans="12:18" x14ac:dyDescent="0.25">
      <c r="L822" s="26">
        <v>40633</v>
      </c>
      <c r="M822" s="6">
        <v>53.790000999999997</v>
      </c>
      <c r="N822" s="6">
        <v>54.450001</v>
      </c>
      <c r="O822" s="6">
        <v>53.790000999999997</v>
      </c>
      <c r="P822" s="6">
        <v>53.98</v>
      </c>
      <c r="Q822" s="6">
        <v>42.201903999999999</v>
      </c>
      <c r="R822" s="58">
        <v>1656600</v>
      </c>
    </row>
    <row r="823" spans="12:18" x14ac:dyDescent="0.25">
      <c r="L823" s="26">
        <v>40634</v>
      </c>
      <c r="M823" s="6">
        <v>53.98</v>
      </c>
      <c r="N823" s="6">
        <v>54.189999</v>
      </c>
      <c r="O823" s="6">
        <v>53.939999</v>
      </c>
      <c r="P823" s="6">
        <v>54</v>
      </c>
      <c r="Q823" s="6">
        <v>42.217551999999998</v>
      </c>
      <c r="R823" s="58">
        <v>1455900</v>
      </c>
    </row>
    <row r="824" spans="12:18" x14ac:dyDescent="0.25">
      <c r="L824" s="26">
        <v>40637</v>
      </c>
      <c r="M824" s="6">
        <v>54.130001</v>
      </c>
      <c r="N824" s="6">
        <v>54.23</v>
      </c>
      <c r="O824" s="6">
        <v>54.009998000000003</v>
      </c>
      <c r="P824" s="6">
        <v>54.23</v>
      </c>
      <c r="Q824" s="6">
        <v>42.397362000000001</v>
      </c>
      <c r="R824" s="58">
        <v>1194400</v>
      </c>
    </row>
    <row r="825" spans="12:18" x14ac:dyDescent="0.25">
      <c r="L825" s="26">
        <v>40638</v>
      </c>
      <c r="M825" s="6">
        <v>54.080002</v>
      </c>
      <c r="N825" s="6">
        <v>54.23</v>
      </c>
      <c r="O825" s="6">
        <v>53.93</v>
      </c>
      <c r="P825" s="6">
        <v>53.950001</v>
      </c>
      <c r="Q825" s="6">
        <v>42.178455</v>
      </c>
      <c r="R825" s="58">
        <v>1326300</v>
      </c>
    </row>
    <row r="826" spans="12:18" x14ac:dyDescent="0.25">
      <c r="L826" s="26">
        <v>40639</v>
      </c>
      <c r="M826" s="6">
        <v>54.080002</v>
      </c>
      <c r="N826" s="6">
        <v>54.450001</v>
      </c>
      <c r="O826" s="6">
        <v>53.919998</v>
      </c>
      <c r="P826" s="6">
        <v>54.259998000000003</v>
      </c>
      <c r="Q826" s="6">
        <v>42.420825999999998</v>
      </c>
      <c r="R826" s="58">
        <v>884100</v>
      </c>
    </row>
    <row r="827" spans="12:18" x14ac:dyDescent="0.25">
      <c r="L827" s="26">
        <v>40640</v>
      </c>
      <c r="M827" s="6">
        <v>54.18</v>
      </c>
      <c r="N827" s="6">
        <v>54.240001999999997</v>
      </c>
      <c r="O827" s="6">
        <v>53.919998</v>
      </c>
      <c r="P827" s="6">
        <v>54.029998999999997</v>
      </c>
      <c r="Q827" s="6">
        <v>42.241005000000001</v>
      </c>
      <c r="R827" s="58">
        <v>819500</v>
      </c>
    </row>
    <row r="828" spans="12:18" x14ac:dyDescent="0.25">
      <c r="L828" s="26">
        <v>40641</v>
      </c>
      <c r="M828" s="6">
        <v>54.200001</v>
      </c>
      <c r="N828" s="6">
        <v>54.32</v>
      </c>
      <c r="O828" s="6">
        <v>53.799999</v>
      </c>
      <c r="P828" s="6">
        <v>53.939999</v>
      </c>
      <c r="Q828" s="6">
        <v>42.170639000000001</v>
      </c>
      <c r="R828" s="58">
        <v>846800</v>
      </c>
    </row>
    <row r="829" spans="12:18" x14ac:dyDescent="0.25">
      <c r="L829" s="26">
        <v>40644</v>
      </c>
      <c r="M829" s="6">
        <v>54.080002</v>
      </c>
      <c r="N829" s="6">
        <v>54.799999</v>
      </c>
      <c r="O829" s="6">
        <v>53.990001999999997</v>
      </c>
      <c r="P829" s="6">
        <v>54.709999000000003</v>
      </c>
      <c r="Q829" s="6">
        <v>42.772616999999997</v>
      </c>
      <c r="R829" s="58">
        <v>2150000</v>
      </c>
    </row>
    <row r="830" spans="12:18" x14ac:dyDescent="0.25">
      <c r="L830" s="26">
        <v>40645</v>
      </c>
      <c r="M830" s="6">
        <v>54.57</v>
      </c>
      <c r="N830" s="6">
        <v>54.93</v>
      </c>
      <c r="O830" s="6">
        <v>54.400002000000001</v>
      </c>
      <c r="P830" s="6">
        <v>54.650002000000001</v>
      </c>
      <c r="Q830" s="6">
        <v>42.725718999999998</v>
      </c>
      <c r="R830" s="58">
        <v>1321300</v>
      </c>
    </row>
    <row r="831" spans="12:18" x14ac:dyDescent="0.25">
      <c r="L831" s="26">
        <v>40646</v>
      </c>
      <c r="M831" s="6">
        <v>54.669998</v>
      </c>
      <c r="N831" s="6">
        <v>54.970001000000003</v>
      </c>
      <c r="O831" s="6">
        <v>54.450001</v>
      </c>
      <c r="P831" s="6">
        <v>54.889999000000003</v>
      </c>
      <c r="Q831" s="6">
        <v>42.913356999999998</v>
      </c>
      <c r="R831" s="58">
        <v>1192100</v>
      </c>
    </row>
    <row r="832" spans="12:18" x14ac:dyDescent="0.25">
      <c r="L832" s="26">
        <v>40647</v>
      </c>
      <c r="M832" s="6">
        <v>54.75</v>
      </c>
      <c r="N832" s="6">
        <v>55.349997999999999</v>
      </c>
      <c r="O832" s="6">
        <v>54.639999000000003</v>
      </c>
      <c r="P832" s="6">
        <v>55.25</v>
      </c>
      <c r="Q832" s="6">
        <v>43.194808999999999</v>
      </c>
      <c r="R832" s="58">
        <v>1944200</v>
      </c>
    </row>
    <row r="833" spans="12:18" x14ac:dyDescent="0.25">
      <c r="L833" s="26">
        <v>40648</v>
      </c>
      <c r="M833" s="6">
        <v>55.380001</v>
      </c>
      <c r="N833" s="6">
        <v>55.619999</v>
      </c>
      <c r="O833" s="6">
        <v>55.18</v>
      </c>
      <c r="P833" s="6">
        <v>55.369999</v>
      </c>
      <c r="Q833" s="6">
        <v>43.288628000000003</v>
      </c>
      <c r="R833" s="58">
        <v>1637500</v>
      </c>
    </row>
    <row r="834" spans="12:18" x14ac:dyDescent="0.25">
      <c r="L834" s="26">
        <v>40651</v>
      </c>
      <c r="M834" s="6">
        <v>55.150002000000001</v>
      </c>
      <c r="N834" s="6">
        <v>55.259998000000003</v>
      </c>
      <c r="O834" s="6">
        <v>54.669998</v>
      </c>
      <c r="P834" s="6">
        <v>55.169998</v>
      </c>
      <c r="Q834" s="6">
        <v>43.132258999999998</v>
      </c>
      <c r="R834" s="58">
        <v>1850200</v>
      </c>
    </row>
    <row r="835" spans="12:18" x14ac:dyDescent="0.25">
      <c r="L835" s="26">
        <v>40652</v>
      </c>
      <c r="M835" s="6">
        <v>55.110000999999997</v>
      </c>
      <c r="N835" s="6">
        <v>55.23</v>
      </c>
      <c r="O835" s="6">
        <v>54.91</v>
      </c>
      <c r="P835" s="6">
        <v>55.200001</v>
      </c>
      <c r="Q835" s="6">
        <v>43.155720000000002</v>
      </c>
      <c r="R835" s="58">
        <v>1463200</v>
      </c>
    </row>
    <row r="836" spans="12:18" x14ac:dyDescent="0.25">
      <c r="L836" s="26">
        <v>40653</v>
      </c>
      <c r="M836" s="6">
        <v>55.450001</v>
      </c>
      <c r="N836" s="6">
        <v>55.700001</v>
      </c>
      <c r="O836" s="6">
        <v>55.330002</v>
      </c>
      <c r="P836" s="6">
        <v>55.59</v>
      </c>
      <c r="Q836" s="6">
        <v>43.460613000000002</v>
      </c>
      <c r="R836" s="58">
        <v>1358900</v>
      </c>
    </row>
    <row r="837" spans="12:18" x14ac:dyDescent="0.25">
      <c r="L837" s="26">
        <v>40654</v>
      </c>
      <c r="M837" s="6">
        <v>55.790000999999997</v>
      </c>
      <c r="N837" s="6">
        <v>55.790000999999997</v>
      </c>
      <c r="O837" s="6">
        <v>55.200001</v>
      </c>
      <c r="P837" s="6">
        <v>55.380001</v>
      </c>
      <c r="Q837" s="6">
        <v>43.296429000000003</v>
      </c>
      <c r="R837" s="58">
        <v>748800</v>
      </c>
    </row>
    <row r="838" spans="12:18" x14ac:dyDescent="0.25">
      <c r="L838" s="26">
        <v>40658</v>
      </c>
      <c r="M838" s="6">
        <v>55.459999000000003</v>
      </c>
      <c r="N838" s="6">
        <v>55.459999000000003</v>
      </c>
      <c r="O838" s="6">
        <v>55.09</v>
      </c>
      <c r="P838" s="6">
        <v>55.34</v>
      </c>
      <c r="Q838" s="6">
        <v>43.265166999999998</v>
      </c>
      <c r="R838" s="58">
        <v>1105000</v>
      </c>
    </row>
    <row r="839" spans="12:18" x14ac:dyDescent="0.25">
      <c r="L839" s="26">
        <v>40659</v>
      </c>
      <c r="M839" s="6">
        <v>55.360000999999997</v>
      </c>
      <c r="N839" s="6">
        <v>55.860000999999997</v>
      </c>
      <c r="O839" s="6">
        <v>55.360000999999997</v>
      </c>
      <c r="P839" s="6">
        <v>55.759998000000003</v>
      </c>
      <c r="Q839" s="6">
        <v>43.593528999999997</v>
      </c>
      <c r="R839" s="58">
        <v>1600000</v>
      </c>
    </row>
    <row r="840" spans="12:18" x14ac:dyDescent="0.25">
      <c r="L840" s="26">
        <v>40660</v>
      </c>
      <c r="M840" s="6">
        <v>55.810001</v>
      </c>
      <c r="N840" s="6">
        <v>56.369999</v>
      </c>
      <c r="O840" s="6">
        <v>55.709999000000003</v>
      </c>
      <c r="P840" s="6">
        <v>56.34</v>
      </c>
      <c r="Q840" s="6">
        <v>44.046973999999999</v>
      </c>
      <c r="R840" s="58">
        <v>2042400</v>
      </c>
    </row>
    <row r="841" spans="12:18" x14ac:dyDescent="0.25">
      <c r="L841" s="26">
        <v>40661</v>
      </c>
      <c r="M841" s="6">
        <v>56.34</v>
      </c>
      <c r="N841" s="6">
        <v>56.91</v>
      </c>
      <c r="O841" s="6">
        <v>56.099997999999999</v>
      </c>
      <c r="P841" s="6">
        <v>56.84</v>
      </c>
      <c r="Q841" s="6">
        <v>44.437880999999997</v>
      </c>
      <c r="R841" s="58">
        <v>1747400</v>
      </c>
    </row>
    <row r="842" spans="12:18" x14ac:dyDescent="0.25">
      <c r="L842" s="26">
        <v>40662</v>
      </c>
      <c r="M842" s="6">
        <v>56.77</v>
      </c>
      <c r="N842" s="6">
        <v>57.419998</v>
      </c>
      <c r="O842" s="6">
        <v>56.73</v>
      </c>
      <c r="P842" s="6">
        <v>57.27</v>
      </c>
      <c r="Q842" s="6">
        <v>44.774054999999997</v>
      </c>
      <c r="R842" s="58">
        <v>1867900</v>
      </c>
    </row>
    <row r="843" spans="12:18" x14ac:dyDescent="0.25">
      <c r="L843" s="26">
        <v>40665</v>
      </c>
      <c r="M843" s="6">
        <v>57.189999</v>
      </c>
      <c r="N843" s="6">
        <v>57.490001999999997</v>
      </c>
      <c r="O843" s="6">
        <v>57.130001</v>
      </c>
      <c r="P843" s="6">
        <v>57.27</v>
      </c>
      <c r="Q843" s="6">
        <v>44.774054999999997</v>
      </c>
      <c r="R843" s="58">
        <v>2478100</v>
      </c>
    </row>
    <row r="844" spans="12:18" x14ac:dyDescent="0.25">
      <c r="L844" s="26">
        <v>40666</v>
      </c>
      <c r="M844" s="6">
        <v>57.040000999999997</v>
      </c>
      <c r="N844" s="6">
        <v>57.5</v>
      </c>
      <c r="O844" s="6">
        <v>56.959999000000003</v>
      </c>
      <c r="P844" s="6">
        <v>57.439999</v>
      </c>
      <c r="Q844" s="6">
        <v>44.906975000000003</v>
      </c>
      <c r="R844" s="58">
        <v>2224400</v>
      </c>
    </row>
    <row r="845" spans="12:18" x14ac:dyDescent="0.25">
      <c r="L845" s="26">
        <v>40667</v>
      </c>
      <c r="M845" s="6">
        <v>56.43</v>
      </c>
      <c r="N845" s="6">
        <v>57.029998999999997</v>
      </c>
      <c r="O845" s="6">
        <v>56</v>
      </c>
      <c r="P845" s="6">
        <v>56.759998000000003</v>
      </c>
      <c r="Q845" s="6">
        <v>44.375335999999997</v>
      </c>
      <c r="R845" s="58">
        <v>5664100</v>
      </c>
    </row>
    <row r="846" spans="12:18" x14ac:dyDescent="0.25">
      <c r="L846" s="26">
        <v>40668</v>
      </c>
      <c r="M846" s="6">
        <v>56.59</v>
      </c>
      <c r="N846" s="6">
        <v>57.16</v>
      </c>
      <c r="O846" s="6">
        <v>56.400002000000001</v>
      </c>
      <c r="P846" s="6">
        <v>56.549999</v>
      </c>
      <c r="Q846" s="6">
        <v>44.211154999999998</v>
      </c>
      <c r="R846" s="58">
        <v>2603500</v>
      </c>
    </row>
    <row r="847" spans="12:18" x14ac:dyDescent="0.25">
      <c r="L847" s="26">
        <v>40669</v>
      </c>
      <c r="M847" s="6">
        <v>56.880001</v>
      </c>
      <c r="N847" s="6">
        <v>57.369999</v>
      </c>
      <c r="O847" s="6">
        <v>56.59</v>
      </c>
      <c r="P847" s="6">
        <v>56.75</v>
      </c>
      <c r="Q847" s="6">
        <v>44.367511999999998</v>
      </c>
      <c r="R847" s="58">
        <v>1766100</v>
      </c>
    </row>
    <row r="848" spans="12:18" x14ac:dyDescent="0.25">
      <c r="L848" s="26">
        <v>40672</v>
      </c>
      <c r="M848" s="6">
        <v>56.75</v>
      </c>
      <c r="N848" s="6">
        <v>56.759998000000003</v>
      </c>
      <c r="O848" s="6">
        <v>56.360000999999997</v>
      </c>
      <c r="P848" s="6">
        <v>56.41</v>
      </c>
      <c r="Q848" s="6">
        <v>44.101711000000002</v>
      </c>
      <c r="R848" s="58">
        <v>1667400</v>
      </c>
    </row>
    <row r="849" spans="12:18" x14ac:dyDescent="0.25">
      <c r="L849" s="26">
        <v>40673</v>
      </c>
      <c r="M849" s="6">
        <v>56.5</v>
      </c>
      <c r="N849" s="6">
        <v>57.09</v>
      </c>
      <c r="O849" s="6">
        <v>56.41</v>
      </c>
      <c r="P849" s="6">
        <v>56.990001999999997</v>
      </c>
      <c r="Q849" s="6">
        <v>44.555149</v>
      </c>
      <c r="R849" s="58">
        <v>2396500</v>
      </c>
    </row>
    <row r="850" spans="12:18" x14ac:dyDescent="0.25">
      <c r="L850" s="26">
        <v>40674</v>
      </c>
      <c r="M850" s="6">
        <v>57</v>
      </c>
      <c r="N850" s="6">
        <v>57.110000999999997</v>
      </c>
      <c r="O850" s="6">
        <v>56.470001000000003</v>
      </c>
      <c r="P850" s="6">
        <v>56.66</v>
      </c>
      <c r="Q850" s="6">
        <v>44.297150000000002</v>
      </c>
      <c r="R850" s="58">
        <v>2002200</v>
      </c>
    </row>
    <row r="851" spans="12:18" x14ac:dyDescent="0.25">
      <c r="L851" s="26">
        <v>40675</v>
      </c>
      <c r="M851" s="6">
        <v>56.549999</v>
      </c>
      <c r="N851" s="6">
        <v>57.669998</v>
      </c>
      <c r="O851" s="6">
        <v>56.549999</v>
      </c>
      <c r="P851" s="6">
        <v>57.5</v>
      </c>
      <c r="Q851" s="6">
        <v>44.953868999999997</v>
      </c>
      <c r="R851" s="58">
        <v>2342200</v>
      </c>
    </row>
    <row r="852" spans="12:18" x14ac:dyDescent="0.25">
      <c r="L852" s="26">
        <v>40676</v>
      </c>
      <c r="M852" s="6">
        <v>57.459999000000003</v>
      </c>
      <c r="N852" s="6">
        <v>57.700001</v>
      </c>
      <c r="O852" s="6">
        <v>57.290000999999997</v>
      </c>
      <c r="P852" s="6">
        <v>57.560001</v>
      </c>
      <c r="Q852" s="6">
        <v>45.000785999999998</v>
      </c>
      <c r="R852" s="58">
        <v>1430800</v>
      </c>
    </row>
    <row r="853" spans="12:18" x14ac:dyDescent="0.25">
      <c r="L853" s="26">
        <v>40679</v>
      </c>
      <c r="M853" s="6">
        <v>57.5</v>
      </c>
      <c r="N853" s="6">
        <v>57.5</v>
      </c>
      <c r="O853" s="6">
        <v>57.18</v>
      </c>
      <c r="P853" s="6">
        <v>57.259998000000003</v>
      </c>
      <c r="Q853" s="6">
        <v>44.766235000000002</v>
      </c>
      <c r="R853" s="58">
        <v>1847700</v>
      </c>
    </row>
    <row r="854" spans="12:18" x14ac:dyDescent="0.25">
      <c r="L854" s="26">
        <v>40680</v>
      </c>
      <c r="M854" s="6">
        <v>57.119999</v>
      </c>
      <c r="N854" s="6">
        <v>57.509998000000003</v>
      </c>
      <c r="O854" s="6">
        <v>57.049999</v>
      </c>
      <c r="P854" s="6">
        <v>57.279998999999997</v>
      </c>
      <c r="Q854" s="6">
        <v>44.781879000000004</v>
      </c>
      <c r="R854" s="58">
        <v>1361800</v>
      </c>
    </row>
    <row r="855" spans="12:18" x14ac:dyDescent="0.25">
      <c r="L855" s="26">
        <v>40681</v>
      </c>
      <c r="M855" s="6">
        <v>57.310001</v>
      </c>
      <c r="N855" s="6">
        <v>57.32</v>
      </c>
      <c r="O855" s="6">
        <v>57.029998999999997</v>
      </c>
      <c r="P855" s="6">
        <v>57.16</v>
      </c>
      <c r="Q855" s="6">
        <v>44.688048999999999</v>
      </c>
      <c r="R855" s="58">
        <v>1314000</v>
      </c>
    </row>
    <row r="856" spans="12:18" x14ac:dyDescent="0.25">
      <c r="L856" s="26">
        <v>40682</v>
      </c>
      <c r="M856" s="6">
        <v>57.299999</v>
      </c>
      <c r="N856" s="6">
        <v>57.400002000000001</v>
      </c>
      <c r="O856" s="6">
        <v>57.130001</v>
      </c>
      <c r="P856" s="6">
        <v>57.310001</v>
      </c>
      <c r="Q856" s="6">
        <v>44.805325000000003</v>
      </c>
      <c r="R856" s="58">
        <v>1030900</v>
      </c>
    </row>
    <row r="857" spans="12:18" x14ac:dyDescent="0.25">
      <c r="L857" s="26">
        <v>40683</v>
      </c>
      <c r="M857" s="6">
        <v>57.369999</v>
      </c>
      <c r="N857" s="6">
        <v>57.450001</v>
      </c>
      <c r="O857" s="6">
        <v>56.939999</v>
      </c>
      <c r="P857" s="6">
        <v>57.139999000000003</v>
      </c>
      <c r="Q857" s="6">
        <v>44.672412999999999</v>
      </c>
      <c r="R857" s="58">
        <v>1227600</v>
      </c>
    </row>
    <row r="858" spans="12:18" x14ac:dyDescent="0.25">
      <c r="L858" s="26">
        <v>40686</v>
      </c>
      <c r="M858" s="6">
        <v>56.93</v>
      </c>
      <c r="N858" s="6">
        <v>57.09</v>
      </c>
      <c r="O858" s="6">
        <v>56.720001000000003</v>
      </c>
      <c r="P858" s="6">
        <v>56.790000999999997</v>
      </c>
      <c r="Q858" s="6">
        <v>44.398788000000003</v>
      </c>
      <c r="R858" s="58">
        <v>1363900</v>
      </c>
    </row>
    <row r="859" spans="12:18" x14ac:dyDescent="0.25">
      <c r="L859" s="26">
        <v>40687</v>
      </c>
      <c r="M859" s="6">
        <v>56.919998</v>
      </c>
      <c r="N859" s="6">
        <v>56.950001</v>
      </c>
      <c r="O859" s="6">
        <v>56.43</v>
      </c>
      <c r="P859" s="6">
        <v>56.490001999999997</v>
      </c>
      <c r="Q859" s="6">
        <v>44.164256999999999</v>
      </c>
      <c r="R859" s="58">
        <v>2102600</v>
      </c>
    </row>
    <row r="860" spans="12:18" x14ac:dyDescent="0.25">
      <c r="L860" s="26">
        <v>40688</v>
      </c>
      <c r="M860" s="6">
        <v>56.32</v>
      </c>
      <c r="N860" s="6">
        <v>56.400002000000001</v>
      </c>
      <c r="O860" s="6">
        <v>55.860000999999997</v>
      </c>
      <c r="P860" s="6">
        <v>56.209999000000003</v>
      </c>
      <c r="Q860" s="6">
        <v>43.945338999999997</v>
      </c>
      <c r="R860" s="58">
        <v>1240800</v>
      </c>
    </row>
    <row r="861" spans="12:18" x14ac:dyDescent="0.25">
      <c r="L861" s="26">
        <v>40689</v>
      </c>
      <c r="M861" s="6">
        <v>56.02</v>
      </c>
      <c r="N861" s="6">
        <v>56.970001000000003</v>
      </c>
      <c r="O861" s="6">
        <v>56.02</v>
      </c>
      <c r="P861" s="6">
        <v>56.779998999999997</v>
      </c>
      <c r="Q861" s="6">
        <v>44.390971999999998</v>
      </c>
      <c r="R861" s="58">
        <v>1783900</v>
      </c>
    </row>
    <row r="862" spans="12:18" x14ac:dyDescent="0.25">
      <c r="L862" s="26">
        <v>40690</v>
      </c>
      <c r="M862" s="6">
        <v>56.299999</v>
      </c>
      <c r="N862" s="6">
        <v>56.810001</v>
      </c>
      <c r="O862" s="6">
        <v>56.299999</v>
      </c>
      <c r="P862" s="6">
        <v>56.439999</v>
      </c>
      <c r="Q862" s="6">
        <v>44.442149999999998</v>
      </c>
      <c r="R862" s="58">
        <v>2347000</v>
      </c>
    </row>
    <row r="863" spans="12:18" x14ac:dyDescent="0.25">
      <c r="L863" s="26">
        <v>40694</v>
      </c>
      <c r="M863" s="6">
        <v>56.779998999999997</v>
      </c>
      <c r="N863" s="6">
        <v>57</v>
      </c>
      <c r="O863" s="6">
        <v>56.560001</v>
      </c>
      <c r="P863" s="6">
        <v>56.990001999999997</v>
      </c>
      <c r="Q863" s="6">
        <v>44.875233000000001</v>
      </c>
      <c r="R863" s="58">
        <v>2076000</v>
      </c>
    </row>
    <row r="864" spans="12:18" x14ac:dyDescent="0.25">
      <c r="L864" s="26">
        <v>40695</v>
      </c>
      <c r="M864" s="6">
        <v>56.75</v>
      </c>
      <c r="N864" s="6">
        <v>56.82</v>
      </c>
      <c r="O864" s="6">
        <v>56.380001</v>
      </c>
      <c r="P864" s="6">
        <v>56.450001</v>
      </c>
      <c r="Q864" s="6">
        <v>44.450026999999999</v>
      </c>
      <c r="R864" s="58">
        <v>1625900</v>
      </c>
    </row>
    <row r="865" spans="12:18" x14ac:dyDescent="0.25">
      <c r="L865" s="26">
        <v>40696</v>
      </c>
      <c r="M865" s="6">
        <v>56.369999</v>
      </c>
      <c r="N865" s="6">
        <v>56.599997999999999</v>
      </c>
      <c r="O865" s="6">
        <v>55.360000999999997</v>
      </c>
      <c r="P865" s="6">
        <v>55.490001999999997</v>
      </c>
      <c r="Q865" s="6">
        <v>43.694107000000002</v>
      </c>
      <c r="R865" s="58">
        <v>1738100</v>
      </c>
    </row>
    <row r="866" spans="12:18" x14ac:dyDescent="0.25">
      <c r="L866" s="26">
        <v>40697</v>
      </c>
      <c r="M866" s="6">
        <v>55.07</v>
      </c>
      <c r="N866" s="6">
        <v>55.290000999999997</v>
      </c>
      <c r="O866" s="6">
        <v>54.709999000000003</v>
      </c>
      <c r="P866" s="6">
        <v>54.919998</v>
      </c>
      <c r="Q866" s="6">
        <v>43.245269999999998</v>
      </c>
      <c r="R866" s="58">
        <v>1419400</v>
      </c>
    </row>
    <row r="867" spans="12:18" x14ac:dyDescent="0.25">
      <c r="L867" s="26">
        <v>40700</v>
      </c>
      <c r="M867" s="6">
        <v>54.799999</v>
      </c>
      <c r="N867" s="6">
        <v>55.119999</v>
      </c>
      <c r="O867" s="6">
        <v>54.759998000000003</v>
      </c>
      <c r="P867" s="6">
        <v>54.959999000000003</v>
      </c>
      <c r="Q867" s="6">
        <v>43.276775000000001</v>
      </c>
      <c r="R867" s="58">
        <v>1505600</v>
      </c>
    </row>
    <row r="868" spans="12:18" x14ac:dyDescent="0.25">
      <c r="L868" s="26">
        <v>40701</v>
      </c>
      <c r="M868" s="6">
        <v>55.130001</v>
      </c>
      <c r="N868" s="6">
        <v>55.57</v>
      </c>
      <c r="O868" s="6">
        <v>55.040000999999997</v>
      </c>
      <c r="P868" s="6">
        <v>55.330002</v>
      </c>
      <c r="Q868" s="6">
        <v>43.568114999999999</v>
      </c>
      <c r="R868" s="58">
        <v>2120100</v>
      </c>
    </row>
    <row r="869" spans="12:18" x14ac:dyDescent="0.25">
      <c r="L869" s="26">
        <v>40702</v>
      </c>
      <c r="M869" s="6">
        <v>55.380001</v>
      </c>
      <c r="N869" s="6">
        <v>55.560001</v>
      </c>
      <c r="O869" s="6">
        <v>54.950001</v>
      </c>
      <c r="P869" s="6">
        <v>55.48</v>
      </c>
      <c r="Q869" s="6">
        <v>43.686217999999997</v>
      </c>
      <c r="R869" s="58">
        <v>1887700</v>
      </c>
    </row>
    <row r="870" spans="12:18" x14ac:dyDescent="0.25">
      <c r="L870" s="26">
        <v>40703</v>
      </c>
      <c r="M870" s="6">
        <v>55.419998</v>
      </c>
      <c r="N870" s="6">
        <v>56.110000999999997</v>
      </c>
      <c r="O870" s="6">
        <v>55.23</v>
      </c>
      <c r="P870" s="6">
        <v>55.790000999999997</v>
      </c>
      <c r="Q870" s="6">
        <v>43.930320999999999</v>
      </c>
      <c r="R870" s="58">
        <v>1698500</v>
      </c>
    </row>
    <row r="871" spans="12:18" x14ac:dyDescent="0.25">
      <c r="L871" s="26">
        <v>40704</v>
      </c>
      <c r="M871" s="6">
        <v>55.529998999999997</v>
      </c>
      <c r="N871" s="6">
        <v>55.689999</v>
      </c>
      <c r="O871" s="6">
        <v>54.889999000000003</v>
      </c>
      <c r="P871" s="6">
        <v>54.889999000000003</v>
      </c>
      <c r="Q871" s="6">
        <v>43.221642000000003</v>
      </c>
      <c r="R871" s="58">
        <v>1367100</v>
      </c>
    </row>
    <row r="872" spans="12:18" x14ac:dyDescent="0.25">
      <c r="L872" s="26">
        <v>40707</v>
      </c>
      <c r="M872" s="6">
        <v>55.040000999999997</v>
      </c>
      <c r="N872" s="6">
        <v>55.73</v>
      </c>
      <c r="O872" s="6">
        <v>54.98</v>
      </c>
      <c r="P872" s="6">
        <v>55.41</v>
      </c>
      <c r="Q872" s="6">
        <v>43.631107</v>
      </c>
      <c r="R872" s="58">
        <v>1309700</v>
      </c>
    </row>
    <row r="873" spans="12:18" x14ac:dyDescent="0.25">
      <c r="L873" s="26">
        <v>40708</v>
      </c>
      <c r="M873" s="6">
        <v>55.82</v>
      </c>
      <c r="N873" s="6">
        <v>55.900002000000001</v>
      </c>
      <c r="O873" s="6">
        <v>53.669998</v>
      </c>
      <c r="P873" s="6">
        <v>54.959999000000003</v>
      </c>
      <c r="Q873" s="6">
        <v>43.276775000000001</v>
      </c>
      <c r="R873" s="58">
        <v>5664900</v>
      </c>
    </row>
    <row r="874" spans="12:18" x14ac:dyDescent="0.25">
      <c r="L874" s="26">
        <v>40709</v>
      </c>
      <c r="M874" s="6">
        <v>54.470001000000003</v>
      </c>
      <c r="N874" s="6">
        <v>54.790000999999997</v>
      </c>
      <c r="O874" s="6">
        <v>54.119999</v>
      </c>
      <c r="P874" s="6">
        <v>54.32</v>
      </c>
      <c r="Q874" s="6">
        <v>42.772815999999999</v>
      </c>
      <c r="R874" s="58">
        <v>2586300</v>
      </c>
    </row>
    <row r="875" spans="12:18" x14ac:dyDescent="0.25">
      <c r="L875" s="26">
        <v>40710</v>
      </c>
      <c r="M875" s="6">
        <v>54.400002000000001</v>
      </c>
      <c r="N875" s="6">
        <v>54.799999</v>
      </c>
      <c r="O875" s="6">
        <v>54.099997999999999</v>
      </c>
      <c r="P875" s="6">
        <v>54.740001999999997</v>
      </c>
      <c r="Q875" s="6">
        <v>43.103538999999998</v>
      </c>
      <c r="R875" s="58">
        <v>1846700</v>
      </c>
    </row>
    <row r="876" spans="12:18" x14ac:dyDescent="0.25">
      <c r="L876" s="26">
        <v>40711</v>
      </c>
      <c r="M876" s="6">
        <v>55.110000999999997</v>
      </c>
      <c r="N876" s="6">
        <v>55.259998000000003</v>
      </c>
      <c r="O876" s="6">
        <v>54.880001</v>
      </c>
      <c r="P876" s="6">
        <v>54.919998</v>
      </c>
      <c r="Q876" s="6">
        <v>43.245269999999998</v>
      </c>
      <c r="R876" s="58">
        <v>2358500</v>
      </c>
    </row>
    <row r="877" spans="12:18" x14ac:dyDescent="0.25">
      <c r="L877" s="26">
        <v>40714</v>
      </c>
      <c r="M877" s="6">
        <v>54.91</v>
      </c>
      <c r="N877" s="6">
        <v>55.389999000000003</v>
      </c>
      <c r="O877" s="6">
        <v>54.599997999999999</v>
      </c>
      <c r="P877" s="6">
        <v>55.25</v>
      </c>
      <c r="Q877" s="6">
        <v>43.505122999999998</v>
      </c>
      <c r="R877" s="58">
        <v>1951700</v>
      </c>
    </row>
    <row r="878" spans="12:18" x14ac:dyDescent="0.25">
      <c r="L878" s="26">
        <v>40715</v>
      </c>
      <c r="M878" s="6">
        <v>55.400002000000001</v>
      </c>
      <c r="N878" s="6">
        <v>55.450001</v>
      </c>
      <c r="O878" s="6">
        <v>54.990001999999997</v>
      </c>
      <c r="P878" s="6">
        <v>54.990001999999997</v>
      </c>
      <c r="Q878" s="6">
        <v>43.300387999999998</v>
      </c>
      <c r="R878" s="58">
        <v>1808500</v>
      </c>
    </row>
    <row r="879" spans="12:18" x14ac:dyDescent="0.25">
      <c r="L879" s="26">
        <v>40716</v>
      </c>
      <c r="M879" s="6">
        <v>55.029998999999997</v>
      </c>
      <c r="N879" s="6">
        <v>55.209999000000003</v>
      </c>
      <c r="O879" s="6">
        <v>54.610000999999997</v>
      </c>
      <c r="P879" s="6">
        <v>54.669998</v>
      </c>
      <c r="Q879" s="6">
        <v>43.048411999999999</v>
      </c>
      <c r="R879" s="58">
        <v>1345300</v>
      </c>
    </row>
    <row r="880" spans="12:18" x14ac:dyDescent="0.25">
      <c r="L880" s="26">
        <v>40717</v>
      </c>
      <c r="M880" s="6">
        <v>54.32</v>
      </c>
      <c r="N880" s="6">
        <v>54.32</v>
      </c>
      <c r="O880" s="6">
        <v>53.450001</v>
      </c>
      <c r="P880" s="6">
        <v>54.119999</v>
      </c>
      <c r="Q880" s="6">
        <v>42.615333999999997</v>
      </c>
      <c r="R880" s="58">
        <v>2527700</v>
      </c>
    </row>
    <row r="881" spans="12:18" x14ac:dyDescent="0.25">
      <c r="L881" s="26">
        <v>40718</v>
      </c>
      <c r="M881" s="6">
        <v>54.310001</v>
      </c>
      <c r="N881" s="6">
        <v>54.939999</v>
      </c>
      <c r="O881" s="6">
        <v>54.200001</v>
      </c>
      <c r="P881" s="6">
        <v>54.759998000000003</v>
      </c>
      <c r="Q881" s="6">
        <v>43.119289000000002</v>
      </c>
      <c r="R881" s="58">
        <v>2776000</v>
      </c>
    </row>
    <row r="882" spans="12:18" x14ac:dyDescent="0.25">
      <c r="L882" s="26">
        <v>40721</v>
      </c>
      <c r="M882" s="6">
        <v>54.639999000000003</v>
      </c>
      <c r="N882" s="6">
        <v>55.110000999999997</v>
      </c>
      <c r="O882" s="6">
        <v>54.639999000000003</v>
      </c>
      <c r="P882" s="6">
        <v>54.82</v>
      </c>
      <c r="Q882" s="6">
        <v>43.166527000000002</v>
      </c>
      <c r="R882" s="58">
        <v>1971600</v>
      </c>
    </row>
    <row r="883" spans="12:18" x14ac:dyDescent="0.25">
      <c r="L883" s="26">
        <v>40722</v>
      </c>
      <c r="M883" s="6">
        <v>55.040000999999997</v>
      </c>
      <c r="N883" s="6">
        <v>55.189999</v>
      </c>
      <c r="O883" s="6">
        <v>54.790000999999997</v>
      </c>
      <c r="P883" s="6">
        <v>55.169998</v>
      </c>
      <c r="Q883" s="6">
        <v>43.442126999999999</v>
      </c>
      <c r="R883" s="58">
        <v>2500800</v>
      </c>
    </row>
    <row r="884" spans="12:18" x14ac:dyDescent="0.25">
      <c r="L884" s="26">
        <v>40723</v>
      </c>
      <c r="M884" s="6">
        <v>55.16</v>
      </c>
      <c r="N884" s="6">
        <v>55.330002</v>
      </c>
      <c r="O884" s="6">
        <v>54.84</v>
      </c>
      <c r="P884" s="6">
        <v>55.189999</v>
      </c>
      <c r="Q884" s="6">
        <v>43.45787</v>
      </c>
      <c r="R884" s="58">
        <v>1714700</v>
      </c>
    </row>
    <row r="885" spans="12:18" x14ac:dyDescent="0.25">
      <c r="L885" s="26">
        <v>40724</v>
      </c>
      <c r="M885" s="6">
        <v>55.25</v>
      </c>
      <c r="N885" s="6">
        <v>55.48</v>
      </c>
      <c r="O885" s="6">
        <v>55.200001</v>
      </c>
      <c r="P885" s="6">
        <v>55.32</v>
      </c>
      <c r="Q885" s="6">
        <v>43.560229999999997</v>
      </c>
      <c r="R885" s="58">
        <v>1495800</v>
      </c>
    </row>
    <row r="886" spans="12:18" x14ac:dyDescent="0.25">
      <c r="L886" s="26">
        <v>40725</v>
      </c>
      <c r="M886" s="6">
        <v>55.07</v>
      </c>
      <c r="N886" s="6">
        <v>55.43</v>
      </c>
      <c r="O886" s="6">
        <v>54.959999000000003</v>
      </c>
      <c r="P886" s="6">
        <v>55.400002000000001</v>
      </c>
      <c r="Q886" s="6">
        <v>43.623233999999997</v>
      </c>
      <c r="R886" s="58">
        <v>1361400</v>
      </c>
    </row>
    <row r="887" spans="12:18" x14ac:dyDescent="0.25">
      <c r="L887" s="26">
        <v>40729</v>
      </c>
      <c r="M887" s="6">
        <v>55.259998000000003</v>
      </c>
      <c r="N887" s="6">
        <v>55.310001</v>
      </c>
      <c r="O887" s="6">
        <v>55</v>
      </c>
      <c r="P887" s="6">
        <v>55.139999000000003</v>
      </c>
      <c r="Q887" s="6">
        <v>43.418498999999997</v>
      </c>
      <c r="R887" s="58">
        <v>1160100</v>
      </c>
    </row>
    <row r="888" spans="12:18" x14ac:dyDescent="0.25">
      <c r="L888" s="26">
        <v>40730</v>
      </c>
      <c r="M888" s="6">
        <v>54.950001</v>
      </c>
      <c r="N888" s="6">
        <v>55.509998000000003</v>
      </c>
      <c r="O888" s="6">
        <v>54.950001</v>
      </c>
      <c r="P888" s="6">
        <v>55.5</v>
      </c>
      <c r="Q888" s="6">
        <v>43.701968999999998</v>
      </c>
      <c r="R888" s="58">
        <v>1417800</v>
      </c>
    </row>
    <row r="889" spans="12:18" x14ac:dyDescent="0.25">
      <c r="L889" s="26">
        <v>40731</v>
      </c>
      <c r="M889" s="6">
        <v>55.740001999999997</v>
      </c>
      <c r="N889" s="6">
        <v>55.779998999999997</v>
      </c>
      <c r="O889" s="6">
        <v>55.25</v>
      </c>
      <c r="P889" s="6">
        <v>55.73</v>
      </c>
      <c r="Q889" s="6">
        <v>43.883091</v>
      </c>
      <c r="R889" s="58">
        <v>2597400</v>
      </c>
    </row>
    <row r="890" spans="12:18" x14ac:dyDescent="0.25">
      <c r="L890" s="26">
        <v>40732</v>
      </c>
      <c r="M890" s="6">
        <v>55.599997999999999</v>
      </c>
      <c r="N890" s="6">
        <v>55.709999000000003</v>
      </c>
      <c r="O890" s="6">
        <v>55</v>
      </c>
      <c r="P890" s="6">
        <v>55.169998</v>
      </c>
      <c r="Q890" s="6">
        <v>43.442126999999999</v>
      </c>
      <c r="R890" s="58">
        <v>2366700</v>
      </c>
    </row>
    <row r="891" spans="12:18" x14ac:dyDescent="0.25">
      <c r="L891" s="26">
        <v>40735</v>
      </c>
      <c r="M891" s="6">
        <v>54.610000999999997</v>
      </c>
      <c r="N891" s="6">
        <v>55.349997999999999</v>
      </c>
      <c r="O891" s="6">
        <v>54.540000999999997</v>
      </c>
      <c r="P891" s="6">
        <v>55.110000999999997</v>
      </c>
      <c r="Q891" s="6">
        <v>43.394877999999999</v>
      </c>
      <c r="R891" s="58">
        <v>1892100</v>
      </c>
    </row>
    <row r="892" spans="12:18" x14ac:dyDescent="0.25">
      <c r="L892" s="26">
        <v>40736</v>
      </c>
      <c r="M892" s="6">
        <v>55.07</v>
      </c>
      <c r="N892" s="6">
        <v>55.82</v>
      </c>
      <c r="O892" s="6">
        <v>54.919998</v>
      </c>
      <c r="P892" s="6">
        <v>55.57</v>
      </c>
      <c r="Q892" s="6">
        <v>43.757095</v>
      </c>
      <c r="R892" s="58">
        <v>1616800</v>
      </c>
    </row>
    <row r="893" spans="12:18" x14ac:dyDescent="0.25">
      <c r="L893" s="26">
        <v>40737</v>
      </c>
      <c r="M893" s="6">
        <v>55.84</v>
      </c>
      <c r="N893" s="6">
        <v>55.860000999999997</v>
      </c>
      <c r="O893" s="6">
        <v>55.290000999999997</v>
      </c>
      <c r="P893" s="6">
        <v>55.41</v>
      </c>
      <c r="Q893" s="6">
        <v>43.631107</v>
      </c>
      <c r="R893" s="58">
        <v>1643600</v>
      </c>
    </row>
    <row r="894" spans="12:18" x14ac:dyDescent="0.25">
      <c r="L894" s="26">
        <v>40738</v>
      </c>
      <c r="M894" s="6">
        <v>55.380001</v>
      </c>
      <c r="N894" s="6">
        <v>55.73</v>
      </c>
      <c r="O894" s="6">
        <v>55.18</v>
      </c>
      <c r="P894" s="6">
        <v>55.290000999999997</v>
      </c>
      <c r="Q894" s="6">
        <v>43.536625000000001</v>
      </c>
      <c r="R894" s="58">
        <v>1465400</v>
      </c>
    </row>
    <row r="895" spans="12:18" x14ac:dyDescent="0.25">
      <c r="L895" s="26">
        <v>40739</v>
      </c>
      <c r="M895" s="6">
        <v>55.220001000000003</v>
      </c>
      <c r="N895" s="6">
        <v>55.529998999999997</v>
      </c>
      <c r="O895" s="6">
        <v>54.84</v>
      </c>
      <c r="P895" s="6">
        <v>55.240001999999997</v>
      </c>
      <c r="Q895" s="6">
        <v>43.497250000000001</v>
      </c>
      <c r="R895" s="58">
        <v>1825700</v>
      </c>
    </row>
    <row r="896" spans="12:18" x14ac:dyDescent="0.25">
      <c r="L896" s="26">
        <v>40742</v>
      </c>
      <c r="M896" s="6">
        <v>55</v>
      </c>
      <c r="N896" s="6">
        <v>55.099997999999999</v>
      </c>
      <c r="O896" s="6">
        <v>54.349997999999999</v>
      </c>
      <c r="P896" s="6">
        <v>54.970001000000003</v>
      </c>
      <c r="Q896" s="6">
        <v>43.284644999999998</v>
      </c>
      <c r="R896" s="58">
        <v>1898100</v>
      </c>
    </row>
    <row r="897" spans="12:18" x14ac:dyDescent="0.25">
      <c r="L897" s="26">
        <v>40743</v>
      </c>
      <c r="M897" s="6">
        <v>54.990001999999997</v>
      </c>
      <c r="N897" s="6">
        <v>55.43</v>
      </c>
      <c r="O897" s="6">
        <v>54.759998000000003</v>
      </c>
      <c r="P897" s="6">
        <v>55.41</v>
      </c>
      <c r="Q897" s="6">
        <v>43.631107</v>
      </c>
      <c r="R897" s="58">
        <v>1498200</v>
      </c>
    </row>
    <row r="898" spans="12:18" x14ac:dyDescent="0.25">
      <c r="L898" s="26">
        <v>40744</v>
      </c>
      <c r="M898" s="6">
        <v>55.549999</v>
      </c>
      <c r="N898" s="6">
        <v>55.639999000000003</v>
      </c>
      <c r="O898" s="6">
        <v>55.189999</v>
      </c>
      <c r="P898" s="6">
        <v>55.360000999999997</v>
      </c>
      <c r="Q898" s="6">
        <v>43.591735999999997</v>
      </c>
      <c r="R898" s="58">
        <v>1336000</v>
      </c>
    </row>
    <row r="899" spans="12:18" x14ac:dyDescent="0.25">
      <c r="L899" s="26">
        <v>40745</v>
      </c>
      <c r="M899" s="6">
        <v>55.549999</v>
      </c>
      <c r="N899" s="6">
        <v>56</v>
      </c>
      <c r="O899" s="6">
        <v>55.48</v>
      </c>
      <c r="P899" s="6">
        <v>55.919998</v>
      </c>
      <c r="Q899" s="6">
        <v>44.032688</v>
      </c>
      <c r="R899" s="58">
        <v>1425400</v>
      </c>
    </row>
    <row r="900" spans="12:18" x14ac:dyDescent="0.25">
      <c r="L900" s="26">
        <v>40746</v>
      </c>
      <c r="M900" s="6">
        <v>55.990001999999997</v>
      </c>
      <c r="N900" s="6">
        <v>56.029998999999997</v>
      </c>
      <c r="O900" s="6">
        <v>55.619999</v>
      </c>
      <c r="P900" s="6">
        <v>55.91</v>
      </c>
      <c r="Q900" s="6">
        <v>44.024822</v>
      </c>
      <c r="R900" s="58">
        <v>858200</v>
      </c>
    </row>
    <row r="901" spans="12:18" x14ac:dyDescent="0.25">
      <c r="L901" s="26">
        <v>40749</v>
      </c>
      <c r="M901" s="6">
        <v>55.52</v>
      </c>
      <c r="N901" s="6">
        <v>56.119999</v>
      </c>
      <c r="O901" s="6">
        <v>55.52</v>
      </c>
      <c r="P901" s="6">
        <v>55.889999000000003</v>
      </c>
      <c r="Q901" s="6">
        <v>44.009064000000002</v>
      </c>
      <c r="R901" s="58">
        <v>1784000</v>
      </c>
    </row>
    <row r="902" spans="12:18" x14ac:dyDescent="0.25">
      <c r="L902" s="26">
        <v>40750</v>
      </c>
      <c r="M902" s="6">
        <v>55.799999</v>
      </c>
      <c r="N902" s="6">
        <v>55.98</v>
      </c>
      <c r="O902" s="6">
        <v>55.580002</v>
      </c>
      <c r="P902" s="6">
        <v>55.790000999999997</v>
      </c>
      <c r="Q902" s="6">
        <v>43.930320999999999</v>
      </c>
      <c r="R902" s="58">
        <v>1227600</v>
      </c>
    </row>
    <row r="903" spans="12:18" x14ac:dyDescent="0.25">
      <c r="L903" s="26">
        <v>40751</v>
      </c>
      <c r="M903" s="6">
        <v>55.52</v>
      </c>
      <c r="N903" s="6">
        <v>56.110000999999997</v>
      </c>
      <c r="O903" s="6">
        <v>55.450001</v>
      </c>
      <c r="P903" s="6">
        <v>55.549999</v>
      </c>
      <c r="Q903" s="6">
        <v>43.741348000000002</v>
      </c>
      <c r="R903" s="58">
        <v>2645100</v>
      </c>
    </row>
    <row r="904" spans="12:18" x14ac:dyDescent="0.25">
      <c r="L904" s="26">
        <v>40752</v>
      </c>
      <c r="M904" s="6">
        <v>55.549999</v>
      </c>
      <c r="N904" s="6">
        <v>56.389999000000003</v>
      </c>
      <c r="O904" s="6">
        <v>55</v>
      </c>
      <c r="P904" s="6">
        <v>55.82</v>
      </c>
      <c r="Q904" s="6">
        <v>43.953960000000002</v>
      </c>
      <c r="R904" s="58">
        <v>3955200</v>
      </c>
    </row>
    <row r="905" spans="12:18" x14ac:dyDescent="0.25">
      <c r="L905" s="26">
        <v>40753</v>
      </c>
      <c r="M905" s="6">
        <v>55.48</v>
      </c>
      <c r="N905" s="6">
        <v>56.009998000000003</v>
      </c>
      <c r="O905" s="6">
        <v>55.07</v>
      </c>
      <c r="P905" s="6">
        <v>55.779998999999997</v>
      </c>
      <c r="Q905" s="6">
        <v>43.922454999999999</v>
      </c>
      <c r="R905" s="58">
        <v>2243000</v>
      </c>
    </row>
    <row r="906" spans="12:18" x14ac:dyDescent="0.25">
      <c r="L906" s="26">
        <v>40756</v>
      </c>
      <c r="M906" s="6">
        <v>56.16</v>
      </c>
      <c r="N906" s="6">
        <v>56.16</v>
      </c>
      <c r="O906" s="6">
        <v>54.889999000000003</v>
      </c>
      <c r="P906" s="6">
        <v>55.310001</v>
      </c>
      <c r="Q906" s="6">
        <v>43.552363999999997</v>
      </c>
      <c r="R906" s="58">
        <v>2243700</v>
      </c>
    </row>
    <row r="907" spans="12:18" x14ac:dyDescent="0.25">
      <c r="L907" s="26">
        <v>40757</v>
      </c>
      <c r="M907" s="6">
        <v>55.040000999999997</v>
      </c>
      <c r="N907" s="6">
        <v>55.16</v>
      </c>
      <c r="O907" s="6">
        <v>54.439999</v>
      </c>
      <c r="P907" s="6">
        <v>54.439999</v>
      </c>
      <c r="Q907" s="6">
        <v>42.867305999999999</v>
      </c>
      <c r="R907" s="58">
        <v>2471300</v>
      </c>
    </row>
    <row r="908" spans="12:18" x14ac:dyDescent="0.25">
      <c r="L908" s="26">
        <v>40758</v>
      </c>
      <c r="M908" s="6">
        <v>54.450001</v>
      </c>
      <c r="N908" s="6">
        <v>54.48</v>
      </c>
      <c r="O908" s="6">
        <v>53.830002</v>
      </c>
      <c r="P908" s="6">
        <v>54.349997999999999</v>
      </c>
      <c r="Q908" s="6">
        <v>42.796439999999997</v>
      </c>
      <c r="R908" s="58">
        <v>2818200</v>
      </c>
    </row>
    <row r="909" spans="12:18" x14ac:dyDescent="0.25">
      <c r="L909" s="26">
        <v>40759</v>
      </c>
      <c r="M909" s="6">
        <v>53.900002000000001</v>
      </c>
      <c r="N909" s="6">
        <v>54.400002000000001</v>
      </c>
      <c r="O909" s="6">
        <v>52.41</v>
      </c>
      <c r="P909" s="6">
        <v>52.41</v>
      </c>
      <c r="Q909" s="6">
        <v>41.268844999999999</v>
      </c>
      <c r="R909" s="58">
        <v>4879200</v>
      </c>
    </row>
    <row r="910" spans="12:18" x14ac:dyDescent="0.25">
      <c r="L910" s="26">
        <v>40760</v>
      </c>
      <c r="M910" s="6">
        <v>52.82</v>
      </c>
      <c r="N910" s="6">
        <v>53.57</v>
      </c>
      <c r="O910" s="6">
        <v>52.139999000000003</v>
      </c>
      <c r="P910" s="6">
        <v>53.360000999999997</v>
      </c>
      <c r="Q910" s="6">
        <v>42.016894999999998</v>
      </c>
      <c r="R910" s="58">
        <v>3908400</v>
      </c>
    </row>
    <row r="911" spans="12:18" x14ac:dyDescent="0.25">
      <c r="L911" s="26">
        <v>40763</v>
      </c>
      <c r="M911" s="6">
        <v>52.889999000000003</v>
      </c>
      <c r="N911" s="6">
        <v>53.459999000000003</v>
      </c>
      <c r="O911" s="6">
        <v>51.580002</v>
      </c>
      <c r="P911" s="6">
        <v>51.669998</v>
      </c>
      <c r="Q911" s="6">
        <v>40.686138</v>
      </c>
      <c r="R911" s="58">
        <v>4217100</v>
      </c>
    </row>
    <row r="912" spans="12:18" x14ac:dyDescent="0.25">
      <c r="L912" s="26">
        <v>40764</v>
      </c>
      <c r="M912" s="6">
        <v>51.93</v>
      </c>
      <c r="N912" s="6">
        <v>52.599997999999999</v>
      </c>
      <c r="O912" s="6">
        <v>50.380001</v>
      </c>
      <c r="P912" s="6">
        <v>52.560001</v>
      </c>
      <c r="Q912" s="6">
        <v>41.386944</v>
      </c>
      <c r="R912" s="58">
        <v>4640100</v>
      </c>
    </row>
    <row r="913" spans="12:18" x14ac:dyDescent="0.25">
      <c r="L913" s="26">
        <v>40765</v>
      </c>
      <c r="M913" s="6">
        <v>52.209999000000003</v>
      </c>
      <c r="N913" s="6">
        <v>52.52</v>
      </c>
      <c r="O913" s="6">
        <v>51.34</v>
      </c>
      <c r="P913" s="6">
        <v>51.459999000000003</v>
      </c>
      <c r="Q913" s="6">
        <v>40.520778999999997</v>
      </c>
      <c r="R913" s="58">
        <v>4543800</v>
      </c>
    </row>
    <row r="914" spans="12:18" x14ac:dyDescent="0.25">
      <c r="L914" s="26">
        <v>40766</v>
      </c>
      <c r="M914" s="6">
        <v>51.41</v>
      </c>
      <c r="N914" s="6">
        <v>52.529998999999997</v>
      </c>
      <c r="O914" s="6">
        <v>51.139999000000003</v>
      </c>
      <c r="P914" s="6">
        <v>52.130001</v>
      </c>
      <c r="Q914" s="6">
        <v>41.048355000000001</v>
      </c>
      <c r="R914" s="58">
        <v>4746500</v>
      </c>
    </row>
    <row r="915" spans="12:18" x14ac:dyDescent="0.25">
      <c r="L915" s="26">
        <v>40767</v>
      </c>
      <c r="M915" s="6">
        <v>52.389999000000003</v>
      </c>
      <c r="N915" s="6">
        <v>53.220001000000003</v>
      </c>
      <c r="O915" s="6">
        <v>52.080002</v>
      </c>
      <c r="P915" s="6">
        <v>52.889999000000003</v>
      </c>
      <c r="Q915" s="6">
        <v>41.646801000000004</v>
      </c>
      <c r="R915" s="58">
        <v>2439900</v>
      </c>
    </row>
    <row r="916" spans="12:18" x14ac:dyDescent="0.25">
      <c r="L916" s="26">
        <v>40770</v>
      </c>
      <c r="M916" s="6">
        <v>53.299999</v>
      </c>
      <c r="N916" s="6">
        <v>53.650002000000001</v>
      </c>
      <c r="O916" s="6">
        <v>52.900002000000001</v>
      </c>
      <c r="P916" s="6">
        <v>53.599997999999999</v>
      </c>
      <c r="Q916" s="6">
        <v>42.205863999999998</v>
      </c>
      <c r="R916" s="58">
        <v>1585300</v>
      </c>
    </row>
    <row r="917" spans="12:18" x14ac:dyDescent="0.25">
      <c r="L917" s="26">
        <v>40771</v>
      </c>
      <c r="M917" s="6">
        <v>53.57</v>
      </c>
      <c r="N917" s="6">
        <v>53.810001</v>
      </c>
      <c r="O917" s="6">
        <v>52.98</v>
      </c>
      <c r="P917" s="6">
        <v>53.560001</v>
      </c>
      <c r="Q917" s="6">
        <v>42.174362000000002</v>
      </c>
      <c r="R917" s="58">
        <v>1562300</v>
      </c>
    </row>
    <row r="918" spans="12:18" x14ac:dyDescent="0.25">
      <c r="L918" s="26">
        <v>40772</v>
      </c>
      <c r="M918" s="6">
        <v>53.66</v>
      </c>
      <c r="N918" s="6">
        <v>54.200001</v>
      </c>
      <c r="O918" s="6">
        <v>53.279998999999997</v>
      </c>
      <c r="P918" s="6">
        <v>53.470001000000003</v>
      </c>
      <c r="Q918" s="6">
        <v>42.103504000000001</v>
      </c>
      <c r="R918" s="58">
        <v>2821200</v>
      </c>
    </row>
    <row r="919" spans="12:18" x14ac:dyDescent="0.25">
      <c r="L919" s="26">
        <v>40773</v>
      </c>
      <c r="M919" s="6">
        <v>52.650002000000001</v>
      </c>
      <c r="N919" s="6">
        <v>53.32</v>
      </c>
      <c r="O919" s="6">
        <v>52.220001000000003</v>
      </c>
      <c r="P919" s="6">
        <v>52.799999</v>
      </c>
      <c r="Q919" s="6">
        <v>41.575927999999998</v>
      </c>
      <c r="R919" s="58">
        <v>3401300</v>
      </c>
    </row>
    <row r="920" spans="12:18" x14ac:dyDescent="0.25">
      <c r="L920" s="26">
        <v>40774</v>
      </c>
      <c r="M920" s="6">
        <v>52.580002</v>
      </c>
      <c r="N920" s="6">
        <v>53.209999000000003</v>
      </c>
      <c r="O920" s="6">
        <v>52.200001</v>
      </c>
      <c r="P920" s="6">
        <v>52.259998000000003</v>
      </c>
      <c r="Q920" s="6">
        <v>41.150722999999999</v>
      </c>
      <c r="R920" s="58">
        <v>2856000</v>
      </c>
    </row>
    <row r="921" spans="12:18" x14ac:dyDescent="0.25">
      <c r="L921" s="26">
        <v>40777</v>
      </c>
      <c r="M921" s="6">
        <v>52.900002000000001</v>
      </c>
      <c r="N921" s="6">
        <v>53</v>
      </c>
      <c r="O921" s="6">
        <v>52.299999</v>
      </c>
      <c r="P921" s="6">
        <v>52.799999</v>
      </c>
      <c r="Q921" s="6">
        <v>41.575927999999998</v>
      </c>
      <c r="R921" s="58">
        <v>2537100</v>
      </c>
    </row>
    <row r="922" spans="12:18" x14ac:dyDescent="0.25">
      <c r="L922" s="26">
        <v>40778</v>
      </c>
      <c r="M922" s="6">
        <v>52.830002</v>
      </c>
      <c r="N922" s="6">
        <v>53.200001</v>
      </c>
      <c r="O922" s="6">
        <v>52.52</v>
      </c>
      <c r="P922" s="6">
        <v>53.200001</v>
      </c>
      <c r="Q922" s="6">
        <v>41.890892000000001</v>
      </c>
      <c r="R922" s="58">
        <v>1886300</v>
      </c>
    </row>
    <row r="923" spans="12:18" x14ac:dyDescent="0.25">
      <c r="L923" s="26">
        <v>40779</v>
      </c>
      <c r="M923" s="6">
        <v>53</v>
      </c>
      <c r="N923" s="6">
        <v>53.509998000000003</v>
      </c>
      <c r="O923" s="6">
        <v>52.830002</v>
      </c>
      <c r="P923" s="6">
        <v>53.439999</v>
      </c>
      <c r="Q923" s="6">
        <v>42.079880000000003</v>
      </c>
      <c r="R923" s="58">
        <v>1820900</v>
      </c>
    </row>
    <row r="924" spans="12:18" x14ac:dyDescent="0.25">
      <c r="L924" s="26">
        <v>40780</v>
      </c>
      <c r="M924" s="6">
        <v>53.610000999999997</v>
      </c>
      <c r="N924" s="6">
        <v>53.709999000000003</v>
      </c>
      <c r="O924" s="6">
        <v>52.540000999999997</v>
      </c>
      <c r="P924" s="6">
        <v>52.790000999999997</v>
      </c>
      <c r="Q924" s="6">
        <v>41.568058000000001</v>
      </c>
      <c r="R924" s="58">
        <v>1838600</v>
      </c>
    </row>
    <row r="925" spans="12:18" x14ac:dyDescent="0.25">
      <c r="L925" s="26">
        <v>40781</v>
      </c>
      <c r="M925" s="6">
        <v>52.669998</v>
      </c>
      <c r="N925" s="6">
        <v>53.240001999999997</v>
      </c>
      <c r="O925" s="6">
        <v>51.66</v>
      </c>
      <c r="P925" s="6">
        <v>53.18</v>
      </c>
      <c r="Q925" s="6">
        <v>41.875155999999997</v>
      </c>
      <c r="R925" s="58">
        <v>1625500</v>
      </c>
    </row>
    <row r="926" spans="12:18" x14ac:dyDescent="0.25">
      <c r="L926" s="26">
        <v>40784</v>
      </c>
      <c r="M926" s="6">
        <v>53.5</v>
      </c>
      <c r="N926" s="6">
        <v>54.169998</v>
      </c>
      <c r="O926" s="6">
        <v>53.470001000000003</v>
      </c>
      <c r="P926" s="6">
        <v>54.16</v>
      </c>
      <c r="Q926" s="6">
        <v>42.646819999999998</v>
      </c>
      <c r="R926" s="58">
        <v>1137500</v>
      </c>
    </row>
    <row r="927" spans="12:18" x14ac:dyDescent="0.25">
      <c r="L927" s="26">
        <v>40785</v>
      </c>
      <c r="M927" s="6">
        <v>53.75</v>
      </c>
      <c r="N927" s="6">
        <v>54.130001</v>
      </c>
      <c r="O927" s="6">
        <v>53.25</v>
      </c>
      <c r="P927" s="6">
        <v>53.849997999999999</v>
      </c>
      <c r="Q927" s="6">
        <v>42.742077000000002</v>
      </c>
      <c r="R927" s="58">
        <v>2281400</v>
      </c>
    </row>
    <row r="928" spans="12:18" x14ac:dyDescent="0.25">
      <c r="L928" s="26">
        <v>40786</v>
      </c>
      <c r="M928" s="6">
        <v>54.200001</v>
      </c>
      <c r="N928" s="6">
        <v>54.490001999999997</v>
      </c>
      <c r="O928" s="6">
        <v>54.009998000000003</v>
      </c>
      <c r="P928" s="6">
        <v>54.32</v>
      </c>
      <c r="Q928" s="6">
        <v>43.115124000000002</v>
      </c>
      <c r="R928" s="58">
        <v>2212100</v>
      </c>
    </row>
    <row r="929" spans="12:18" x14ac:dyDescent="0.25">
      <c r="L929" s="26">
        <v>40787</v>
      </c>
      <c r="M929" s="6">
        <v>54.279998999999997</v>
      </c>
      <c r="N929" s="6">
        <v>54.73</v>
      </c>
      <c r="O929" s="6">
        <v>53.919998</v>
      </c>
      <c r="P929" s="6">
        <v>53.970001000000003</v>
      </c>
      <c r="Q929" s="6">
        <v>42.837318000000003</v>
      </c>
      <c r="R929" s="58">
        <v>1530000</v>
      </c>
    </row>
    <row r="930" spans="12:18" x14ac:dyDescent="0.25">
      <c r="L930" s="26">
        <v>40788</v>
      </c>
      <c r="M930" s="6">
        <v>53.52</v>
      </c>
      <c r="N930" s="6">
        <v>54.009998000000003</v>
      </c>
      <c r="O930" s="6">
        <v>53.369999</v>
      </c>
      <c r="P930" s="6">
        <v>53.610000999999997</v>
      </c>
      <c r="Q930" s="6">
        <v>42.551571000000003</v>
      </c>
      <c r="R930" s="58">
        <v>1515400</v>
      </c>
    </row>
    <row r="931" spans="12:18" x14ac:dyDescent="0.25">
      <c r="L931" s="26">
        <v>40792</v>
      </c>
      <c r="M931" s="6">
        <v>52.599997999999999</v>
      </c>
      <c r="N931" s="6">
        <v>53.549999</v>
      </c>
      <c r="O931" s="6">
        <v>52.349997999999999</v>
      </c>
      <c r="P931" s="6">
        <v>53.509998000000003</v>
      </c>
      <c r="Q931" s="6">
        <v>42.472206</v>
      </c>
      <c r="R931" s="58">
        <v>2060900</v>
      </c>
    </row>
    <row r="932" spans="12:18" x14ac:dyDescent="0.25">
      <c r="L932" s="26">
        <v>40793</v>
      </c>
      <c r="M932" s="6">
        <v>53.990001999999997</v>
      </c>
      <c r="N932" s="6">
        <v>54.470001000000003</v>
      </c>
      <c r="O932" s="6">
        <v>53.73</v>
      </c>
      <c r="P932" s="6">
        <v>54.41</v>
      </c>
      <c r="Q932" s="6">
        <v>43.186557999999998</v>
      </c>
      <c r="R932" s="58">
        <v>1426400</v>
      </c>
    </row>
    <row r="933" spans="12:18" x14ac:dyDescent="0.25">
      <c r="L933" s="26">
        <v>40794</v>
      </c>
      <c r="M933" s="6">
        <v>54.150002000000001</v>
      </c>
      <c r="N933" s="6">
        <v>54.939999</v>
      </c>
      <c r="O933" s="6">
        <v>54.009998000000003</v>
      </c>
      <c r="P933" s="6">
        <v>54.400002000000001</v>
      </c>
      <c r="Q933" s="6">
        <v>43.178623000000002</v>
      </c>
      <c r="R933" s="58">
        <v>2140700</v>
      </c>
    </row>
    <row r="934" spans="12:18" x14ac:dyDescent="0.25">
      <c r="L934" s="26">
        <v>40795</v>
      </c>
      <c r="M934" s="6">
        <v>53.959999000000003</v>
      </c>
      <c r="N934" s="6">
        <v>54.060001</v>
      </c>
      <c r="O934" s="6">
        <v>52.810001</v>
      </c>
      <c r="P934" s="6">
        <v>53.09</v>
      </c>
      <c r="Q934" s="6">
        <v>42.138843999999999</v>
      </c>
      <c r="R934" s="58">
        <v>1692000</v>
      </c>
    </row>
    <row r="935" spans="12:18" x14ac:dyDescent="0.25">
      <c r="L935" s="26">
        <v>40798</v>
      </c>
      <c r="M935" s="6">
        <v>52.849997999999999</v>
      </c>
      <c r="N935" s="6">
        <v>53</v>
      </c>
      <c r="O935" s="6">
        <v>51.959999000000003</v>
      </c>
      <c r="P935" s="6">
        <v>52.639999000000003</v>
      </c>
      <c r="Q935" s="6">
        <v>41.781669999999998</v>
      </c>
      <c r="R935" s="58">
        <v>2233700</v>
      </c>
    </row>
    <row r="936" spans="12:18" x14ac:dyDescent="0.25">
      <c r="L936" s="26">
        <v>40799</v>
      </c>
      <c r="M936" s="6">
        <v>52.740001999999997</v>
      </c>
      <c r="N936" s="6">
        <v>52.77</v>
      </c>
      <c r="O936" s="6">
        <v>52.049999</v>
      </c>
      <c r="P936" s="6">
        <v>52.450001</v>
      </c>
      <c r="Q936" s="6">
        <v>41.630867000000002</v>
      </c>
      <c r="R936" s="58">
        <v>2280900</v>
      </c>
    </row>
    <row r="937" spans="12:18" x14ac:dyDescent="0.25">
      <c r="L937" s="26">
        <v>40800</v>
      </c>
      <c r="M937" s="6">
        <v>52.68</v>
      </c>
      <c r="N937" s="6">
        <v>53.049999</v>
      </c>
      <c r="O937" s="6">
        <v>52.18</v>
      </c>
      <c r="P937" s="6">
        <v>52.66</v>
      </c>
      <c r="Q937" s="6">
        <v>41.797542999999997</v>
      </c>
      <c r="R937" s="58">
        <v>2583900</v>
      </c>
    </row>
    <row r="938" spans="12:18" x14ac:dyDescent="0.25">
      <c r="L938" s="26">
        <v>40801</v>
      </c>
      <c r="M938" s="6">
        <v>52.970001000000003</v>
      </c>
      <c r="N938" s="6">
        <v>53.950001</v>
      </c>
      <c r="O938" s="6">
        <v>52.830002</v>
      </c>
      <c r="P938" s="6">
        <v>53.700001</v>
      </c>
      <c r="Q938" s="6">
        <v>42.623027999999998</v>
      </c>
      <c r="R938" s="58">
        <v>2223400</v>
      </c>
    </row>
    <row r="939" spans="12:18" x14ac:dyDescent="0.25">
      <c r="L939" s="26">
        <v>40802</v>
      </c>
      <c r="M939" s="6">
        <v>53.900002000000001</v>
      </c>
      <c r="N939" s="6">
        <v>54.02</v>
      </c>
      <c r="O939" s="6">
        <v>53.580002</v>
      </c>
      <c r="P939" s="6">
        <v>53.990001999999997</v>
      </c>
      <c r="Q939" s="6">
        <v>42.853198999999996</v>
      </c>
      <c r="R939" s="58">
        <v>1993800</v>
      </c>
    </row>
    <row r="940" spans="12:18" x14ac:dyDescent="0.25">
      <c r="L940" s="26">
        <v>40805</v>
      </c>
      <c r="M940" s="6">
        <v>53.439999</v>
      </c>
      <c r="N940" s="6">
        <v>53.650002000000001</v>
      </c>
      <c r="O940" s="6">
        <v>53</v>
      </c>
      <c r="P940" s="6">
        <v>53.48</v>
      </c>
      <c r="Q940" s="6">
        <v>42.448386999999997</v>
      </c>
      <c r="R940" s="58">
        <v>1291500</v>
      </c>
    </row>
    <row r="941" spans="12:18" x14ac:dyDescent="0.25">
      <c r="L941" s="26">
        <v>40806</v>
      </c>
      <c r="M941" s="6">
        <v>53.619999</v>
      </c>
      <c r="N941" s="6">
        <v>54.07</v>
      </c>
      <c r="O941" s="6">
        <v>53.360000999999997</v>
      </c>
      <c r="P941" s="6">
        <v>53.439999</v>
      </c>
      <c r="Q941" s="6">
        <v>42.416649</v>
      </c>
      <c r="R941" s="58">
        <v>1324100</v>
      </c>
    </row>
    <row r="942" spans="12:18" x14ac:dyDescent="0.25">
      <c r="L942" s="26">
        <v>40807</v>
      </c>
      <c r="M942" s="6">
        <v>53.459999000000003</v>
      </c>
      <c r="N942" s="6">
        <v>53.709999000000003</v>
      </c>
      <c r="O942" s="6">
        <v>52.610000999999997</v>
      </c>
      <c r="P942" s="6">
        <v>52.619999</v>
      </c>
      <c r="Q942" s="6">
        <v>41.765793000000002</v>
      </c>
      <c r="R942" s="58">
        <v>1714900</v>
      </c>
    </row>
    <row r="943" spans="12:18" x14ac:dyDescent="0.25">
      <c r="L943" s="26">
        <v>40808</v>
      </c>
      <c r="M943" s="6">
        <v>51.880001</v>
      </c>
      <c r="N943" s="6">
        <v>52.580002</v>
      </c>
      <c r="O943" s="6">
        <v>51.630001</v>
      </c>
      <c r="P943" s="6">
        <v>52.41</v>
      </c>
      <c r="Q943" s="6">
        <v>41.599113000000003</v>
      </c>
      <c r="R943" s="58">
        <v>2925300</v>
      </c>
    </row>
    <row r="944" spans="12:18" x14ac:dyDescent="0.25">
      <c r="L944" s="26">
        <v>40809</v>
      </c>
      <c r="M944" s="6">
        <v>52.349997999999999</v>
      </c>
      <c r="N944" s="6">
        <v>52.880001</v>
      </c>
      <c r="O944" s="6">
        <v>51.900002000000001</v>
      </c>
      <c r="P944" s="6">
        <v>52.599997999999999</v>
      </c>
      <c r="Q944" s="6">
        <v>41.749920000000003</v>
      </c>
      <c r="R944" s="58">
        <v>2163900</v>
      </c>
    </row>
    <row r="945" spans="12:18" x14ac:dyDescent="0.25">
      <c r="L945" s="26">
        <v>40812</v>
      </c>
      <c r="M945" s="6">
        <v>52.830002</v>
      </c>
      <c r="N945" s="6">
        <v>53.459999000000003</v>
      </c>
      <c r="O945" s="6">
        <v>52.580002</v>
      </c>
      <c r="P945" s="6">
        <v>53.41</v>
      </c>
      <c r="Q945" s="6">
        <v>42.392834000000001</v>
      </c>
      <c r="R945" s="58">
        <v>1727100</v>
      </c>
    </row>
    <row r="946" spans="12:18" x14ac:dyDescent="0.25">
      <c r="L946" s="26">
        <v>40813</v>
      </c>
      <c r="M946" s="6">
        <v>53.939999</v>
      </c>
      <c r="N946" s="6">
        <v>54.66</v>
      </c>
      <c r="O946" s="6">
        <v>53.68</v>
      </c>
      <c r="P946" s="6">
        <v>54.18</v>
      </c>
      <c r="Q946" s="6">
        <v>43.004002</v>
      </c>
      <c r="R946" s="58">
        <v>1781800</v>
      </c>
    </row>
    <row r="947" spans="12:18" x14ac:dyDescent="0.25">
      <c r="L947" s="26">
        <v>40814</v>
      </c>
      <c r="M947" s="6">
        <v>54.18</v>
      </c>
      <c r="N947" s="6">
        <v>54.549999</v>
      </c>
      <c r="O947" s="6">
        <v>53.639999000000003</v>
      </c>
      <c r="P947" s="6">
        <v>53.689999</v>
      </c>
      <c r="Q947" s="6">
        <v>42.615082000000001</v>
      </c>
      <c r="R947" s="58">
        <v>2254000</v>
      </c>
    </row>
    <row r="948" spans="12:18" x14ac:dyDescent="0.25">
      <c r="L948" s="26">
        <v>40815</v>
      </c>
      <c r="M948" s="6">
        <v>54.189999</v>
      </c>
      <c r="N948" s="6">
        <v>54.560001</v>
      </c>
      <c r="O948" s="6">
        <v>53.360000999999997</v>
      </c>
      <c r="P948" s="6">
        <v>53.849997999999999</v>
      </c>
      <c r="Q948" s="6">
        <v>42.742077000000002</v>
      </c>
      <c r="R948" s="58">
        <v>1954900</v>
      </c>
    </row>
    <row r="949" spans="12:18" x14ac:dyDescent="0.25">
      <c r="L949" s="26">
        <v>40816</v>
      </c>
      <c r="M949" s="6">
        <v>53.490001999999997</v>
      </c>
      <c r="N949" s="6">
        <v>54.009998000000003</v>
      </c>
      <c r="O949" s="6">
        <v>53.150002000000001</v>
      </c>
      <c r="P949" s="6">
        <v>53.189999</v>
      </c>
      <c r="Q949" s="6">
        <v>42.218204</v>
      </c>
      <c r="R949" s="58">
        <v>2313600</v>
      </c>
    </row>
    <row r="950" spans="12:18" x14ac:dyDescent="0.25">
      <c r="L950" s="26">
        <v>40819</v>
      </c>
      <c r="M950" s="6">
        <v>52.73</v>
      </c>
      <c r="N950" s="6">
        <v>53.41</v>
      </c>
      <c r="O950" s="6">
        <v>52.630001</v>
      </c>
      <c r="P950" s="6">
        <v>52.880001</v>
      </c>
      <c r="Q950" s="6">
        <v>41.972160000000002</v>
      </c>
      <c r="R950" s="58">
        <v>3198700</v>
      </c>
    </row>
    <row r="951" spans="12:18" x14ac:dyDescent="0.25">
      <c r="L951" s="26">
        <v>40820</v>
      </c>
      <c r="M951" s="6">
        <v>52.560001</v>
      </c>
      <c r="N951" s="6">
        <v>53.220001000000003</v>
      </c>
      <c r="O951" s="6">
        <v>51.939999</v>
      </c>
      <c r="P951" s="6">
        <v>53.200001</v>
      </c>
      <c r="Q951" s="6">
        <v>42.226151000000002</v>
      </c>
      <c r="R951" s="58">
        <v>2400000</v>
      </c>
    </row>
    <row r="952" spans="12:18" x14ac:dyDescent="0.25">
      <c r="L952" s="26">
        <v>40821</v>
      </c>
      <c r="M952" s="6">
        <v>53.189999</v>
      </c>
      <c r="N952" s="6">
        <v>53.529998999999997</v>
      </c>
      <c r="O952" s="6">
        <v>52.580002</v>
      </c>
      <c r="P952" s="6">
        <v>52.950001</v>
      </c>
      <c r="Q952" s="6">
        <v>42.027709999999999</v>
      </c>
      <c r="R952" s="58">
        <v>1674300</v>
      </c>
    </row>
    <row r="953" spans="12:18" x14ac:dyDescent="0.25">
      <c r="L953" s="26">
        <v>40822</v>
      </c>
      <c r="M953" s="6">
        <v>52.959999000000003</v>
      </c>
      <c r="N953" s="6">
        <v>53.459999000000003</v>
      </c>
      <c r="O953" s="6">
        <v>52.669998</v>
      </c>
      <c r="P953" s="6">
        <v>53.439999</v>
      </c>
      <c r="Q953" s="6">
        <v>42.416649</v>
      </c>
      <c r="R953" s="58">
        <v>2174500</v>
      </c>
    </row>
    <row r="954" spans="12:18" x14ac:dyDescent="0.25">
      <c r="L954" s="26">
        <v>40823</v>
      </c>
      <c r="M954" s="6">
        <v>53.68</v>
      </c>
      <c r="N954" s="6">
        <v>53.91</v>
      </c>
      <c r="O954" s="6">
        <v>53.349997999999999</v>
      </c>
      <c r="P954" s="6">
        <v>53.610000999999997</v>
      </c>
      <c r="Q954" s="6">
        <v>42.551571000000003</v>
      </c>
      <c r="R954" s="58">
        <v>2572900</v>
      </c>
    </row>
    <row r="955" spans="12:18" x14ac:dyDescent="0.25">
      <c r="L955" s="26">
        <v>40826</v>
      </c>
      <c r="M955" s="6">
        <v>54.029998999999997</v>
      </c>
      <c r="N955" s="6">
        <v>54.150002000000001</v>
      </c>
      <c r="O955" s="6">
        <v>53.700001</v>
      </c>
      <c r="P955" s="6">
        <v>54.049999</v>
      </c>
      <c r="Q955" s="6">
        <v>42.900826000000002</v>
      </c>
      <c r="R955" s="58">
        <v>1078500</v>
      </c>
    </row>
    <row r="956" spans="12:18" x14ac:dyDescent="0.25">
      <c r="L956" s="26">
        <v>40827</v>
      </c>
      <c r="M956" s="6">
        <v>53.880001</v>
      </c>
      <c r="N956" s="6">
        <v>54.389999000000003</v>
      </c>
      <c r="O956" s="6">
        <v>53.709999000000003</v>
      </c>
      <c r="P956" s="6">
        <v>54.220001000000003</v>
      </c>
      <c r="Q956" s="6">
        <v>43.035750999999998</v>
      </c>
      <c r="R956" s="58">
        <v>902400</v>
      </c>
    </row>
    <row r="957" spans="12:18" x14ac:dyDescent="0.25">
      <c r="L957" s="26">
        <v>40828</v>
      </c>
      <c r="M957" s="6">
        <v>54.34</v>
      </c>
      <c r="N957" s="6">
        <v>54.709999000000003</v>
      </c>
      <c r="O957" s="6">
        <v>54.330002</v>
      </c>
      <c r="P957" s="6">
        <v>54.439999</v>
      </c>
      <c r="Q957" s="6">
        <v>43.210377000000001</v>
      </c>
      <c r="R957" s="58">
        <v>1851400</v>
      </c>
    </row>
    <row r="958" spans="12:18" x14ac:dyDescent="0.25">
      <c r="L958" s="26">
        <v>40829</v>
      </c>
      <c r="M958" s="6">
        <v>54.200001</v>
      </c>
      <c r="N958" s="6">
        <v>54.310001</v>
      </c>
      <c r="O958" s="6">
        <v>53.490001999999997</v>
      </c>
      <c r="P958" s="6">
        <v>53.959999000000003</v>
      </c>
      <c r="Q958" s="6">
        <v>42.82938</v>
      </c>
      <c r="R958" s="58">
        <v>1733900</v>
      </c>
    </row>
    <row r="959" spans="12:18" x14ac:dyDescent="0.25">
      <c r="L959" s="26">
        <v>40830</v>
      </c>
      <c r="M959" s="6">
        <v>54.400002000000001</v>
      </c>
      <c r="N959" s="6">
        <v>54.849997999999999</v>
      </c>
      <c r="O959" s="6">
        <v>54.34</v>
      </c>
      <c r="P959" s="6">
        <v>54.84</v>
      </c>
      <c r="Q959" s="6">
        <v>43.527866000000003</v>
      </c>
      <c r="R959" s="58">
        <v>1569900</v>
      </c>
    </row>
    <row r="960" spans="12:18" x14ac:dyDescent="0.25">
      <c r="L960" s="26">
        <v>40833</v>
      </c>
      <c r="M960" s="6">
        <v>54.540000999999997</v>
      </c>
      <c r="N960" s="6">
        <v>55</v>
      </c>
      <c r="O960" s="6">
        <v>54.540000999999997</v>
      </c>
      <c r="P960" s="6">
        <v>54.82</v>
      </c>
      <c r="Q960" s="6">
        <v>43.511989999999997</v>
      </c>
      <c r="R960" s="58">
        <v>2481400</v>
      </c>
    </row>
    <row r="961" spans="12:18" x14ac:dyDescent="0.25">
      <c r="L961" s="26">
        <v>40834</v>
      </c>
      <c r="M961" s="6">
        <v>54.669998</v>
      </c>
      <c r="N961" s="6">
        <v>55.009998000000003</v>
      </c>
      <c r="O961" s="6">
        <v>54.169998</v>
      </c>
      <c r="P961" s="6">
        <v>54.82</v>
      </c>
      <c r="Q961" s="6">
        <v>43.511989999999997</v>
      </c>
      <c r="R961" s="58">
        <v>1769300</v>
      </c>
    </row>
    <row r="962" spans="12:18" x14ac:dyDescent="0.25">
      <c r="L962" s="26">
        <v>40835</v>
      </c>
      <c r="M962" s="6">
        <v>54.860000999999997</v>
      </c>
      <c r="N962" s="6">
        <v>55.150002000000001</v>
      </c>
      <c r="O962" s="6">
        <v>54.380001</v>
      </c>
      <c r="P962" s="6">
        <v>54.48</v>
      </c>
      <c r="Q962" s="6">
        <v>43.242125999999999</v>
      </c>
      <c r="R962" s="58">
        <v>1059800</v>
      </c>
    </row>
    <row r="963" spans="12:18" x14ac:dyDescent="0.25">
      <c r="L963" s="26">
        <v>40836</v>
      </c>
      <c r="M963" s="6">
        <v>54.439999</v>
      </c>
      <c r="N963" s="6">
        <v>54.93</v>
      </c>
      <c r="O963" s="6">
        <v>54.110000999999997</v>
      </c>
      <c r="P963" s="6">
        <v>54.389999000000003</v>
      </c>
      <c r="Q963" s="6">
        <v>43.170699999999997</v>
      </c>
      <c r="R963" s="58">
        <v>1648200</v>
      </c>
    </row>
    <row r="964" spans="12:18" x14ac:dyDescent="0.25">
      <c r="L964" s="26">
        <v>40837</v>
      </c>
      <c r="M964" s="6">
        <v>54.799999</v>
      </c>
      <c r="N964" s="6">
        <v>55.009998000000003</v>
      </c>
      <c r="O964" s="6">
        <v>54.68</v>
      </c>
      <c r="P964" s="6">
        <v>54.98</v>
      </c>
      <c r="Q964" s="6">
        <v>43.638973</v>
      </c>
      <c r="R964" s="58">
        <v>1740500</v>
      </c>
    </row>
    <row r="965" spans="12:18" x14ac:dyDescent="0.25">
      <c r="L965" s="26">
        <v>40840</v>
      </c>
      <c r="M965" s="6">
        <v>55</v>
      </c>
      <c r="N965" s="6">
        <v>55.099997999999999</v>
      </c>
      <c r="O965" s="6">
        <v>54.619999</v>
      </c>
      <c r="P965" s="6">
        <v>54.77</v>
      </c>
      <c r="Q965" s="6">
        <v>43.472301000000002</v>
      </c>
      <c r="R965" s="58">
        <v>1632600</v>
      </c>
    </row>
    <row r="966" spans="12:18" x14ac:dyDescent="0.25">
      <c r="L966" s="26">
        <v>40841</v>
      </c>
      <c r="M966" s="6">
        <v>54.790000999999997</v>
      </c>
      <c r="N966" s="6">
        <v>54.860000999999997</v>
      </c>
      <c r="O966" s="6">
        <v>53.810001</v>
      </c>
      <c r="P966" s="6">
        <v>53.869999</v>
      </c>
      <c r="Q966" s="6">
        <v>42.757945999999997</v>
      </c>
      <c r="R966" s="58">
        <v>1762200</v>
      </c>
    </row>
    <row r="967" spans="12:18" x14ac:dyDescent="0.25">
      <c r="L967" s="26">
        <v>40842</v>
      </c>
      <c r="M967" s="6">
        <v>54.25</v>
      </c>
      <c r="N967" s="6">
        <v>54.650002000000001</v>
      </c>
      <c r="O967" s="6">
        <v>53.889999000000003</v>
      </c>
      <c r="P967" s="6">
        <v>54.540000999999997</v>
      </c>
      <c r="Q967" s="6">
        <v>43.289738</v>
      </c>
      <c r="R967" s="58">
        <v>2499200</v>
      </c>
    </row>
    <row r="968" spans="12:18" x14ac:dyDescent="0.25">
      <c r="L968" s="26">
        <v>40843</v>
      </c>
      <c r="M968" s="6">
        <v>55.07</v>
      </c>
      <c r="N968" s="6">
        <v>55.299999</v>
      </c>
      <c r="O968" s="6">
        <v>54.639999000000003</v>
      </c>
      <c r="P968" s="6">
        <v>55.07</v>
      </c>
      <c r="Q968" s="6">
        <v>43.710425999999998</v>
      </c>
      <c r="R968" s="58">
        <v>2140400</v>
      </c>
    </row>
    <row r="969" spans="12:18" x14ac:dyDescent="0.25">
      <c r="L969" s="26">
        <v>40844</v>
      </c>
      <c r="M969" s="6">
        <v>55.09</v>
      </c>
      <c r="N969" s="6">
        <v>55.110000999999997</v>
      </c>
      <c r="O969" s="6">
        <v>54.41</v>
      </c>
      <c r="P969" s="6">
        <v>54.779998999999997</v>
      </c>
      <c r="Q969" s="6">
        <v>43.480235999999998</v>
      </c>
      <c r="R969" s="58">
        <v>1702100</v>
      </c>
    </row>
    <row r="970" spans="12:18" x14ac:dyDescent="0.25">
      <c r="L970" s="26">
        <v>40847</v>
      </c>
      <c r="M970" s="6">
        <v>54.41</v>
      </c>
      <c r="N970" s="6">
        <v>54.82</v>
      </c>
      <c r="O970" s="6">
        <v>54.209999000000003</v>
      </c>
      <c r="P970" s="6">
        <v>54.209999000000003</v>
      </c>
      <c r="Q970" s="6">
        <v>43.027808999999998</v>
      </c>
      <c r="R970" s="58">
        <v>1431100</v>
      </c>
    </row>
    <row r="971" spans="12:18" x14ac:dyDescent="0.25">
      <c r="L971" s="26">
        <v>40848</v>
      </c>
      <c r="M971" s="6">
        <v>53.599997999999999</v>
      </c>
      <c r="N971" s="6">
        <v>54.25</v>
      </c>
      <c r="O971" s="6">
        <v>53.259998000000003</v>
      </c>
      <c r="P971" s="6">
        <v>53.560001</v>
      </c>
      <c r="Q971" s="6">
        <v>42.511890000000001</v>
      </c>
      <c r="R971" s="58">
        <v>2273000</v>
      </c>
    </row>
    <row r="972" spans="12:18" x14ac:dyDescent="0.25">
      <c r="L972" s="26">
        <v>40849</v>
      </c>
      <c r="M972" s="6">
        <v>54.119999</v>
      </c>
      <c r="N972" s="6">
        <v>54.119999</v>
      </c>
      <c r="O972" s="6">
        <v>53.560001</v>
      </c>
      <c r="P972" s="6">
        <v>54.040000999999997</v>
      </c>
      <c r="Q972" s="6">
        <v>42.892895000000003</v>
      </c>
      <c r="R972" s="58">
        <v>1749500</v>
      </c>
    </row>
    <row r="973" spans="12:18" x14ac:dyDescent="0.25">
      <c r="L973" s="26">
        <v>40850</v>
      </c>
      <c r="M973" s="6">
        <v>49.939999</v>
      </c>
      <c r="N973" s="6">
        <v>50.669998</v>
      </c>
      <c r="O973" s="6">
        <v>49.52</v>
      </c>
      <c r="P973" s="6">
        <v>49.91</v>
      </c>
      <c r="Q973" s="6">
        <v>39.614798999999998</v>
      </c>
      <c r="R973" s="58">
        <v>9461300</v>
      </c>
    </row>
    <row r="974" spans="12:18" x14ac:dyDescent="0.25">
      <c r="L974" s="26">
        <v>40851</v>
      </c>
      <c r="M974" s="6">
        <v>49.959999000000003</v>
      </c>
      <c r="N974" s="6">
        <v>50.389999000000003</v>
      </c>
      <c r="O974" s="6">
        <v>49.68</v>
      </c>
      <c r="P974" s="6">
        <v>49.91</v>
      </c>
      <c r="Q974" s="6">
        <v>39.614798999999998</v>
      </c>
      <c r="R974" s="58">
        <v>4191300</v>
      </c>
    </row>
    <row r="975" spans="12:18" x14ac:dyDescent="0.25">
      <c r="L975" s="26">
        <v>40854</v>
      </c>
      <c r="M975" s="6">
        <v>49.889999000000003</v>
      </c>
      <c r="N975" s="6">
        <v>50.48</v>
      </c>
      <c r="O975" s="6">
        <v>49.700001</v>
      </c>
      <c r="P975" s="6">
        <v>50.439999</v>
      </c>
      <c r="Q975" s="6">
        <v>40.035473000000003</v>
      </c>
      <c r="R975" s="58">
        <v>2349500</v>
      </c>
    </row>
    <row r="976" spans="12:18" x14ac:dyDescent="0.25">
      <c r="L976" s="26">
        <v>40855</v>
      </c>
      <c r="M976" s="6">
        <v>50.59</v>
      </c>
      <c r="N976" s="6">
        <v>50.950001</v>
      </c>
      <c r="O976" s="6">
        <v>49.759998000000003</v>
      </c>
      <c r="P976" s="6">
        <v>49.889999000000003</v>
      </c>
      <c r="Q976" s="6">
        <v>39.598930000000003</v>
      </c>
      <c r="R976" s="58">
        <v>4304600</v>
      </c>
    </row>
    <row r="977" spans="12:18" x14ac:dyDescent="0.25">
      <c r="L977" s="26">
        <v>40856</v>
      </c>
      <c r="M977" s="6">
        <v>49.830002</v>
      </c>
      <c r="N977" s="6">
        <v>49.880001</v>
      </c>
      <c r="O977" s="6">
        <v>48.82</v>
      </c>
      <c r="P977" s="6">
        <v>49.080002</v>
      </c>
      <c r="Q977" s="6">
        <v>38.956012999999999</v>
      </c>
      <c r="R977" s="58">
        <v>3443700</v>
      </c>
    </row>
    <row r="978" spans="12:18" x14ac:dyDescent="0.25">
      <c r="L978" s="26">
        <v>40857</v>
      </c>
      <c r="M978" s="6">
        <v>49.400002000000001</v>
      </c>
      <c r="N978" s="6">
        <v>49.799999</v>
      </c>
      <c r="O978" s="6">
        <v>48.919998</v>
      </c>
      <c r="P978" s="6">
        <v>49.380001</v>
      </c>
      <c r="Q978" s="6">
        <v>39.194130000000001</v>
      </c>
      <c r="R978" s="58">
        <v>3415600</v>
      </c>
    </row>
    <row r="979" spans="12:18" x14ac:dyDescent="0.25">
      <c r="L979" s="26">
        <v>40858</v>
      </c>
      <c r="M979" s="6">
        <v>49.689999</v>
      </c>
      <c r="N979" s="6">
        <v>49.950001</v>
      </c>
      <c r="O979" s="6">
        <v>49.59</v>
      </c>
      <c r="P979" s="6">
        <v>49.720001000000003</v>
      </c>
      <c r="Q979" s="6">
        <v>39.464001000000003</v>
      </c>
      <c r="R979" s="58">
        <v>1741500</v>
      </c>
    </row>
    <row r="980" spans="12:18" x14ac:dyDescent="0.25">
      <c r="L980" s="26">
        <v>40861</v>
      </c>
      <c r="M980" s="6">
        <v>49.490001999999997</v>
      </c>
      <c r="N980" s="6">
        <v>49.880001</v>
      </c>
      <c r="O980" s="6">
        <v>49.419998</v>
      </c>
      <c r="P980" s="6">
        <v>49.650002000000001</v>
      </c>
      <c r="Q980" s="6">
        <v>39.408428000000001</v>
      </c>
      <c r="R980" s="58">
        <v>1754100</v>
      </c>
    </row>
    <row r="981" spans="12:18" x14ac:dyDescent="0.25">
      <c r="L981" s="26">
        <v>40862</v>
      </c>
      <c r="M981" s="6">
        <v>49.330002</v>
      </c>
      <c r="N981" s="6">
        <v>49.91</v>
      </c>
      <c r="O981" s="6">
        <v>49.150002000000001</v>
      </c>
      <c r="P981" s="6">
        <v>49.799999</v>
      </c>
      <c r="Q981" s="6">
        <v>39.527493</v>
      </c>
      <c r="R981" s="58">
        <v>5323800</v>
      </c>
    </row>
    <row r="982" spans="12:18" x14ac:dyDescent="0.25">
      <c r="L982" s="26">
        <v>40863</v>
      </c>
      <c r="M982" s="6">
        <v>49.52</v>
      </c>
      <c r="N982" s="6">
        <v>49.799999</v>
      </c>
      <c r="O982" s="6">
        <v>49.130001</v>
      </c>
      <c r="P982" s="6">
        <v>49.169998</v>
      </c>
      <c r="Q982" s="6">
        <v>39.027439000000001</v>
      </c>
      <c r="R982" s="58">
        <v>2448900</v>
      </c>
    </row>
    <row r="983" spans="12:18" x14ac:dyDescent="0.25">
      <c r="L983" s="26">
        <v>40864</v>
      </c>
      <c r="M983" s="6">
        <v>49.209999000000003</v>
      </c>
      <c r="N983" s="6">
        <v>49.610000999999997</v>
      </c>
      <c r="O983" s="6">
        <v>49.080002</v>
      </c>
      <c r="P983" s="6">
        <v>49.380001</v>
      </c>
      <c r="Q983" s="6">
        <v>39.194130000000001</v>
      </c>
      <c r="R983" s="58">
        <v>2177900</v>
      </c>
    </row>
    <row r="984" spans="12:18" x14ac:dyDescent="0.25">
      <c r="L984" s="26">
        <v>40865</v>
      </c>
      <c r="M984" s="6">
        <v>49.52</v>
      </c>
      <c r="N984" s="6">
        <v>49.599997999999999</v>
      </c>
      <c r="O984" s="6">
        <v>49.040000999999997</v>
      </c>
      <c r="P984" s="6">
        <v>49.369999</v>
      </c>
      <c r="Q984" s="6">
        <v>39.186191999999998</v>
      </c>
      <c r="R984" s="58">
        <v>2905600</v>
      </c>
    </row>
    <row r="985" spans="12:18" x14ac:dyDescent="0.25">
      <c r="L985" s="26">
        <v>40868</v>
      </c>
      <c r="M985" s="6">
        <v>49.029998999999997</v>
      </c>
      <c r="N985" s="6">
        <v>49.34</v>
      </c>
      <c r="O985" s="6">
        <v>48.970001000000003</v>
      </c>
      <c r="P985" s="6">
        <v>49.139999000000003</v>
      </c>
      <c r="Q985" s="6">
        <v>39.003642999999997</v>
      </c>
      <c r="R985" s="58">
        <v>2885500</v>
      </c>
    </row>
    <row r="986" spans="12:18" x14ac:dyDescent="0.25">
      <c r="L986" s="26">
        <v>40869</v>
      </c>
      <c r="M986" s="6">
        <v>49.200001</v>
      </c>
      <c r="N986" s="6">
        <v>49.220001000000003</v>
      </c>
      <c r="O986" s="6">
        <v>48.75</v>
      </c>
      <c r="P986" s="6">
        <v>48.84</v>
      </c>
      <c r="Q986" s="6">
        <v>38.765514000000003</v>
      </c>
      <c r="R986" s="58">
        <v>2824200</v>
      </c>
    </row>
    <row r="987" spans="12:18" x14ac:dyDescent="0.25">
      <c r="L987" s="26">
        <v>40870</v>
      </c>
      <c r="M987" s="6">
        <v>48.639999000000003</v>
      </c>
      <c r="N987" s="6">
        <v>48.830002</v>
      </c>
      <c r="O987" s="6">
        <v>48.110000999999997</v>
      </c>
      <c r="P987" s="6">
        <v>48.25</v>
      </c>
      <c r="Q987" s="6">
        <v>38.297215000000001</v>
      </c>
      <c r="R987" s="58">
        <v>2230800</v>
      </c>
    </row>
    <row r="988" spans="12:18" x14ac:dyDescent="0.25">
      <c r="L988" s="26">
        <v>40872</v>
      </c>
      <c r="M988" s="6">
        <v>48.209999000000003</v>
      </c>
      <c r="N988" s="6">
        <v>48.98</v>
      </c>
      <c r="O988" s="6">
        <v>48.200001</v>
      </c>
      <c r="P988" s="6">
        <v>48.75</v>
      </c>
      <c r="Q988" s="6">
        <v>38.694091999999998</v>
      </c>
      <c r="R988" s="58">
        <v>1201900</v>
      </c>
    </row>
    <row r="989" spans="12:18" x14ac:dyDescent="0.25">
      <c r="L989" s="26">
        <v>40875</v>
      </c>
      <c r="M989" s="6">
        <v>48.810001</v>
      </c>
      <c r="N989" s="6">
        <v>49.110000999999997</v>
      </c>
      <c r="O989" s="6">
        <v>48.459999000000003</v>
      </c>
      <c r="P989" s="6">
        <v>48.619999</v>
      </c>
      <c r="Q989" s="6">
        <v>38.590899999999998</v>
      </c>
      <c r="R989" s="58">
        <v>3104900</v>
      </c>
    </row>
    <row r="990" spans="12:18" x14ac:dyDescent="0.25">
      <c r="L990" s="26">
        <v>40876</v>
      </c>
      <c r="M990" s="6">
        <v>48.23</v>
      </c>
      <c r="N990" s="6">
        <v>48.52</v>
      </c>
      <c r="O990" s="6">
        <v>48.099997999999999</v>
      </c>
      <c r="P990" s="6">
        <v>48.34</v>
      </c>
      <c r="Q990" s="6">
        <v>38.711021000000002</v>
      </c>
      <c r="R990" s="58">
        <v>2417600</v>
      </c>
    </row>
    <row r="991" spans="12:18" x14ac:dyDescent="0.25">
      <c r="L991" s="26">
        <v>40877</v>
      </c>
      <c r="M991" s="6">
        <v>48.779998999999997</v>
      </c>
      <c r="N991" s="6">
        <v>49.259998000000003</v>
      </c>
      <c r="O991" s="6">
        <v>48.639999000000003</v>
      </c>
      <c r="P991" s="6">
        <v>49.16</v>
      </c>
      <c r="Q991" s="6">
        <v>39.367671999999999</v>
      </c>
      <c r="R991" s="58">
        <v>2755900</v>
      </c>
    </row>
    <row r="992" spans="12:18" x14ac:dyDescent="0.25">
      <c r="L992" s="26">
        <v>40878</v>
      </c>
      <c r="M992" s="6">
        <v>49.029998999999997</v>
      </c>
      <c r="N992" s="6">
        <v>49.369999</v>
      </c>
      <c r="O992" s="6">
        <v>48.869999</v>
      </c>
      <c r="P992" s="6">
        <v>48.98</v>
      </c>
      <c r="Q992" s="6">
        <v>39.223537</v>
      </c>
      <c r="R992" s="58">
        <v>2927000</v>
      </c>
    </row>
    <row r="993" spans="12:18" x14ac:dyDescent="0.25">
      <c r="L993" s="26">
        <v>40879</v>
      </c>
      <c r="M993" s="6">
        <v>49.09</v>
      </c>
      <c r="N993" s="6">
        <v>49.32</v>
      </c>
      <c r="O993" s="6">
        <v>48.919998</v>
      </c>
      <c r="P993" s="6">
        <v>49.119999</v>
      </c>
      <c r="Q993" s="6">
        <v>39.335650999999999</v>
      </c>
      <c r="R993" s="58">
        <v>2038800</v>
      </c>
    </row>
    <row r="994" spans="12:18" x14ac:dyDescent="0.25">
      <c r="L994" s="26">
        <v>40882</v>
      </c>
      <c r="M994" s="6">
        <v>49.43</v>
      </c>
      <c r="N994" s="6">
        <v>50.07</v>
      </c>
      <c r="O994" s="6">
        <v>49.32</v>
      </c>
      <c r="P994" s="6">
        <v>49.950001</v>
      </c>
      <c r="Q994" s="6">
        <v>40.000301</v>
      </c>
      <c r="R994" s="58">
        <v>2877500</v>
      </c>
    </row>
    <row r="995" spans="12:18" x14ac:dyDescent="0.25">
      <c r="L995" s="26">
        <v>40883</v>
      </c>
      <c r="M995" s="6">
        <v>50.080002</v>
      </c>
      <c r="N995" s="6">
        <v>50.150002000000001</v>
      </c>
      <c r="O995" s="6">
        <v>49.75</v>
      </c>
      <c r="P995" s="6">
        <v>49.790000999999997</v>
      </c>
      <c r="Q995" s="6">
        <v>39.872191999999998</v>
      </c>
      <c r="R995" s="58">
        <v>1808800</v>
      </c>
    </row>
    <row r="996" spans="12:18" x14ac:dyDescent="0.25">
      <c r="L996" s="26">
        <v>40884</v>
      </c>
      <c r="M996" s="6">
        <v>49.810001</v>
      </c>
      <c r="N996" s="6">
        <v>50</v>
      </c>
      <c r="O996" s="6">
        <v>49.400002000000001</v>
      </c>
      <c r="P996" s="6">
        <v>49.830002</v>
      </c>
      <c r="Q996" s="6">
        <v>39.904212999999999</v>
      </c>
      <c r="R996" s="58">
        <v>1333100</v>
      </c>
    </row>
    <row r="997" spans="12:18" x14ac:dyDescent="0.25">
      <c r="L997" s="26">
        <v>40885</v>
      </c>
      <c r="M997" s="6">
        <v>49.720001000000003</v>
      </c>
      <c r="N997" s="6">
        <v>49.799999</v>
      </c>
      <c r="O997" s="6">
        <v>49.220001000000003</v>
      </c>
      <c r="P997" s="6">
        <v>49.310001</v>
      </c>
      <c r="Q997" s="6">
        <v>39.487800999999997</v>
      </c>
      <c r="R997" s="58">
        <v>1753100</v>
      </c>
    </row>
    <row r="998" spans="12:18" x14ac:dyDescent="0.25">
      <c r="L998" s="26">
        <v>40886</v>
      </c>
      <c r="M998" s="6">
        <v>49.450001</v>
      </c>
      <c r="N998" s="6">
        <v>49.98</v>
      </c>
      <c r="O998" s="6">
        <v>49.439999</v>
      </c>
      <c r="P998" s="6">
        <v>49.810001</v>
      </c>
      <c r="Q998" s="6">
        <v>39.888199</v>
      </c>
      <c r="R998" s="58">
        <v>1189300</v>
      </c>
    </row>
    <row r="999" spans="12:18" x14ac:dyDescent="0.25">
      <c r="L999" s="26">
        <v>40889</v>
      </c>
      <c r="M999" s="6">
        <v>49.77</v>
      </c>
      <c r="N999" s="6">
        <v>49.82</v>
      </c>
      <c r="O999" s="6">
        <v>48.91</v>
      </c>
      <c r="P999" s="6">
        <v>49.110000999999997</v>
      </c>
      <c r="Q999" s="6">
        <v>39.327643999999999</v>
      </c>
      <c r="R999" s="58">
        <v>1995000</v>
      </c>
    </row>
    <row r="1000" spans="12:18" x14ac:dyDescent="0.25">
      <c r="L1000" s="26">
        <v>40890</v>
      </c>
      <c r="M1000" s="6">
        <v>49.110000999999997</v>
      </c>
      <c r="N1000" s="6">
        <v>49.360000999999997</v>
      </c>
      <c r="O1000" s="6">
        <v>48.549999</v>
      </c>
      <c r="P1000" s="6">
        <v>48.720001000000003</v>
      </c>
      <c r="Q1000" s="6">
        <v>39.015335</v>
      </c>
      <c r="R1000" s="58">
        <v>1937800</v>
      </c>
    </row>
    <row r="1001" spans="12:18" x14ac:dyDescent="0.25">
      <c r="L1001" s="26">
        <v>40891</v>
      </c>
      <c r="M1001" s="6">
        <v>48.740001999999997</v>
      </c>
      <c r="N1001" s="6">
        <v>48.990001999999997</v>
      </c>
      <c r="O1001" s="6">
        <v>48.630001</v>
      </c>
      <c r="P1001" s="6">
        <v>48.689999</v>
      </c>
      <c r="Q1001" s="6">
        <v>38.991290999999997</v>
      </c>
      <c r="R1001" s="58">
        <v>1653800</v>
      </c>
    </row>
    <row r="1002" spans="12:18" x14ac:dyDescent="0.25">
      <c r="L1002" s="26">
        <v>40892</v>
      </c>
      <c r="M1002" s="6">
        <v>48.889999000000003</v>
      </c>
      <c r="N1002" s="6">
        <v>49.200001</v>
      </c>
      <c r="O1002" s="6">
        <v>48.689999</v>
      </c>
      <c r="P1002" s="6">
        <v>48.759998000000003</v>
      </c>
      <c r="Q1002" s="6">
        <v>39.047348</v>
      </c>
      <c r="R1002" s="58">
        <v>1978000</v>
      </c>
    </row>
    <row r="1003" spans="12:18" x14ac:dyDescent="0.25">
      <c r="L1003" s="26">
        <v>40893</v>
      </c>
      <c r="M1003" s="6">
        <v>49</v>
      </c>
      <c r="N1003" s="6">
        <v>49.119999</v>
      </c>
      <c r="O1003" s="6">
        <v>48.470001000000003</v>
      </c>
      <c r="P1003" s="6">
        <v>48.77</v>
      </c>
      <c r="Q1003" s="6">
        <v>39.055354999999999</v>
      </c>
      <c r="R1003" s="58">
        <v>2740200</v>
      </c>
    </row>
    <row r="1004" spans="12:18" x14ac:dyDescent="0.25">
      <c r="L1004" s="26">
        <v>40896</v>
      </c>
      <c r="M1004" s="6">
        <v>48.93</v>
      </c>
      <c r="N1004" s="6">
        <v>49.200001</v>
      </c>
      <c r="O1004" s="6">
        <v>48.639999000000003</v>
      </c>
      <c r="P1004" s="6">
        <v>48.73</v>
      </c>
      <c r="Q1004" s="6">
        <v>39.023330999999999</v>
      </c>
      <c r="R1004" s="58">
        <v>1396100</v>
      </c>
    </row>
    <row r="1005" spans="12:18" x14ac:dyDescent="0.25">
      <c r="L1005" s="26">
        <v>40897</v>
      </c>
      <c r="M1005" s="6">
        <v>48.830002</v>
      </c>
      <c r="N1005" s="6">
        <v>49.369999</v>
      </c>
      <c r="O1005" s="6">
        <v>48.709999000000003</v>
      </c>
      <c r="P1005" s="6">
        <v>49.330002</v>
      </c>
      <c r="Q1005" s="6">
        <v>39.503810999999999</v>
      </c>
      <c r="R1005" s="58">
        <v>1339900</v>
      </c>
    </row>
    <row r="1006" spans="12:18" x14ac:dyDescent="0.25">
      <c r="L1006" s="26">
        <v>40898</v>
      </c>
      <c r="M1006" s="6">
        <v>49.290000999999997</v>
      </c>
      <c r="N1006" s="6">
        <v>50.119999</v>
      </c>
      <c r="O1006" s="6">
        <v>49.290000999999997</v>
      </c>
      <c r="P1006" s="6">
        <v>50</v>
      </c>
      <c r="Q1006" s="6">
        <v>40.040359000000002</v>
      </c>
      <c r="R1006" s="58">
        <v>1519800</v>
      </c>
    </row>
    <row r="1007" spans="12:18" x14ac:dyDescent="0.25">
      <c r="L1007" s="26">
        <v>40899</v>
      </c>
      <c r="M1007" s="6">
        <v>49.919998</v>
      </c>
      <c r="N1007" s="6">
        <v>49.98</v>
      </c>
      <c r="O1007" s="6">
        <v>49.439999</v>
      </c>
      <c r="P1007" s="6">
        <v>49.91</v>
      </c>
      <c r="Q1007" s="6">
        <v>39.968288000000001</v>
      </c>
      <c r="R1007" s="58">
        <v>1360700</v>
      </c>
    </row>
    <row r="1008" spans="12:18" x14ac:dyDescent="0.25">
      <c r="L1008" s="26">
        <v>40900</v>
      </c>
      <c r="M1008" s="6">
        <v>49.860000999999997</v>
      </c>
      <c r="N1008" s="6">
        <v>50.580002</v>
      </c>
      <c r="O1008" s="6">
        <v>49.860000999999997</v>
      </c>
      <c r="P1008" s="6">
        <v>50.34</v>
      </c>
      <c r="Q1008" s="6">
        <v>40.312634000000003</v>
      </c>
      <c r="R1008" s="58">
        <v>1069300</v>
      </c>
    </row>
    <row r="1009" spans="12:18" x14ac:dyDescent="0.25">
      <c r="L1009" s="26">
        <v>40904</v>
      </c>
      <c r="M1009" s="6">
        <v>50.299999</v>
      </c>
      <c r="N1009" s="6">
        <v>50.880001</v>
      </c>
      <c r="O1009" s="6">
        <v>50.299999</v>
      </c>
      <c r="P1009" s="6">
        <v>50.75</v>
      </c>
      <c r="Q1009" s="6">
        <v>40.640957</v>
      </c>
      <c r="R1009" s="58">
        <v>1731700</v>
      </c>
    </row>
    <row r="1010" spans="12:18" x14ac:dyDescent="0.25">
      <c r="L1010" s="26">
        <v>40905</v>
      </c>
      <c r="M1010" s="6">
        <v>50.869999</v>
      </c>
      <c r="N1010" s="6">
        <v>50.900002000000001</v>
      </c>
      <c r="O1010" s="6">
        <v>50.639999000000003</v>
      </c>
      <c r="P1010" s="6">
        <v>50.68</v>
      </c>
      <c r="Q1010" s="6">
        <v>40.584907999999999</v>
      </c>
      <c r="R1010" s="58">
        <v>941600</v>
      </c>
    </row>
    <row r="1011" spans="12:18" x14ac:dyDescent="0.25">
      <c r="L1011" s="26">
        <v>40906</v>
      </c>
      <c r="M1011" s="6">
        <v>50.619999</v>
      </c>
      <c r="N1011" s="6">
        <v>50.919998</v>
      </c>
      <c r="O1011" s="6">
        <v>50.59</v>
      </c>
      <c r="P1011" s="6">
        <v>50.860000999999997</v>
      </c>
      <c r="Q1011" s="6">
        <v>40.729045999999997</v>
      </c>
      <c r="R1011" s="58">
        <v>1083600</v>
      </c>
    </row>
    <row r="1012" spans="12:18" x14ac:dyDescent="0.25">
      <c r="L1012" s="26">
        <v>40907</v>
      </c>
      <c r="M1012" s="6">
        <v>50.549999</v>
      </c>
      <c r="N1012" s="6">
        <v>50.889999000000003</v>
      </c>
      <c r="O1012" s="6">
        <v>50.52</v>
      </c>
      <c r="P1012" s="6">
        <v>50.57</v>
      </c>
      <c r="Q1012" s="6">
        <v>40.496819000000002</v>
      </c>
      <c r="R1012" s="58">
        <v>835600</v>
      </c>
    </row>
    <row r="1013" spans="12:18" x14ac:dyDescent="0.25">
      <c r="L1013" s="26">
        <v>40911</v>
      </c>
      <c r="M1013" s="6">
        <v>50.970001000000003</v>
      </c>
      <c r="N1013" s="6">
        <v>51.119999</v>
      </c>
      <c r="O1013" s="6">
        <v>50.43</v>
      </c>
      <c r="P1013" s="6">
        <v>50.459999000000003</v>
      </c>
      <c r="Q1013" s="6">
        <v>40.408726000000001</v>
      </c>
      <c r="R1013" s="58">
        <v>1251800</v>
      </c>
    </row>
    <row r="1014" spans="12:18" x14ac:dyDescent="0.25">
      <c r="L1014" s="26">
        <v>40912</v>
      </c>
      <c r="M1014" s="6">
        <v>50.509998000000003</v>
      </c>
      <c r="N1014" s="6">
        <v>50.610000999999997</v>
      </c>
      <c r="O1014" s="6">
        <v>50.23</v>
      </c>
      <c r="P1014" s="6">
        <v>50.41</v>
      </c>
      <c r="Q1014" s="6">
        <v>40.368687000000001</v>
      </c>
      <c r="R1014" s="58">
        <v>1085600</v>
      </c>
    </row>
    <row r="1015" spans="12:18" x14ac:dyDescent="0.25">
      <c r="L1015" s="26">
        <v>40913</v>
      </c>
      <c r="M1015" s="6">
        <v>50.310001</v>
      </c>
      <c r="N1015" s="6">
        <v>50.740001999999997</v>
      </c>
      <c r="O1015" s="6">
        <v>50.27</v>
      </c>
      <c r="P1015" s="6">
        <v>50.470001000000003</v>
      </c>
      <c r="Q1015" s="6">
        <v>40.416736999999998</v>
      </c>
      <c r="R1015" s="58">
        <v>1623100</v>
      </c>
    </row>
    <row r="1016" spans="12:18" x14ac:dyDescent="0.25">
      <c r="L1016" s="26">
        <v>40914</v>
      </c>
      <c r="M1016" s="6">
        <v>50.73</v>
      </c>
      <c r="N1016" s="6">
        <v>50.77</v>
      </c>
      <c r="O1016" s="6">
        <v>50.32</v>
      </c>
      <c r="P1016" s="6">
        <v>50.509998000000003</v>
      </c>
      <c r="Q1016" s="6">
        <v>40.448771999999998</v>
      </c>
      <c r="R1016" s="58">
        <v>3649300</v>
      </c>
    </row>
    <row r="1017" spans="12:18" x14ac:dyDescent="0.25">
      <c r="L1017" s="26">
        <v>40917</v>
      </c>
      <c r="M1017" s="6">
        <v>50.709999000000003</v>
      </c>
      <c r="N1017" s="6">
        <v>50.759998000000003</v>
      </c>
      <c r="O1017" s="6">
        <v>50.299999</v>
      </c>
      <c r="P1017" s="6">
        <v>50.709999000000003</v>
      </c>
      <c r="Q1017" s="6">
        <v>40.608929000000003</v>
      </c>
      <c r="R1017" s="58">
        <v>1283900</v>
      </c>
    </row>
    <row r="1018" spans="12:18" x14ac:dyDescent="0.25">
      <c r="L1018" s="26">
        <v>40918</v>
      </c>
      <c r="M1018" s="6">
        <v>50.959999000000003</v>
      </c>
      <c r="N1018" s="6">
        <v>51.41</v>
      </c>
      <c r="O1018" s="6">
        <v>50.900002000000001</v>
      </c>
      <c r="P1018" s="6">
        <v>51.400002000000001</v>
      </c>
      <c r="Q1018" s="6">
        <v>41.161484000000002</v>
      </c>
      <c r="R1018" s="58">
        <v>2480100</v>
      </c>
    </row>
    <row r="1019" spans="12:18" x14ac:dyDescent="0.25">
      <c r="L1019" s="26">
        <v>40919</v>
      </c>
      <c r="M1019" s="6">
        <v>51.299999</v>
      </c>
      <c r="N1019" s="6">
        <v>51.630001</v>
      </c>
      <c r="O1019" s="6">
        <v>51.169998</v>
      </c>
      <c r="P1019" s="6">
        <v>51.560001</v>
      </c>
      <c r="Q1019" s="6">
        <v>41.289611999999998</v>
      </c>
      <c r="R1019" s="58">
        <v>1700500</v>
      </c>
    </row>
    <row r="1020" spans="12:18" x14ac:dyDescent="0.25">
      <c r="L1020" s="26">
        <v>40920</v>
      </c>
      <c r="M1020" s="6">
        <v>51.59</v>
      </c>
      <c r="N1020" s="6">
        <v>51.849997999999999</v>
      </c>
      <c r="O1020" s="6">
        <v>51.290000999999997</v>
      </c>
      <c r="P1020" s="6">
        <v>51.439999</v>
      </c>
      <c r="Q1020" s="6">
        <v>41.193519999999999</v>
      </c>
      <c r="R1020" s="58">
        <v>1356500</v>
      </c>
    </row>
    <row r="1021" spans="12:18" x14ac:dyDescent="0.25">
      <c r="L1021" s="26">
        <v>40921</v>
      </c>
      <c r="M1021" s="6">
        <v>51.360000999999997</v>
      </c>
      <c r="N1021" s="6">
        <v>51.43</v>
      </c>
      <c r="O1021" s="6">
        <v>50.759998000000003</v>
      </c>
      <c r="P1021" s="6">
        <v>50.810001</v>
      </c>
      <c r="Q1021" s="6">
        <v>40.689003</v>
      </c>
      <c r="R1021" s="58">
        <v>2625000</v>
      </c>
    </row>
    <row r="1022" spans="12:18" x14ac:dyDescent="0.25">
      <c r="L1022" s="26">
        <v>40925</v>
      </c>
      <c r="M1022" s="6">
        <v>51.099997999999999</v>
      </c>
      <c r="N1022" s="6">
        <v>51.279998999999997</v>
      </c>
      <c r="O1022" s="6">
        <v>50.84</v>
      </c>
      <c r="P1022" s="6">
        <v>50.889999000000003</v>
      </c>
      <c r="Q1022" s="6">
        <v>40.753067000000001</v>
      </c>
      <c r="R1022" s="58">
        <v>1318500</v>
      </c>
    </row>
    <row r="1023" spans="12:18" x14ac:dyDescent="0.25">
      <c r="L1023" s="26">
        <v>40926</v>
      </c>
      <c r="M1023" s="6">
        <v>50.919998</v>
      </c>
      <c r="N1023" s="6">
        <v>51.34</v>
      </c>
      <c r="O1023" s="6">
        <v>50.73</v>
      </c>
      <c r="P1023" s="6">
        <v>51.16</v>
      </c>
      <c r="Q1023" s="6">
        <v>40.969292000000003</v>
      </c>
      <c r="R1023" s="58">
        <v>1297900</v>
      </c>
    </row>
    <row r="1024" spans="12:18" x14ac:dyDescent="0.25">
      <c r="L1024" s="26">
        <v>40927</v>
      </c>
      <c r="M1024" s="6">
        <v>51.369999</v>
      </c>
      <c r="N1024" s="6">
        <v>51.369999</v>
      </c>
      <c r="O1024" s="6">
        <v>51.009998000000003</v>
      </c>
      <c r="P1024" s="6">
        <v>51.189999</v>
      </c>
      <c r="Q1024" s="6">
        <v>40.993309000000004</v>
      </c>
      <c r="R1024" s="58">
        <v>1656200</v>
      </c>
    </row>
    <row r="1025" spans="12:18" x14ac:dyDescent="0.25">
      <c r="L1025" s="26">
        <v>40928</v>
      </c>
      <c r="M1025" s="6">
        <v>51.220001000000003</v>
      </c>
      <c r="N1025" s="6">
        <v>51.23</v>
      </c>
      <c r="O1025" s="6">
        <v>50.66</v>
      </c>
      <c r="P1025" s="6">
        <v>51.07</v>
      </c>
      <c r="Q1025" s="6">
        <v>40.897213000000001</v>
      </c>
      <c r="R1025" s="58">
        <v>1524100</v>
      </c>
    </row>
    <row r="1026" spans="12:18" x14ac:dyDescent="0.25">
      <c r="L1026" s="26">
        <v>40931</v>
      </c>
      <c r="M1026" s="6">
        <v>51.040000999999997</v>
      </c>
      <c r="N1026" s="6">
        <v>51.07</v>
      </c>
      <c r="O1026" s="6">
        <v>50.43</v>
      </c>
      <c r="P1026" s="6">
        <v>51</v>
      </c>
      <c r="Q1026" s="6">
        <v>40.841152000000001</v>
      </c>
      <c r="R1026" s="58">
        <v>2006800</v>
      </c>
    </row>
    <row r="1027" spans="12:18" x14ac:dyDescent="0.25">
      <c r="L1027" s="26">
        <v>40932</v>
      </c>
      <c r="M1027" s="6">
        <v>50.720001000000003</v>
      </c>
      <c r="N1027" s="6">
        <v>50.900002000000001</v>
      </c>
      <c r="O1027" s="6">
        <v>50.419998</v>
      </c>
      <c r="P1027" s="6">
        <v>50.5</v>
      </c>
      <c r="Q1027" s="6">
        <v>40.440753999999998</v>
      </c>
      <c r="R1027" s="58">
        <v>1772300</v>
      </c>
    </row>
    <row r="1028" spans="12:18" x14ac:dyDescent="0.25">
      <c r="L1028" s="26">
        <v>40933</v>
      </c>
      <c r="M1028" s="6">
        <v>50.400002000000001</v>
      </c>
      <c r="N1028" s="6">
        <v>51</v>
      </c>
      <c r="O1028" s="6">
        <v>50.369999</v>
      </c>
      <c r="P1028" s="6">
        <v>50.91</v>
      </c>
      <c r="Q1028" s="6">
        <v>40.769095999999998</v>
      </c>
      <c r="R1028" s="58">
        <v>2793200</v>
      </c>
    </row>
    <row r="1029" spans="12:18" x14ac:dyDescent="0.25">
      <c r="L1029" s="26">
        <v>40934</v>
      </c>
      <c r="M1029" s="6">
        <v>50.880001</v>
      </c>
      <c r="N1029" s="6">
        <v>50.98</v>
      </c>
      <c r="O1029" s="6">
        <v>49.950001</v>
      </c>
      <c r="P1029" s="6">
        <v>49.990001999999997</v>
      </c>
      <c r="Q1029" s="6">
        <v>40.032356</v>
      </c>
      <c r="R1029" s="58">
        <v>3118400</v>
      </c>
    </row>
    <row r="1030" spans="12:18" x14ac:dyDescent="0.25">
      <c r="L1030" s="26">
        <v>40935</v>
      </c>
      <c r="M1030" s="6">
        <v>49.950001</v>
      </c>
      <c r="N1030" s="6">
        <v>50.25</v>
      </c>
      <c r="O1030" s="6">
        <v>49.639999000000003</v>
      </c>
      <c r="P1030" s="6">
        <v>49.73</v>
      </c>
      <c r="Q1030" s="6">
        <v>39.824131000000001</v>
      </c>
      <c r="R1030" s="58">
        <v>2401100</v>
      </c>
    </row>
    <row r="1031" spans="12:18" x14ac:dyDescent="0.25">
      <c r="L1031" s="26">
        <v>40938</v>
      </c>
      <c r="M1031" s="6">
        <v>49.080002</v>
      </c>
      <c r="N1031" s="6">
        <v>49.790000999999997</v>
      </c>
      <c r="O1031" s="6">
        <v>49.07</v>
      </c>
      <c r="P1031" s="6">
        <v>49.470001000000003</v>
      </c>
      <c r="Q1031" s="6">
        <v>39.615932000000001</v>
      </c>
      <c r="R1031" s="58">
        <v>3237400</v>
      </c>
    </row>
    <row r="1032" spans="12:18" x14ac:dyDescent="0.25">
      <c r="L1032" s="26">
        <v>40939</v>
      </c>
      <c r="M1032" s="6">
        <v>49.529998999999997</v>
      </c>
      <c r="N1032" s="6">
        <v>49.700001</v>
      </c>
      <c r="O1032" s="6">
        <v>49.290000999999997</v>
      </c>
      <c r="P1032" s="6">
        <v>49.52</v>
      </c>
      <c r="Q1032" s="6">
        <v>39.655968000000001</v>
      </c>
      <c r="R1032" s="58">
        <v>2267300</v>
      </c>
    </row>
    <row r="1033" spans="12:18" x14ac:dyDescent="0.25">
      <c r="L1033" s="26">
        <v>40940</v>
      </c>
      <c r="M1033" s="6">
        <v>49.599997999999999</v>
      </c>
      <c r="N1033" s="6">
        <v>50.049999</v>
      </c>
      <c r="O1033" s="6">
        <v>49.27</v>
      </c>
      <c r="P1033" s="6">
        <v>49.310001</v>
      </c>
      <c r="Q1033" s="6">
        <v>39.487800999999997</v>
      </c>
      <c r="R1033" s="58">
        <v>3335100</v>
      </c>
    </row>
    <row r="1034" spans="12:18" x14ac:dyDescent="0.25">
      <c r="L1034" s="26">
        <v>40941</v>
      </c>
      <c r="M1034" s="6">
        <v>50.959999000000003</v>
      </c>
      <c r="N1034" s="6">
        <v>51.330002</v>
      </c>
      <c r="O1034" s="6">
        <v>50.009998000000003</v>
      </c>
      <c r="P1034" s="6">
        <v>50.59</v>
      </c>
      <c r="Q1034" s="6">
        <v>40.512836</v>
      </c>
      <c r="R1034" s="58">
        <v>6337100</v>
      </c>
    </row>
    <row r="1035" spans="12:18" x14ac:dyDescent="0.25">
      <c r="L1035" s="26">
        <v>40942</v>
      </c>
      <c r="M1035" s="6">
        <v>50.900002000000001</v>
      </c>
      <c r="N1035" s="6">
        <v>51.150002000000001</v>
      </c>
      <c r="O1035" s="6">
        <v>50.720001000000003</v>
      </c>
      <c r="P1035" s="6">
        <v>50.84</v>
      </c>
      <c r="Q1035" s="6">
        <v>40.713028000000001</v>
      </c>
      <c r="R1035" s="58">
        <v>1940800</v>
      </c>
    </row>
    <row r="1036" spans="12:18" x14ac:dyDescent="0.25">
      <c r="L1036" s="26">
        <v>40945</v>
      </c>
      <c r="M1036" s="6">
        <v>50.650002000000001</v>
      </c>
      <c r="N1036" s="6">
        <v>50.849997999999999</v>
      </c>
      <c r="O1036" s="6">
        <v>50.529998999999997</v>
      </c>
      <c r="P1036" s="6">
        <v>50.68</v>
      </c>
      <c r="Q1036" s="6">
        <v>40.584907999999999</v>
      </c>
      <c r="R1036" s="58">
        <v>1392100</v>
      </c>
    </row>
    <row r="1037" spans="12:18" x14ac:dyDescent="0.25">
      <c r="L1037" s="26">
        <v>40946</v>
      </c>
      <c r="M1037" s="6">
        <v>50.75</v>
      </c>
      <c r="N1037" s="6">
        <v>50.900002000000001</v>
      </c>
      <c r="O1037" s="6">
        <v>50.400002000000001</v>
      </c>
      <c r="P1037" s="6">
        <v>50.82</v>
      </c>
      <c r="Q1037" s="6">
        <v>40.697020999999999</v>
      </c>
      <c r="R1037" s="58">
        <v>2059400</v>
      </c>
    </row>
    <row r="1038" spans="12:18" x14ac:dyDescent="0.25">
      <c r="L1038" s="26">
        <v>40947</v>
      </c>
      <c r="M1038" s="6">
        <v>50.919998</v>
      </c>
      <c r="N1038" s="6">
        <v>51.02</v>
      </c>
      <c r="O1038" s="6">
        <v>50.310001</v>
      </c>
      <c r="P1038" s="6">
        <v>50.34</v>
      </c>
      <c r="Q1038" s="6">
        <v>40.312634000000003</v>
      </c>
      <c r="R1038" s="58">
        <v>2371400</v>
      </c>
    </row>
    <row r="1039" spans="12:18" x14ac:dyDescent="0.25">
      <c r="L1039" s="26">
        <v>40948</v>
      </c>
      <c r="M1039" s="6">
        <v>50.330002</v>
      </c>
      <c r="N1039" s="6">
        <v>50.43</v>
      </c>
      <c r="O1039" s="6">
        <v>49.959999000000003</v>
      </c>
      <c r="P1039" s="6">
        <v>50.209999000000003</v>
      </c>
      <c r="Q1039" s="6">
        <v>40.208523</v>
      </c>
      <c r="R1039" s="58">
        <v>1781400</v>
      </c>
    </row>
    <row r="1040" spans="12:18" x14ac:dyDescent="0.25">
      <c r="L1040" s="26">
        <v>40949</v>
      </c>
      <c r="M1040" s="6">
        <v>50</v>
      </c>
      <c r="N1040" s="6">
        <v>50.110000999999997</v>
      </c>
      <c r="O1040" s="6">
        <v>49.669998</v>
      </c>
      <c r="P1040" s="6">
        <v>49.810001</v>
      </c>
      <c r="Q1040" s="6">
        <v>39.888199</v>
      </c>
      <c r="R1040" s="58">
        <v>1542800</v>
      </c>
    </row>
    <row r="1041" spans="12:18" x14ac:dyDescent="0.25">
      <c r="L1041" s="26">
        <v>40952</v>
      </c>
      <c r="M1041" s="6">
        <v>50.07</v>
      </c>
      <c r="N1041" s="6">
        <v>50.150002000000001</v>
      </c>
      <c r="O1041" s="6">
        <v>49.970001000000003</v>
      </c>
      <c r="P1041" s="6">
        <v>50.02</v>
      </c>
      <c r="Q1041" s="6">
        <v>40.056376999999998</v>
      </c>
      <c r="R1041" s="58">
        <v>1101700</v>
      </c>
    </row>
    <row r="1042" spans="12:18" x14ac:dyDescent="0.25">
      <c r="L1042" s="26">
        <v>40953</v>
      </c>
      <c r="M1042" s="6">
        <v>49.860000999999997</v>
      </c>
      <c r="N1042" s="6">
        <v>50.389999000000003</v>
      </c>
      <c r="O1042" s="6">
        <v>49.82</v>
      </c>
      <c r="P1042" s="6">
        <v>50.299999</v>
      </c>
      <c r="Q1042" s="6">
        <v>40.280589999999997</v>
      </c>
      <c r="R1042" s="58">
        <v>2249200</v>
      </c>
    </row>
    <row r="1043" spans="12:18" x14ac:dyDescent="0.25">
      <c r="L1043" s="26">
        <v>40954</v>
      </c>
      <c r="M1043" s="6">
        <v>52.740001999999997</v>
      </c>
      <c r="N1043" s="6">
        <v>53.349997999999999</v>
      </c>
      <c r="O1043" s="6">
        <v>51.93</v>
      </c>
      <c r="P1043" s="6">
        <v>52.869999</v>
      </c>
      <c r="Q1043" s="6">
        <v>42.338676</v>
      </c>
      <c r="R1043" s="58">
        <v>7994200</v>
      </c>
    </row>
    <row r="1044" spans="12:18" x14ac:dyDescent="0.25">
      <c r="L1044" s="26">
        <v>40955</v>
      </c>
      <c r="M1044" s="6">
        <v>52.73</v>
      </c>
      <c r="N1044" s="6">
        <v>52.939999</v>
      </c>
      <c r="O1044" s="6">
        <v>52.400002000000001</v>
      </c>
      <c r="P1044" s="6">
        <v>52.560001</v>
      </c>
      <c r="Q1044" s="6">
        <v>42.090426999999998</v>
      </c>
      <c r="R1044" s="58">
        <v>3577700</v>
      </c>
    </row>
    <row r="1045" spans="12:18" x14ac:dyDescent="0.25">
      <c r="L1045" s="26">
        <v>40956</v>
      </c>
      <c r="M1045" s="6">
        <v>52.75</v>
      </c>
      <c r="N1045" s="6">
        <v>52.75</v>
      </c>
      <c r="O1045" s="6">
        <v>51.860000999999997</v>
      </c>
      <c r="P1045" s="6">
        <v>52.529998999999997</v>
      </c>
      <c r="Q1045" s="6">
        <v>42.066398999999997</v>
      </c>
      <c r="R1045" s="58">
        <v>4272800</v>
      </c>
    </row>
    <row r="1046" spans="12:18" x14ac:dyDescent="0.25">
      <c r="L1046" s="26">
        <v>40960</v>
      </c>
      <c r="M1046" s="6">
        <v>52.490001999999997</v>
      </c>
      <c r="N1046" s="6">
        <v>52.490001999999997</v>
      </c>
      <c r="O1046" s="6">
        <v>51.860000999999997</v>
      </c>
      <c r="P1046" s="6">
        <v>51.959999000000003</v>
      </c>
      <c r="Q1046" s="6">
        <v>41.609932000000001</v>
      </c>
      <c r="R1046" s="58">
        <v>2106000</v>
      </c>
    </row>
    <row r="1047" spans="12:18" x14ac:dyDescent="0.25">
      <c r="L1047" s="26">
        <v>40961</v>
      </c>
      <c r="M1047" s="6">
        <v>51.919998</v>
      </c>
      <c r="N1047" s="6">
        <v>52.57</v>
      </c>
      <c r="O1047" s="6">
        <v>51.84</v>
      </c>
      <c r="P1047" s="6">
        <v>52.529998999999997</v>
      </c>
      <c r="Q1047" s="6">
        <v>42.066398999999997</v>
      </c>
      <c r="R1047" s="58">
        <v>3261900</v>
      </c>
    </row>
    <row r="1048" spans="12:18" x14ac:dyDescent="0.25">
      <c r="L1048" s="26">
        <v>40962</v>
      </c>
      <c r="M1048" s="6">
        <v>53.060001</v>
      </c>
      <c r="N1048" s="6">
        <v>53.450001</v>
      </c>
      <c r="O1048" s="6">
        <v>53.029998999999997</v>
      </c>
      <c r="P1048" s="6">
        <v>53.099997999999999</v>
      </c>
      <c r="Q1048" s="6">
        <v>42.522857999999999</v>
      </c>
      <c r="R1048" s="58">
        <v>3486800</v>
      </c>
    </row>
    <row r="1049" spans="12:18" x14ac:dyDescent="0.25">
      <c r="L1049" s="26">
        <v>40963</v>
      </c>
      <c r="M1049" s="6">
        <v>53.169998</v>
      </c>
      <c r="N1049" s="6">
        <v>53.349997999999999</v>
      </c>
      <c r="O1049" s="6">
        <v>52.669998</v>
      </c>
      <c r="P1049" s="6">
        <v>52.75</v>
      </c>
      <c r="Q1049" s="6">
        <v>42.242564999999999</v>
      </c>
      <c r="R1049" s="58">
        <v>1657000</v>
      </c>
    </row>
    <row r="1050" spans="12:18" x14ac:dyDescent="0.25">
      <c r="L1050" s="26">
        <v>40966</v>
      </c>
      <c r="M1050" s="6">
        <v>52.700001</v>
      </c>
      <c r="N1050" s="6">
        <v>53</v>
      </c>
      <c r="O1050" s="6">
        <v>52.439999</v>
      </c>
      <c r="P1050" s="6">
        <v>52.900002000000001</v>
      </c>
      <c r="Q1050" s="6">
        <v>42.362709000000002</v>
      </c>
      <c r="R1050" s="58">
        <v>2443700</v>
      </c>
    </row>
    <row r="1051" spans="12:18" x14ac:dyDescent="0.25">
      <c r="L1051" s="26">
        <v>40967</v>
      </c>
      <c r="M1051" s="6">
        <v>52.619999</v>
      </c>
      <c r="N1051" s="6">
        <v>52.73</v>
      </c>
      <c r="O1051" s="6">
        <v>52.240001999999997</v>
      </c>
      <c r="P1051" s="6">
        <v>52.330002</v>
      </c>
      <c r="Q1051" s="6">
        <v>42.249671999999997</v>
      </c>
      <c r="R1051" s="58">
        <v>1882200</v>
      </c>
    </row>
    <row r="1052" spans="12:18" x14ac:dyDescent="0.25">
      <c r="L1052" s="26">
        <v>40968</v>
      </c>
      <c r="M1052" s="6">
        <v>52.540000999999997</v>
      </c>
      <c r="N1052" s="6">
        <v>52.599997999999999</v>
      </c>
      <c r="O1052" s="6">
        <v>52.279998999999997</v>
      </c>
      <c r="P1052" s="6">
        <v>52.349997999999999</v>
      </c>
      <c r="Q1052" s="6">
        <v>42.265816000000001</v>
      </c>
      <c r="R1052" s="58">
        <v>3040300</v>
      </c>
    </row>
    <row r="1053" spans="12:18" x14ac:dyDescent="0.25">
      <c r="L1053" s="26">
        <v>40969</v>
      </c>
      <c r="M1053" s="6">
        <v>52.450001</v>
      </c>
      <c r="N1053" s="6">
        <v>52.639999000000003</v>
      </c>
      <c r="O1053" s="6">
        <v>52.169998</v>
      </c>
      <c r="P1053" s="6">
        <v>52.259998000000003</v>
      </c>
      <c r="Q1053" s="6">
        <v>42.193145999999999</v>
      </c>
      <c r="R1053" s="58">
        <v>1937300</v>
      </c>
    </row>
    <row r="1054" spans="12:18" x14ac:dyDescent="0.25">
      <c r="L1054" s="26">
        <v>40970</v>
      </c>
      <c r="M1054" s="6">
        <v>52.220001000000003</v>
      </c>
      <c r="N1054" s="6">
        <v>52.43</v>
      </c>
      <c r="O1054" s="6">
        <v>52</v>
      </c>
      <c r="P1054" s="6">
        <v>52.110000999999997</v>
      </c>
      <c r="Q1054" s="6">
        <v>42.072048000000002</v>
      </c>
      <c r="R1054" s="58">
        <v>1791000</v>
      </c>
    </row>
    <row r="1055" spans="12:18" x14ac:dyDescent="0.25">
      <c r="L1055" s="26">
        <v>40973</v>
      </c>
      <c r="M1055" s="6">
        <v>52.110000999999997</v>
      </c>
      <c r="N1055" s="6">
        <v>52.240001999999997</v>
      </c>
      <c r="O1055" s="6">
        <v>51.93</v>
      </c>
      <c r="P1055" s="6">
        <v>52.09</v>
      </c>
      <c r="Q1055" s="6">
        <v>42.055889000000001</v>
      </c>
      <c r="R1055" s="58">
        <v>1402500</v>
      </c>
    </row>
    <row r="1056" spans="12:18" x14ac:dyDescent="0.25">
      <c r="L1056" s="26">
        <v>40974</v>
      </c>
      <c r="M1056" s="6">
        <v>51.93</v>
      </c>
      <c r="N1056" s="6">
        <v>52.119999</v>
      </c>
      <c r="O1056" s="6">
        <v>51.740001999999997</v>
      </c>
      <c r="P1056" s="6">
        <v>51.84</v>
      </c>
      <c r="Q1056" s="6">
        <v>41.854050000000001</v>
      </c>
      <c r="R1056" s="58">
        <v>2198500</v>
      </c>
    </row>
    <row r="1057" spans="12:18" x14ac:dyDescent="0.25">
      <c r="L1057" s="26">
        <v>40975</v>
      </c>
      <c r="M1057" s="6">
        <v>51.810001</v>
      </c>
      <c r="N1057" s="6">
        <v>51.959999000000003</v>
      </c>
      <c r="O1057" s="6">
        <v>51.639999000000003</v>
      </c>
      <c r="P1057" s="6">
        <v>51.93</v>
      </c>
      <c r="Q1057" s="6">
        <v>41.926727</v>
      </c>
      <c r="R1057" s="58">
        <v>1306500</v>
      </c>
    </row>
    <row r="1058" spans="12:18" x14ac:dyDescent="0.25">
      <c r="L1058" s="26">
        <v>40976</v>
      </c>
      <c r="M1058" s="6">
        <v>51.93</v>
      </c>
      <c r="N1058" s="6">
        <v>52.439999</v>
      </c>
      <c r="O1058" s="6">
        <v>51.830002</v>
      </c>
      <c r="P1058" s="6">
        <v>52.419998</v>
      </c>
      <c r="Q1058" s="6">
        <v>42.322333999999998</v>
      </c>
      <c r="R1058" s="58">
        <v>1443200</v>
      </c>
    </row>
    <row r="1059" spans="12:18" x14ac:dyDescent="0.25">
      <c r="L1059" s="26">
        <v>40977</v>
      </c>
      <c r="M1059" s="6">
        <v>52.32</v>
      </c>
      <c r="N1059" s="6">
        <v>52.470001000000003</v>
      </c>
      <c r="O1059" s="6">
        <v>52.209999000000003</v>
      </c>
      <c r="P1059" s="6">
        <v>52.439999</v>
      </c>
      <c r="Q1059" s="6">
        <v>42.338470000000001</v>
      </c>
      <c r="R1059" s="58">
        <v>1008700</v>
      </c>
    </row>
    <row r="1060" spans="12:18" x14ac:dyDescent="0.25">
      <c r="L1060" s="26">
        <v>40980</v>
      </c>
      <c r="M1060" s="6">
        <v>52.48</v>
      </c>
      <c r="N1060" s="6">
        <v>53.060001</v>
      </c>
      <c r="O1060" s="6">
        <v>52.419998</v>
      </c>
      <c r="P1060" s="6">
        <v>52.830002</v>
      </c>
      <c r="Q1060" s="6">
        <v>42.653351000000001</v>
      </c>
      <c r="R1060" s="58">
        <v>1872700</v>
      </c>
    </row>
    <row r="1061" spans="12:18" x14ac:dyDescent="0.25">
      <c r="L1061" s="26">
        <v>40981</v>
      </c>
      <c r="M1061" s="6">
        <v>52.810001</v>
      </c>
      <c r="N1061" s="6">
        <v>52.919998</v>
      </c>
      <c r="O1061" s="6">
        <v>52.529998999999997</v>
      </c>
      <c r="P1061" s="6">
        <v>52.900002000000001</v>
      </c>
      <c r="Q1061" s="6">
        <v>42.709868999999998</v>
      </c>
      <c r="R1061" s="58">
        <v>1029700</v>
      </c>
    </row>
    <row r="1062" spans="12:18" x14ac:dyDescent="0.25">
      <c r="L1062" s="26">
        <v>40982</v>
      </c>
      <c r="M1062" s="6">
        <v>52.77</v>
      </c>
      <c r="N1062" s="6">
        <v>53.009998000000003</v>
      </c>
      <c r="O1062" s="6">
        <v>52.400002000000001</v>
      </c>
      <c r="P1062" s="6">
        <v>52.48</v>
      </c>
      <c r="Q1062" s="6">
        <v>42.37077</v>
      </c>
      <c r="R1062" s="58">
        <v>1294800</v>
      </c>
    </row>
    <row r="1063" spans="12:18" x14ac:dyDescent="0.25">
      <c r="L1063" s="26">
        <v>40983</v>
      </c>
      <c r="M1063" s="6">
        <v>52.540000999999997</v>
      </c>
      <c r="N1063" s="6">
        <v>52.93</v>
      </c>
      <c r="O1063" s="6">
        <v>52.259998000000003</v>
      </c>
      <c r="P1063" s="6">
        <v>52.919998</v>
      </c>
      <c r="Q1063" s="6">
        <v>42.726005999999998</v>
      </c>
      <c r="R1063" s="58">
        <v>1661400</v>
      </c>
    </row>
    <row r="1064" spans="12:18" x14ac:dyDescent="0.25">
      <c r="L1064" s="26">
        <v>40984</v>
      </c>
      <c r="M1064" s="6">
        <v>52.869999</v>
      </c>
      <c r="N1064" s="6">
        <v>53</v>
      </c>
      <c r="O1064" s="6">
        <v>52.459999000000003</v>
      </c>
      <c r="P1064" s="6">
        <v>52.619999</v>
      </c>
      <c r="Q1064" s="6">
        <v>42.483803000000002</v>
      </c>
      <c r="R1064" s="58">
        <v>1970500</v>
      </c>
    </row>
    <row r="1065" spans="12:18" x14ac:dyDescent="0.25">
      <c r="L1065" s="26">
        <v>40987</v>
      </c>
      <c r="M1065" s="6">
        <v>52.490001999999997</v>
      </c>
      <c r="N1065" s="6">
        <v>52.810001</v>
      </c>
      <c r="O1065" s="6">
        <v>52.349997999999999</v>
      </c>
      <c r="P1065" s="6">
        <v>52.599997999999999</v>
      </c>
      <c r="Q1065" s="6">
        <v>42.467655000000001</v>
      </c>
      <c r="R1065" s="58">
        <v>1590800</v>
      </c>
    </row>
    <row r="1066" spans="12:18" x14ac:dyDescent="0.25">
      <c r="L1066" s="26">
        <v>40988</v>
      </c>
      <c r="M1066" s="6">
        <v>52.439999</v>
      </c>
      <c r="N1066" s="6">
        <v>52.759998000000003</v>
      </c>
      <c r="O1066" s="6">
        <v>52.439999</v>
      </c>
      <c r="P1066" s="6">
        <v>52.68</v>
      </c>
      <c r="Q1066" s="6">
        <v>42.532234000000003</v>
      </c>
      <c r="R1066" s="58">
        <v>996300</v>
      </c>
    </row>
    <row r="1067" spans="12:18" x14ac:dyDescent="0.25">
      <c r="L1067" s="26">
        <v>40989</v>
      </c>
      <c r="M1067" s="6">
        <v>52.669998</v>
      </c>
      <c r="N1067" s="6">
        <v>52.700001</v>
      </c>
      <c r="O1067" s="6">
        <v>52.27</v>
      </c>
      <c r="P1067" s="6">
        <v>52.48</v>
      </c>
      <c r="Q1067" s="6">
        <v>42.37077</v>
      </c>
      <c r="R1067" s="58">
        <v>911400</v>
      </c>
    </row>
    <row r="1068" spans="12:18" x14ac:dyDescent="0.25">
      <c r="L1068" s="26">
        <v>40990</v>
      </c>
      <c r="M1068" s="6">
        <v>52.380001</v>
      </c>
      <c r="N1068" s="6">
        <v>52.57</v>
      </c>
      <c r="O1068" s="6">
        <v>52.220001000000003</v>
      </c>
      <c r="P1068" s="6">
        <v>52.549999</v>
      </c>
      <c r="Q1068" s="6">
        <v>42.427280000000003</v>
      </c>
      <c r="R1068" s="58">
        <v>914200</v>
      </c>
    </row>
    <row r="1069" spans="12:18" x14ac:dyDescent="0.25">
      <c r="L1069" s="26">
        <v>40991</v>
      </c>
      <c r="M1069" s="6">
        <v>52.529998999999997</v>
      </c>
      <c r="N1069" s="6">
        <v>52.650002000000001</v>
      </c>
      <c r="O1069" s="6">
        <v>52.389999000000003</v>
      </c>
      <c r="P1069" s="6">
        <v>52.41</v>
      </c>
      <c r="Q1069" s="6">
        <v>42.314259</v>
      </c>
      <c r="R1069" s="58">
        <v>1620200</v>
      </c>
    </row>
    <row r="1070" spans="12:18" x14ac:dyDescent="0.25">
      <c r="L1070" s="26">
        <v>40994</v>
      </c>
      <c r="M1070" s="6">
        <v>52.700001</v>
      </c>
      <c r="N1070" s="6">
        <v>53.189999</v>
      </c>
      <c r="O1070" s="6">
        <v>52.639999000000003</v>
      </c>
      <c r="P1070" s="6">
        <v>52.830002</v>
      </c>
      <c r="Q1070" s="6">
        <v>42.653351000000001</v>
      </c>
      <c r="R1070" s="58">
        <v>1519000</v>
      </c>
    </row>
    <row r="1071" spans="12:18" x14ac:dyDescent="0.25">
      <c r="L1071" s="26">
        <v>40995</v>
      </c>
      <c r="M1071" s="6">
        <v>52.869999</v>
      </c>
      <c r="N1071" s="6">
        <v>53.259998000000003</v>
      </c>
      <c r="O1071" s="6">
        <v>52.799999</v>
      </c>
      <c r="P1071" s="6">
        <v>53.110000999999997</v>
      </c>
      <c r="Q1071" s="6">
        <v>42.879421000000001</v>
      </c>
      <c r="R1071" s="58">
        <v>1360600</v>
      </c>
    </row>
    <row r="1072" spans="12:18" x14ac:dyDescent="0.25">
      <c r="L1072" s="26">
        <v>40996</v>
      </c>
      <c r="M1072" s="6">
        <v>53.169998</v>
      </c>
      <c r="N1072" s="6">
        <v>53.310001</v>
      </c>
      <c r="O1072" s="6">
        <v>53.060001</v>
      </c>
      <c r="P1072" s="6">
        <v>53.310001</v>
      </c>
      <c r="Q1072" s="6">
        <v>43.040886</v>
      </c>
      <c r="R1072" s="58">
        <v>1432900</v>
      </c>
    </row>
    <row r="1073" spans="12:18" x14ac:dyDescent="0.25">
      <c r="L1073" s="26">
        <v>40997</v>
      </c>
      <c r="M1073" s="6">
        <v>53.279998999999997</v>
      </c>
      <c r="N1073" s="6">
        <v>53.5</v>
      </c>
      <c r="O1073" s="6">
        <v>53.040000999999997</v>
      </c>
      <c r="P1073" s="6">
        <v>53.389999000000003</v>
      </c>
      <c r="Q1073" s="6">
        <v>43.105476000000003</v>
      </c>
      <c r="R1073" s="58">
        <v>1675900</v>
      </c>
    </row>
    <row r="1074" spans="12:18" x14ac:dyDescent="0.25">
      <c r="L1074" s="26">
        <v>40998</v>
      </c>
      <c r="M1074" s="6">
        <v>53.509998000000003</v>
      </c>
      <c r="N1074" s="6">
        <v>53.860000999999997</v>
      </c>
      <c r="O1074" s="6">
        <v>53.450001</v>
      </c>
      <c r="P1074" s="6">
        <v>53.630001</v>
      </c>
      <c r="Q1074" s="6">
        <v>43.299239999999998</v>
      </c>
      <c r="R1074" s="58">
        <v>1505100</v>
      </c>
    </row>
    <row r="1075" spans="12:18" x14ac:dyDescent="0.25">
      <c r="L1075" s="26">
        <v>41001</v>
      </c>
      <c r="M1075" s="6">
        <v>53.439999</v>
      </c>
      <c r="N1075" s="6">
        <v>53.75</v>
      </c>
      <c r="O1075" s="6">
        <v>53.189999</v>
      </c>
      <c r="P1075" s="6">
        <v>53.740001999999997</v>
      </c>
      <c r="Q1075" s="6">
        <v>43.388064999999997</v>
      </c>
      <c r="R1075" s="58">
        <v>1363900</v>
      </c>
    </row>
    <row r="1076" spans="12:18" x14ac:dyDescent="0.25">
      <c r="L1076" s="26">
        <v>41002</v>
      </c>
      <c r="M1076" s="6">
        <v>53.790000999999997</v>
      </c>
      <c r="N1076" s="6">
        <v>53.790000999999997</v>
      </c>
      <c r="O1076" s="6">
        <v>53.16</v>
      </c>
      <c r="P1076" s="6">
        <v>53.380001</v>
      </c>
      <c r="Q1076" s="6">
        <v>43.097400999999998</v>
      </c>
      <c r="R1076" s="58">
        <v>2233800</v>
      </c>
    </row>
    <row r="1077" spans="12:18" x14ac:dyDescent="0.25">
      <c r="L1077" s="26">
        <v>41003</v>
      </c>
      <c r="M1077" s="6">
        <v>53.209999000000003</v>
      </c>
      <c r="N1077" s="6">
        <v>53.450001</v>
      </c>
      <c r="O1077" s="6">
        <v>53.16</v>
      </c>
      <c r="P1077" s="6">
        <v>53.310001</v>
      </c>
      <c r="Q1077" s="6">
        <v>43.040886</v>
      </c>
      <c r="R1077" s="58">
        <v>1349800</v>
      </c>
    </row>
    <row r="1078" spans="12:18" x14ac:dyDescent="0.25">
      <c r="L1078" s="26">
        <v>41004</v>
      </c>
      <c r="M1078" s="6">
        <v>53.259998000000003</v>
      </c>
      <c r="N1078" s="6">
        <v>53.279998999999997</v>
      </c>
      <c r="O1078" s="6">
        <v>52.799999</v>
      </c>
      <c r="P1078" s="6">
        <v>53.18</v>
      </c>
      <c r="Q1078" s="6">
        <v>42.935927999999997</v>
      </c>
      <c r="R1078" s="58">
        <v>1314200</v>
      </c>
    </row>
    <row r="1079" spans="12:18" x14ac:dyDescent="0.25">
      <c r="L1079" s="26">
        <v>41008</v>
      </c>
      <c r="M1079" s="6">
        <v>52.77</v>
      </c>
      <c r="N1079" s="6">
        <v>53</v>
      </c>
      <c r="O1079" s="6">
        <v>52.689999</v>
      </c>
      <c r="P1079" s="6">
        <v>52.889999000000003</v>
      </c>
      <c r="Q1079" s="6">
        <v>42.701790000000003</v>
      </c>
      <c r="R1079" s="58">
        <v>807900</v>
      </c>
    </row>
    <row r="1080" spans="12:18" x14ac:dyDescent="0.25">
      <c r="L1080" s="26">
        <v>41009</v>
      </c>
      <c r="M1080" s="6">
        <v>52.849997999999999</v>
      </c>
      <c r="N1080" s="6">
        <v>52.98</v>
      </c>
      <c r="O1080" s="6">
        <v>52.75</v>
      </c>
      <c r="P1080" s="6">
        <v>52.93</v>
      </c>
      <c r="Q1080" s="6">
        <v>42.734085</v>
      </c>
      <c r="R1080" s="58">
        <v>1721600</v>
      </c>
    </row>
    <row r="1081" spans="12:18" x14ac:dyDescent="0.25">
      <c r="L1081" s="26">
        <v>41010</v>
      </c>
      <c r="M1081" s="6">
        <v>53.150002000000001</v>
      </c>
      <c r="N1081" s="6">
        <v>53.560001</v>
      </c>
      <c r="O1081" s="6">
        <v>52.970001000000003</v>
      </c>
      <c r="P1081" s="6">
        <v>53.009998000000003</v>
      </c>
      <c r="Q1081" s="6">
        <v>42.798672000000003</v>
      </c>
      <c r="R1081" s="58">
        <v>2350000</v>
      </c>
    </row>
    <row r="1082" spans="12:18" x14ac:dyDescent="0.25">
      <c r="L1082" s="26">
        <v>41011</v>
      </c>
      <c r="M1082" s="6">
        <v>53.02</v>
      </c>
      <c r="N1082" s="6">
        <v>53.220001000000003</v>
      </c>
      <c r="O1082" s="6">
        <v>52.880001</v>
      </c>
      <c r="P1082" s="6">
        <v>53.200001</v>
      </c>
      <c r="Q1082" s="6">
        <v>42.952080000000002</v>
      </c>
      <c r="R1082" s="58">
        <v>1337500</v>
      </c>
    </row>
    <row r="1083" spans="12:18" x14ac:dyDescent="0.25">
      <c r="L1083" s="26">
        <v>41012</v>
      </c>
      <c r="M1083" s="6">
        <v>53.060001</v>
      </c>
      <c r="N1083" s="6">
        <v>53.580002</v>
      </c>
      <c r="O1083" s="6">
        <v>53.060001</v>
      </c>
      <c r="P1083" s="6">
        <v>53.240001999999997</v>
      </c>
      <c r="Q1083" s="6">
        <v>42.984371000000003</v>
      </c>
      <c r="R1083" s="58">
        <v>1302600</v>
      </c>
    </row>
    <row r="1084" spans="12:18" x14ac:dyDescent="0.25">
      <c r="L1084" s="26">
        <v>41015</v>
      </c>
      <c r="M1084" s="6">
        <v>53.209999000000003</v>
      </c>
      <c r="N1084" s="6">
        <v>53.669998</v>
      </c>
      <c r="O1084" s="6">
        <v>53.150002000000001</v>
      </c>
      <c r="P1084" s="6">
        <v>53.5</v>
      </c>
      <c r="Q1084" s="6">
        <v>43.194274999999998</v>
      </c>
      <c r="R1084" s="58">
        <v>1215100</v>
      </c>
    </row>
    <row r="1085" spans="12:18" x14ac:dyDescent="0.25">
      <c r="L1085" s="26">
        <v>41016</v>
      </c>
      <c r="M1085" s="6">
        <v>53.619999</v>
      </c>
      <c r="N1085" s="6">
        <v>53.990001999999997</v>
      </c>
      <c r="O1085" s="6">
        <v>53.419998</v>
      </c>
      <c r="P1085" s="6">
        <v>53.779998999999997</v>
      </c>
      <c r="Q1085" s="6">
        <v>43.420341000000001</v>
      </c>
      <c r="R1085" s="58">
        <v>1069200</v>
      </c>
    </row>
    <row r="1086" spans="12:18" x14ac:dyDescent="0.25">
      <c r="L1086" s="26">
        <v>41017</v>
      </c>
      <c r="M1086" s="6">
        <v>53.720001000000003</v>
      </c>
      <c r="N1086" s="6">
        <v>53.77</v>
      </c>
      <c r="O1086" s="6">
        <v>53.41</v>
      </c>
      <c r="P1086" s="6">
        <v>53.580002</v>
      </c>
      <c r="Q1086" s="6">
        <v>43.258881000000002</v>
      </c>
      <c r="R1086" s="58">
        <v>1080400</v>
      </c>
    </row>
    <row r="1087" spans="12:18" x14ac:dyDescent="0.25">
      <c r="L1087" s="26">
        <v>41018</v>
      </c>
      <c r="M1087" s="6">
        <v>53.5</v>
      </c>
      <c r="N1087" s="6">
        <v>54.060001</v>
      </c>
      <c r="O1087" s="6">
        <v>53.470001000000003</v>
      </c>
      <c r="P1087" s="6">
        <v>53.799999</v>
      </c>
      <c r="Q1087" s="6">
        <v>43.436489000000002</v>
      </c>
      <c r="R1087" s="58">
        <v>1639000</v>
      </c>
    </row>
    <row r="1088" spans="12:18" x14ac:dyDescent="0.25">
      <c r="L1088" s="26">
        <v>41019</v>
      </c>
      <c r="M1088" s="6">
        <v>53.84</v>
      </c>
      <c r="N1088" s="6">
        <v>54.200001</v>
      </c>
      <c r="O1088" s="6">
        <v>53.830002</v>
      </c>
      <c r="P1088" s="6">
        <v>53.990001999999997</v>
      </c>
      <c r="Q1088" s="6">
        <v>43.589905000000002</v>
      </c>
      <c r="R1088" s="58">
        <v>1517200</v>
      </c>
    </row>
    <row r="1089" spans="12:18" x14ac:dyDescent="0.25">
      <c r="L1089" s="26">
        <v>41022</v>
      </c>
      <c r="M1089" s="6">
        <v>51.66</v>
      </c>
      <c r="N1089" s="6">
        <v>52.040000999999997</v>
      </c>
      <c r="O1089" s="6">
        <v>50.66</v>
      </c>
      <c r="P1089" s="6">
        <v>50.700001</v>
      </c>
      <c r="Q1089" s="6">
        <v>40.933655000000002</v>
      </c>
      <c r="R1089" s="58">
        <v>8269400</v>
      </c>
    </row>
    <row r="1090" spans="12:18" x14ac:dyDescent="0.25">
      <c r="L1090" s="26">
        <v>41023</v>
      </c>
      <c r="M1090" s="6">
        <v>50.68</v>
      </c>
      <c r="N1090" s="6">
        <v>50.939999</v>
      </c>
      <c r="O1090" s="6">
        <v>50.299999</v>
      </c>
      <c r="P1090" s="6">
        <v>50.43</v>
      </c>
      <c r="Q1090" s="6">
        <v>40.715648999999999</v>
      </c>
      <c r="R1090" s="58">
        <v>4177300</v>
      </c>
    </row>
    <row r="1091" spans="12:18" x14ac:dyDescent="0.25">
      <c r="L1091" s="26">
        <v>41024</v>
      </c>
      <c r="M1091" s="6">
        <v>50.599997999999999</v>
      </c>
      <c r="N1091" s="6">
        <v>50.849997999999999</v>
      </c>
      <c r="O1091" s="6">
        <v>50.310001</v>
      </c>
      <c r="P1091" s="6">
        <v>50.490001999999997</v>
      </c>
      <c r="Q1091" s="6">
        <v>40.764102999999999</v>
      </c>
      <c r="R1091" s="58">
        <v>3199700</v>
      </c>
    </row>
    <row r="1092" spans="12:18" x14ac:dyDescent="0.25">
      <c r="L1092" s="26">
        <v>41025</v>
      </c>
      <c r="M1092" s="6">
        <v>50.66</v>
      </c>
      <c r="N1092" s="6">
        <v>51.200001</v>
      </c>
      <c r="O1092" s="6">
        <v>50.080002</v>
      </c>
      <c r="P1092" s="6">
        <v>50.310001</v>
      </c>
      <c r="Q1092" s="6">
        <v>40.618782000000003</v>
      </c>
      <c r="R1092" s="58">
        <v>3371900</v>
      </c>
    </row>
    <row r="1093" spans="12:18" x14ac:dyDescent="0.25">
      <c r="L1093" s="26">
        <v>41026</v>
      </c>
      <c r="M1093" s="6">
        <v>50.389999000000003</v>
      </c>
      <c r="N1093" s="6">
        <v>50.52</v>
      </c>
      <c r="O1093" s="6">
        <v>50.049999</v>
      </c>
      <c r="P1093" s="6">
        <v>50.349997999999999</v>
      </c>
      <c r="Q1093" s="6">
        <v>40.651069999999997</v>
      </c>
      <c r="R1093" s="58">
        <v>3450100</v>
      </c>
    </row>
    <row r="1094" spans="12:18" x14ac:dyDescent="0.25">
      <c r="L1094" s="26">
        <v>41029</v>
      </c>
      <c r="M1094" s="6">
        <v>50.360000999999997</v>
      </c>
      <c r="N1094" s="6">
        <v>50.610000999999997</v>
      </c>
      <c r="O1094" s="6">
        <v>50.27</v>
      </c>
      <c r="P1094" s="6">
        <v>50.57</v>
      </c>
      <c r="Q1094" s="6">
        <v>40.828690000000002</v>
      </c>
      <c r="R1094" s="58">
        <v>2063600</v>
      </c>
    </row>
    <row r="1095" spans="12:18" x14ac:dyDescent="0.25">
      <c r="L1095" s="26">
        <v>41030</v>
      </c>
      <c r="M1095" s="6">
        <v>50.57</v>
      </c>
      <c r="N1095" s="6">
        <v>50.650002000000001</v>
      </c>
      <c r="O1095" s="6">
        <v>50</v>
      </c>
      <c r="P1095" s="6">
        <v>50</v>
      </c>
      <c r="Q1095" s="6">
        <v>40.368492000000003</v>
      </c>
      <c r="R1095" s="58">
        <v>2621600</v>
      </c>
    </row>
    <row r="1096" spans="12:18" x14ac:dyDescent="0.25">
      <c r="L1096" s="26">
        <v>41031</v>
      </c>
      <c r="M1096" s="6">
        <v>50.040000999999997</v>
      </c>
      <c r="N1096" s="6">
        <v>50.57</v>
      </c>
      <c r="O1096" s="6">
        <v>49.950001</v>
      </c>
      <c r="P1096" s="6">
        <v>50.549999</v>
      </c>
      <c r="Q1096" s="6">
        <v>40.812538000000004</v>
      </c>
      <c r="R1096" s="58">
        <v>3183800</v>
      </c>
    </row>
    <row r="1097" spans="12:18" x14ac:dyDescent="0.25">
      <c r="L1097" s="26">
        <v>41032</v>
      </c>
      <c r="M1097" s="6">
        <v>50.580002</v>
      </c>
      <c r="N1097" s="6">
        <v>50.919998</v>
      </c>
      <c r="O1097" s="6">
        <v>50.330002</v>
      </c>
      <c r="P1097" s="6">
        <v>50.75</v>
      </c>
      <c r="Q1097" s="6">
        <v>40.974029999999999</v>
      </c>
      <c r="R1097" s="58">
        <v>2659600</v>
      </c>
    </row>
    <row r="1098" spans="12:18" x14ac:dyDescent="0.25">
      <c r="L1098" s="26">
        <v>41033</v>
      </c>
      <c r="M1098" s="6">
        <v>50.700001</v>
      </c>
      <c r="N1098" s="6">
        <v>50.91</v>
      </c>
      <c r="O1098" s="6">
        <v>50.389999000000003</v>
      </c>
      <c r="P1098" s="6">
        <v>50.389999000000003</v>
      </c>
      <c r="Q1098" s="6">
        <v>40.683368999999999</v>
      </c>
      <c r="R1098" s="58">
        <v>1766400</v>
      </c>
    </row>
    <row r="1099" spans="12:18" x14ac:dyDescent="0.25">
      <c r="L1099" s="26">
        <v>41036</v>
      </c>
      <c r="M1099" s="6">
        <v>50.389999000000003</v>
      </c>
      <c r="N1099" s="6">
        <v>50.599997999999999</v>
      </c>
      <c r="O1099" s="6">
        <v>50.32</v>
      </c>
      <c r="P1099" s="6">
        <v>50.52</v>
      </c>
      <c r="Q1099" s="6">
        <v>40.788322000000001</v>
      </c>
      <c r="R1099" s="58">
        <v>2080200</v>
      </c>
    </row>
    <row r="1100" spans="12:18" x14ac:dyDescent="0.25">
      <c r="L1100" s="26">
        <v>41037</v>
      </c>
      <c r="M1100" s="6">
        <v>50.439999</v>
      </c>
      <c r="N1100" s="6">
        <v>50.759998000000003</v>
      </c>
      <c r="O1100" s="6">
        <v>50.200001</v>
      </c>
      <c r="P1100" s="6">
        <v>50.75</v>
      </c>
      <c r="Q1100" s="6">
        <v>40.974029999999999</v>
      </c>
      <c r="R1100" s="58">
        <v>2142500</v>
      </c>
    </row>
    <row r="1101" spans="12:18" x14ac:dyDescent="0.25">
      <c r="L1101" s="26">
        <v>41038</v>
      </c>
      <c r="M1101" s="6">
        <v>50.509998000000003</v>
      </c>
      <c r="N1101" s="6">
        <v>50.990001999999997</v>
      </c>
      <c r="O1101" s="6">
        <v>50.41</v>
      </c>
      <c r="P1101" s="6">
        <v>50.759998000000003</v>
      </c>
      <c r="Q1101" s="6">
        <v>40.982098000000001</v>
      </c>
      <c r="R1101" s="58">
        <v>1787100</v>
      </c>
    </row>
    <row r="1102" spans="12:18" x14ac:dyDescent="0.25">
      <c r="L1102" s="26">
        <v>41039</v>
      </c>
      <c r="M1102" s="6">
        <v>50.799999</v>
      </c>
      <c r="N1102" s="6">
        <v>51.060001</v>
      </c>
      <c r="O1102" s="6">
        <v>50.73</v>
      </c>
      <c r="P1102" s="6">
        <v>50.93</v>
      </c>
      <c r="Q1102" s="6">
        <v>41.119349999999997</v>
      </c>
      <c r="R1102" s="58">
        <v>1171800</v>
      </c>
    </row>
    <row r="1103" spans="12:18" x14ac:dyDescent="0.25">
      <c r="L1103" s="26">
        <v>41040</v>
      </c>
      <c r="M1103" s="6">
        <v>50.75</v>
      </c>
      <c r="N1103" s="6">
        <v>51.16</v>
      </c>
      <c r="O1103" s="6">
        <v>50.689999</v>
      </c>
      <c r="P1103" s="6">
        <v>50.990001999999997</v>
      </c>
      <c r="Q1103" s="6">
        <v>41.167786</v>
      </c>
      <c r="R1103" s="58">
        <v>1556900</v>
      </c>
    </row>
    <row r="1104" spans="12:18" x14ac:dyDescent="0.25">
      <c r="L1104" s="26">
        <v>41043</v>
      </c>
      <c r="M1104" s="6">
        <v>50.740001999999997</v>
      </c>
      <c r="N1104" s="6">
        <v>51.060001</v>
      </c>
      <c r="O1104" s="6">
        <v>50.599997999999999</v>
      </c>
      <c r="P1104" s="6">
        <v>50.959999000000003</v>
      </c>
      <c r="Q1104" s="6">
        <v>41.143562000000003</v>
      </c>
      <c r="R1104" s="58">
        <v>1247300</v>
      </c>
    </row>
    <row r="1105" spans="12:18" x14ac:dyDescent="0.25">
      <c r="L1105" s="26">
        <v>41044</v>
      </c>
      <c r="M1105" s="6">
        <v>51</v>
      </c>
      <c r="N1105" s="6">
        <v>51.07</v>
      </c>
      <c r="O1105" s="6">
        <v>50.689999</v>
      </c>
      <c r="P1105" s="6">
        <v>50.98</v>
      </c>
      <c r="Q1105" s="6">
        <v>41.159714000000001</v>
      </c>
      <c r="R1105" s="58">
        <v>1787300</v>
      </c>
    </row>
    <row r="1106" spans="12:18" x14ac:dyDescent="0.25">
      <c r="L1106" s="26">
        <v>41045</v>
      </c>
      <c r="M1106" s="6">
        <v>50.959999000000003</v>
      </c>
      <c r="N1106" s="6">
        <v>51.029998999999997</v>
      </c>
      <c r="O1106" s="6">
        <v>50.700001</v>
      </c>
      <c r="P1106" s="6">
        <v>50.93</v>
      </c>
      <c r="Q1106" s="6">
        <v>41.119349999999997</v>
      </c>
      <c r="R1106" s="58">
        <v>2038000</v>
      </c>
    </row>
    <row r="1107" spans="12:18" x14ac:dyDescent="0.25">
      <c r="L1107" s="26">
        <v>41046</v>
      </c>
      <c r="M1107" s="6">
        <v>50.990001999999997</v>
      </c>
      <c r="N1107" s="6">
        <v>51.060001</v>
      </c>
      <c r="O1107" s="6">
        <v>50.709999000000003</v>
      </c>
      <c r="P1107" s="6">
        <v>50.709999000000003</v>
      </c>
      <c r="Q1107" s="6">
        <v>40.941723000000003</v>
      </c>
      <c r="R1107" s="58">
        <v>1796300</v>
      </c>
    </row>
    <row r="1108" spans="12:18" x14ac:dyDescent="0.25">
      <c r="L1108" s="26">
        <v>41047</v>
      </c>
      <c r="M1108" s="6">
        <v>50.84</v>
      </c>
      <c r="N1108" s="6">
        <v>50.860000999999997</v>
      </c>
      <c r="O1108" s="6">
        <v>50.16</v>
      </c>
      <c r="P1108" s="6">
        <v>50.369999</v>
      </c>
      <c r="Q1108" s="6">
        <v>40.667212999999997</v>
      </c>
      <c r="R1108" s="58">
        <v>2050300</v>
      </c>
    </row>
    <row r="1109" spans="12:18" x14ac:dyDescent="0.25">
      <c r="L1109" s="26">
        <v>41050</v>
      </c>
      <c r="M1109" s="6">
        <v>50.459999000000003</v>
      </c>
      <c r="N1109" s="6">
        <v>50.459999000000003</v>
      </c>
      <c r="O1109" s="6">
        <v>50.040000999999997</v>
      </c>
      <c r="P1109" s="6">
        <v>50.369999</v>
      </c>
      <c r="Q1109" s="6">
        <v>40.667212999999997</v>
      </c>
      <c r="R1109" s="58">
        <v>1369000</v>
      </c>
    </row>
    <row r="1110" spans="12:18" x14ac:dyDescent="0.25">
      <c r="L1110" s="26">
        <v>41051</v>
      </c>
      <c r="M1110" s="6">
        <v>50.540000999999997</v>
      </c>
      <c r="N1110" s="6">
        <v>50.720001000000003</v>
      </c>
      <c r="O1110" s="6">
        <v>50.299999</v>
      </c>
      <c r="P1110" s="6">
        <v>50.400002000000001</v>
      </c>
      <c r="Q1110" s="6">
        <v>40.691448000000001</v>
      </c>
      <c r="R1110" s="58">
        <v>1298900</v>
      </c>
    </row>
    <row r="1111" spans="12:18" x14ac:dyDescent="0.25">
      <c r="L1111" s="26">
        <v>41052</v>
      </c>
      <c r="M1111" s="6">
        <v>50.259998000000003</v>
      </c>
      <c r="N1111" s="6">
        <v>50.48</v>
      </c>
      <c r="O1111" s="6">
        <v>49.900002000000001</v>
      </c>
      <c r="P1111" s="6">
        <v>50.099997999999999</v>
      </c>
      <c r="Q1111" s="6">
        <v>40.449226000000003</v>
      </c>
      <c r="R1111" s="58">
        <v>1400000</v>
      </c>
    </row>
    <row r="1112" spans="12:18" x14ac:dyDescent="0.25">
      <c r="L1112" s="26">
        <v>41053</v>
      </c>
      <c r="M1112" s="6">
        <v>50.110000999999997</v>
      </c>
      <c r="N1112" s="6">
        <v>50.360000999999997</v>
      </c>
      <c r="O1112" s="6">
        <v>49.860000999999997</v>
      </c>
      <c r="P1112" s="6">
        <v>50.200001</v>
      </c>
      <c r="Q1112" s="6">
        <v>40.529975999999998</v>
      </c>
      <c r="R1112" s="58">
        <v>1669500</v>
      </c>
    </row>
    <row r="1113" spans="12:18" x14ac:dyDescent="0.25">
      <c r="L1113" s="26">
        <v>41054</v>
      </c>
      <c r="M1113" s="6">
        <v>50.200001</v>
      </c>
      <c r="N1113" s="6">
        <v>50.349997999999999</v>
      </c>
      <c r="O1113" s="6">
        <v>50.009998000000003</v>
      </c>
      <c r="P1113" s="6">
        <v>50.27</v>
      </c>
      <c r="Q1113" s="6">
        <v>40.586491000000002</v>
      </c>
      <c r="R1113" s="58">
        <v>1334000</v>
      </c>
    </row>
    <row r="1114" spans="12:18" x14ac:dyDescent="0.25">
      <c r="L1114" s="26">
        <v>41058</v>
      </c>
      <c r="M1114" s="6">
        <v>50.540000999999997</v>
      </c>
      <c r="N1114" s="6">
        <v>50.700001</v>
      </c>
      <c r="O1114" s="6">
        <v>50.419998</v>
      </c>
      <c r="P1114" s="6">
        <v>50.48</v>
      </c>
      <c r="Q1114" s="6">
        <v>40.756022999999999</v>
      </c>
      <c r="R1114" s="58">
        <v>1415100</v>
      </c>
    </row>
    <row r="1115" spans="12:18" x14ac:dyDescent="0.25">
      <c r="L1115" s="26">
        <v>41059</v>
      </c>
      <c r="M1115" s="6">
        <v>50.029998999999997</v>
      </c>
      <c r="N1115" s="6">
        <v>50.32</v>
      </c>
      <c r="O1115" s="6">
        <v>49.360000999999997</v>
      </c>
      <c r="P1115" s="6">
        <v>49.360000999999997</v>
      </c>
      <c r="Q1115" s="6">
        <v>40.194156999999997</v>
      </c>
      <c r="R1115" s="58">
        <v>2198500</v>
      </c>
    </row>
    <row r="1116" spans="12:18" x14ac:dyDescent="0.25">
      <c r="L1116" s="26">
        <v>41060</v>
      </c>
      <c r="M1116" s="6">
        <v>49.439999</v>
      </c>
      <c r="N1116" s="6">
        <v>49.5</v>
      </c>
      <c r="O1116" s="6">
        <v>48.779998999999997</v>
      </c>
      <c r="P1116" s="6">
        <v>48.779998999999997</v>
      </c>
      <c r="Q1116" s="6">
        <v>39.721859000000002</v>
      </c>
      <c r="R1116" s="58">
        <v>3006800</v>
      </c>
    </row>
    <row r="1117" spans="12:18" x14ac:dyDescent="0.25">
      <c r="L1117" s="26">
        <v>41061</v>
      </c>
      <c r="M1117" s="6">
        <v>48.5</v>
      </c>
      <c r="N1117" s="6">
        <v>48.75</v>
      </c>
      <c r="O1117" s="6">
        <v>48.200001</v>
      </c>
      <c r="P1117" s="6">
        <v>48.220001000000003</v>
      </c>
      <c r="Q1117" s="6">
        <v>39.26585</v>
      </c>
      <c r="R1117" s="58">
        <v>2667100</v>
      </c>
    </row>
    <row r="1118" spans="12:18" x14ac:dyDescent="0.25">
      <c r="L1118" s="26">
        <v>41064</v>
      </c>
      <c r="M1118" s="6">
        <v>48.220001000000003</v>
      </c>
      <c r="N1118" s="6">
        <v>48.349997999999999</v>
      </c>
      <c r="O1118" s="6">
        <v>48</v>
      </c>
      <c r="P1118" s="6">
        <v>48.259998000000003</v>
      </c>
      <c r="Q1118" s="6">
        <v>39.298416000000003</v>
      </c>
      <c r="R1118" s="58">
        <v>1467900</v>
      </c>
    </row>
    <row r="1119" spans="12:18" x14ac:dyDescent="0.25">
      <c r="L1119" s="26">
        <v>41065</v>
      </c>
      <c r="M1119" s="6">
        <v>48.009998000000003</v>
      </c>
      <c r="N1119" s="6">
        <v>48.459999000000003</v>
      </c>
      <c r="O1119" s="6">
        <v>47.880001</v>
      </c>
      <c r="P1119" s="6">
        <v>48.220001000000003</v>
      </c>
      <c r="Q1119" s="6">
        <v>39.26585</v>
      </c>
      <c r="R1119" s="58">
        <v>1988000</v>
      </c>
    </row>
    <row r="1120" spans="12:18" x14ac:dyDescent="0.25">
      <c r="L1120" s="26">
        <v>41066</v>
      </c>
      <c r="M1120" s="6">
        <v>48.34</v>
      </c>
      <c r="N1120" s="6">
        <v>48.5</v>
      </c>
      <c r="O1120" s="6">
        <v>48.07</v>
      </c>
      <c r="P1120" s="6">
        <v>48.369999</v>
      </c>
      <c r="Q1120" s="6">
        <v>39.387993000000002</v>
      </c>
      <c r="R1120" s="58">
        <v>1669100</v>
      </c>
    </row>
    <row r="1121" spans="12:18" x14ac:dyDescent="0.25">
      <c r="L1121" s="26">
        <v>41067</v>
      </c>
      <c r="M1121" s="6">
        <v>48.599997999999999</v>
      </c>
      <c r="N1121" s="6">
        <v>48.650002000000001</v>
      </c>
      <c r="O1121" s="6">
        <v>48.389999000000003</v>
      </c>
      <c r="P1121" s="6">
        <v>48.400002000000001</v>
      </c>
      <c r="Q1121" s="6">
        <v>39.412426000000004</v>
      </c>
      <c r="R1121" s="58">
        <v>1394500</v>
      </c>
    </row>
    <row r="1122" spans="12:18" x14ac:dyDescent="0.25">
      <c r="L1122" s="26">
        <v>41068</v>
      </c>
      <c r="M1122" s="6">
        <v>48.369999</v>
      </c>
      <c r="N1122" s="6">
        <v>48.630001</v>
      </c>
      <c r="O1122" s="6">
        <v>48.330002</v>
      </c>
      <c r="P1122" s="6">
        <v>48.630001</v>
      </c>
      <c r="Q1122" s="6">
        <v>39.599719999999998</v>
      </c>
      <c r="R1122" s="58">
        <v>1660500</v>
      </c>
    </row>
    <row r="1123" spans="12:18" x14ac:dyDescent="0.25">
      <c r="L1123" s="26">
        <v>41071</v>
      </c>
      <c r="M1123" s="6">
        <v>48.919998</v>
      </c>
      <c r="N1123" s="6">
        <v>48.919998</v>
      </c>
      <c r="O1123" s="6">
        <v>48.48</v>
      </c>
      <c r="P1123" s="6">
        <v>48.52</v>
      </c>
      <c r="Q1123" s="6">
        <v>39.510131999999999</v>
      </c>
      <c r="R1123" s="58">
        <v>1334800</v>
      </c>
    </row>
    <row r="1124" spans="12:18" x14ac:dyDescent="0.25">
      <c r="L1124" s="26">
        <v>41072</v>
      </c>
      <c r="M1124" s="6">
        <v>48.549999</v>
      </c>
      <c r="N1124" s="6">
        <v>48.59</v>
      </c>
      <c r="O1124" s="6">
        <v>48.259998000000003</v>
      </c>
      <c r="P1124" s="6">
        <v>48.389999000000003</v>
      </c>
      <c r="Q1124" s="6">
        <v>39.404285000000002</v>
      </c>
      <c r="R1124" s="58">
        <v>1601500</v>
      </c>
    </row>
    <row r="1125" spans="12:18" x14ac:dyDescent="0.25">
      <c r="L1125" s="26">
        <v>41073</v>
      </c>
      <c r="M1125" s="6">
        <v>48.330002</v>
      </c>
      <c r="N1125" s="6">
        <v>48.57</v>
      </c>
      <c r="O1125" s="6">
        <v>48.25</v>
      </c>
      <c r="P1125" s="6">
        <v>48.380001</v>
      </c>
      <c r="Q1125" s="6">
        <v>39.396141</v>
      </c>
      <c r="R1125" s="58">
        <v>1114900</v>
      </c>
    </row>
    <row r="1126" spans="12:18" x14ac:dyDescent="0.25">
      <c r="L1126" s="26">
        <v>41074</v>
      </c>
      <c r="M1126" s="6">
        <v>48.439999</v>
      </c>
      <c r="N1126" s="6">
        <v>49.139999000000003</v>
      </c>
      <c r="O1126" s="6">
        <v>48.43</v>
      </c>
      <c r="P1126" s="6">
        <v>49.130001</v>
      </c>
      <c r="Q1126" s="6">
        <v>40.006866000000002</v>
      </c>
      <c r="R1126" s="58">
        <v>2036700</v>
      </c>
    </row>
    <row r="1127" spans="12:18" x14ac:dyDescent="0.25">
      <c r="L1127" s="26">
        <v>41075</v>
      </c>
      <c r="M1127" s="6">
        <v>49.139999000000003</v>
      </c>
      <c r="N1127" s="6">
        <v>49.349997999999999</v>
      </c>
      <c r="O1127" s="6">
        <v>49.060001</v>
      </c>
      <c r="P1127" s="6">
        <v>49.25</v>
      </c>
      <c r="Q1127" s="6">
        <v>40.104590999999999</v>
      </c>
      <c r="R1127" s="58">
        <v>1536800</v>
      </c>
    </row>
    <row r="1128" spans="12:18" x14ac:dyDescent="0.25">
      <c r="L1128" s="26">
        <v>41078</v>
      </c>
      <c r="M1128" s="6">
        <v>49.23</v>
      </c>
      <c r="N1128" s="6">
        <v>49.650002000000001</v>
      </c>
      <c r="O1128" s="6">
        <v>49.220001000000003</v>
      </c>
      <c r="P1128" s="6">
        <v>49.400002000000001</v>
      </c>
      <c r="Q1128" s="6">
        <v>40.226737999999997</v>
      </c>
      <c r="R1128" s="58">
        <v>1049700</v>
      </c>
    </row>
    <row r="1129" spans="12:18" x14ac:dyDescent="0.25">
      <c r="L1129" s="26">
        <v>41079</v>
      </c>
      <c r="M1129" s="6">
        <v>49.639999000000003</v>
      </c>
      <c r="N1129" s="6">
        <v>49.759998000000003</v>
      </c>
      <c r="O1129" s="6">
        <v>49.34</v>
      </c>
      <c r="P1129" s="6">
        <v>49.599997999999999</v>
      </c>
      <c r="Q1129" s="6">
        <v>40.389586999999999</v>
      </c>
      <c r="R1129" s="58">
        <v>1121100</v>
      </c>
    </row>
    <row r="1130" spans="12:18" x14ac:dyDescent="0.25">
      <c r="L1130" s="26">
        <v>41080</v>
      </c>
      <c r="M1130" s="6">
        <v>49.509998000000003</v>
      </c>
      <c r="N1130" s="6">
        <v>49.66</v>
      </c>
      <c r="O1130" s="6">
        <v>49.119999</v>
      </c>
      <c r="P1130" s="6">
        <v>49.439999</v>
      </c>
      <c r="Q1130" s="6">
        <v>40.259300000000003</v>
      </c>
      <c r="R1130" s="58">
        <v>1269400</v>
      </c>
    </row>
    <row r="1131" spans="12:18" x14ac:dyDescent="0.25">
      <c r="L1131" s="26">
        <v>41081</v>
      </c>
      <c r="M1131" s="6">
        <v>49.689999</v>
      </c>
      <c r="N1131" s="6">
        <v>49.689999</v>
      </c>
      <c r="O1131" s="6">
        <v>48.790000999999997</v>
      </c>
      <c r="P1131" s="6">
        <v>48.810001</v>
      </c>
      <c r="Q1131" s="6">
        <v>39.746291999999997</v>
      </c>
      <c r="R1131" s="58">
        <v>1368800</v>
      </c>
    </row>
    <row r="1132" spans="12:18" x14ac:dyDescent="0.25">
      <c r="L1132" s="26">
        <v>41082</v>
      </c>
      <c r="M1132" s="6">
        <v>48.880001</v>
      </c>
      <c r="N1132" s="6">
        <v>49.07</v>
      </c>
      <c r="O1132" s="6">
        <v>48.650002000000001</v>
      </c>
      <c r="P1132" s="6">
        <v>48.970001000000003</v>
      </c>
      <c r="Q1132" s="6">
        <v>39.876579</v>
      </c>
      <c r="R1132" s="58">
        <v>1437200</v>
      </c>
    </row>
    <row r="1133" spans="12:18" x14ac:dyDescent="0.25">
      <c r="L1133" s="26">
        <v>41085</v>
      </c>
      <c r="M1133" s="6">
        <v>48.759998000000003</v>
      </c>
      <c r="N1133" s="6">
        <v>48.950001</v>
      </c>
      <c r="O1133" s="6">
        <v>48.59</v>
      </c>
      <c r="P1133" s="6">
        <v>48.73</v>
      </c>
      <c r="Q1133" s="6">
        <v>39.681145000000001</v>
      </c>
      <c r="R1133" s="58">
        <v>1107400</v>
      </c>
    </row>
    <row r="1134" spans="12:18" x14ac:dyDescent="0.25">
      <c r="L1134" s="26">
        <v>41086</v>
      </c>
      <c r="M1134" s="6">
        <v>48.68</v>
      </c>
      <c r="N1134" s="6">
        <v>48.73</v>
      </c>
      <c r="O1134" s="6">
        <v>48.169998</v>
      </c>
      <c r="P1134" s="6">
        <v>48.439999</v>
      </c>
      <c r="Q1134" s="6">
        <v>39.444991999999999</v>
      </c>
      <c r="R1134" s="58">
        <v>1348300</v>
      </c>
    </row>
    <row r="1135" spans="12:18" x14ac:dyDescent="0.25">
      <c r="L1135" s="26">
        <v>41087</v>
      </c>
      <c r="M1135" s="6">
        <v>48.419998</v>
      </c>
      <c r="N1135" s="6">
        <v>48.740001999999997</v>
      </c>
      <c r="O1135" s="6">
        <v>48.380001</v>
      </c>
      <c r="P1135" s="6">
        <v>48.700001</v>
      </c>
      <c r="Q1135" s="6">
        <v>39.656719000000002</v>
      </c>
      <c r="R1135" s="58">
        <v>1165500</v>
      </c>
    </row>
    <row r="1136" spans="12:18" x14ac:dyDescent="0.25">
      <c r="L1136" s="26">
        <v>41088</v>
      </c>
      <c r="M1136" s="6">
        <v>48.580002</v>
      </c>
      <c r="N1136" s="6">
        <v>48.889999000000003</v>
      </c>
      <c r="O1136" s="6">
        <v>48.439999</v>
      </c>
      <c r="P1136" s="6">
        <v>48.889999000000003</v>
      </c>
      <c r="Q1136" s="6">
        <v>39.811439999999997</v>
      </c>
      <c r="R1136" s="58">
        <v>1787300</v>
      </c>
    </row>
    <row r="1137" spans="12:18" x14ac:dyDescent="0.25">
      <c r="L1137" s="26">
        <v>41089</v>
      </c>
      <c r="M1137" s="6">
        <v>49.279998999999997</v>
      </c>
      <c r="N1137" s="6">
        <v>49.450001</v>
      </c>
      <c r="O1137" s="6">
        <v>49.150002000000001</v>
      </c>
      <c r="P1137" s="6">
        <v>49.330002</v>
      </c>
      <c r="Q1137" s="6">
        <v>40.169735000000003</v>
      </c>
      <c r="R1137" s="58">
        <v>2040000</v>
      </c>
    </row>
    <row r="1138" spans="12:18" x14ac:dyDescent="0.25">
      <c r="L1138" s="26">
        <v>41092</v>
      </c>
      <c r="M1138" s="6">
        <v>49.16</v>
      </c>
      <c r="N1138" s="6">
        <v>49.52</v>
      </c>
      <c r="O1138" s="6">
        <v>48.98</v>
      </c>
      <c r="P1138" s="6">
        <v>49.450001</v>
      </c>
      <c r="Q1138" s="6">
        <v>40.267440999999998</v>
      </c>
      <c r="R1138" s="58">
        <v>1610100</v>
      </c>
    </row>
    <row r="1139" spans="12:18" x14ac:dyDescent="0.25">
      <c r="L1139" s="26">
        <v>41093</v>
      </c>
      <c r="M1139" s="6">
        <v>49.5</v>
      </c>
      <c r="N1139" s="6">
        <v>49.560001</v>
      </c>
      <c r="O1139" s="6">
        <v>49.299999</v>
      </c>
      <c r="P1139" s="6">
        <v>49.540000999999997</v>
      </c>
      <c r="Q1139" s="6">
        <v>40.340736</v>
      </c>
      <c r="R1139" s="58">
        <v>862300</v>
      </c>
    </row>
    <row r="1140" spans="12:18" x14ac:dyDescent="0.25">
      <c r="L1140" s="26">
        <v>41095</v>
      </c>
      <c r="M1140" s="6">
        <v>49.549999</v>
      </c>
      <c r="N1140" s="6">
        <v>49.75</v>
      </c>
      <c r="O1140" s="6">
        <v>49.27</v>
      </c>
      <c r="P1140" s="6">
        <v>49.490001999999997</v>
      </c>
      <c r="Q1140" s="6">
        <v>40.300018000000001</v>
      </c>
      <c r="R1140" s="58">
        <v>1618800</v>
      </c>
    </row>
    <row r="1141" spans="12:18" x14ac:dyDescent="0.25">
      <c r="L1141" s="26">
        <v>41096</v>
      </c>
      <c r="M1141" s="6">
        <v>49.310001</v>
      </c>
      <c r="N1141" s="6">
        <v>49.5</v>
      </c>
      <c r="O1141" s="6">
        <v>49.009998000000003</v>
      </c>
      <c r="P1141" s="6">
        <v>49.119999</v>
      </c>
      <c r="Q1141" s="6">
        <v>39.998722000000001</v>
      </c>
      <c r="R1141" s="58">
        <v>1211300</v>
      </c>
    </row>
    <row r="1142" spans="12:18" x14ac:dyDescent="0.25">
      <c r="L1142" s="26">
        <v>41099</v>
      </c>
      <c r="M1142" s="6">
        <v>49.119999</v>
      </c>
      <c r="N1142" s="6">
        <v>49.200001</v>
      </c>
      <c r="O1142" s="6">
        <v>48.59</v>
      </c>
      <c r="P1142" s="6">
        <v>48.650002000000001</v>
      </c>
      <c r="Q1142" s="6">
        <v>39.616005000000001</v>
      </c>
      <c r="R1142" s="58">
        <v>1268700</v>
      </c>
    </row>
    <row r="1143" spans="12:18" x14ac:dyDescent="0.25">
      <c r="L1143" s="26">
        <v>41100</v>
      </c>
      <c r="M1143" s="6">
        <v>48.689999</v>
      </c>
      <c r="N1143" s="6">
        <v>49.23</v>
      </c>
      <c r="O1143" s="6">
        <v>48.689999</v>
      </c>
      <c r="P1143" s="6">
        <v>48.98</v>
      </c>
      <c r="Q1143" s="6">
        <v>39.884720000000002</v>
      </c>
      <c r="R1143" s="58">
        <v>2098800</v>
      </c>
    </row>
    <row r="1144" spans="12:18" x14ac:dyDescent="0.25">
      <c r="L1144" s="26">
        <v>41101</v>
      </c>
      <c r="M1144" s="6">
        <v>49</v>
      </c>
      <c r="N1144" s="6">
        <v>49.889999000000003</v>
      </c>
      <c r="O1144" s="6">
        <v>48.970001000000003</v>
      </c>
      <c r="P1144" s="6">
        <v>49.48</v>
      </c>
      <c r="Q1144" s="6">
        <v>40.291874</v>
      </c>
      <c r="R1144" s="58">
        <v>2145300</v>
      </c>
    </row>
    <row r="1145" spans="12:18" x14ac:dyDescent="0.25">
      <c r="L1145" s="26">
        <v>41102</v>
      </c>
      <c r="M1145" s="6">
        <v>49.34</v>
      </c>
      <c r="N1145" s="6">
        <v>49.470001000000003</v>
      </c>
      <c r="O1145" s="6">
        <v>48.970001000000003</v>
      </c>
      <c r="P1145" s="6">
        <v>49.130001</v>
      </c>
      <c r="Q1145" s="6">
        <v>40.006866000000002</v>
      </c>
      <c r="R1145" s="58">
        <v>925400</v>
      </c>
    </row>
    <row r="1146" spans="12:18" x14ac:dyDescent="0.25">
      <c r="L1146" s="26">
        <v>41103</v>
      </c>
      <c r="M1146" s="6">
        <v>49.209999000000003</v>
      </c>
      <c r="N1146" s="6">
        <v>49.720001000000003</v>
      </c>
      <c r="O1146" s="6">
        <v>49.189999</v>
      </c>
      <c r="P1146" s="6">
        <v>49.5</v>
      </c>
      <c r="Q1146" s="6">
        <v>40.308163</v>
      </c>
      <c r="R1146" s="58">
        <v>1180800</v>
      </c>
    </row>
    <row r="1147" spans="12:18" x14ac:dyDescent="0.25">
      <c r="L1147" s="26">
        <v>41106</v>
      </c>
      <c r="M1147" s="6">
        <v>49.400002000000001</v>
      </c>
      <c r="N1147" s="6">
        <v>49.490001999999997</v>
      </c>
      <c r="O1147" s="6">
        <v>48.279998999999997</v>
      </c>
      <c r="P1147" s="6">
        <v>48.349997999999999</v>
      </c>
      <c r="Q1147" s="6">
        <v>39.371699999999997</v>
      </c>
      <c r="R1147" s="58">
        <v>2833900</v>
      </c>
    </row>
    <row r="1148" spans="12:18" x14ac:dyDescent="0.25">
      <c r="L1148" s="26">
        <v>41107</v>
      </c>
      <c r="M1148" s="6">
        <v>48.459999000000003</v>
      </c>
      <c r="N1148" s="6">
        <v>48.509998000000003</v>
      </c>
      <c r="O1148" s="6">
        <v>47.959999000000003</v>
      </c>
      <c r="P1148" s="6">
        <v>48.380001</v>
      </c>
      <c r="Q1148" s="6">
        <v>39.396141</v>
      </c>
      <c r="R1148" s="58">
        <v>2151900</v>
      </c>
    </row>
    <row r="1149" spans="12:18" x14ac:dyDescent="0.25">
      <c r="L1149" s="26">
        <v>41108</v>
      </c>
      <c r="M1149" s="6">
        <v>48.400002000000001</v>
      </c>
      <c r="N1149" s="6">
        <v>48.450001</v>
      </c>
      <c r="O1149" s="6">
        <v>48</v>
      </c>
      <c r="P1149" s="6">
        <v>48.060001</v>
      </c>
      <c r="Q1149" s="6">
        <v>39.135554999999997</v>
      </c>
      <c r="R1149" s="58">
        <v>1987800</v>
      </c>
    </row>
    <row r="1150" spans="12:18" x14ac:dyDescent="0.25">
      <c r="L1150" s="26">
        <v>41109</v>
      </c>
      <c r="M1150" s="6">
        <v>48.099997999999999</v>
      </c>
      <c r="N1150" s="6">
        <v>48.279998999999997</v>
      </c>
      <c r="O1150" s="6">
        <v>47.919998</v>
      </c>
      <c r="P1150" s="6">
        <v>48.07</v>
      </c>
      <c r="Q1150" s="6">
        <v>39.143692000000001</v>
      </c>
      <c r="R1150" s="58">
        <v>2112400</v>
      </c>
    </row>
    <row r="1151" spans="12:18" x14ac:dyDescent="0.25">
      <c r="L1151" s="26">
        <v>41110</v>
      </c>
      <c r="M1151" s="6">
        <v>47.91</v>
      </c>
      <c r="N1151" s="6">
        <v>48.060001</v>
      </c>
      <c r="O1151" s="6">
        <v>47.529998999999997</v>
      </c>
      <c r="P1151" s="6">
        <v>47.639999000000003</v>
      </c>
      <c r="Q1151" s="6">
        <v>38.793556000000002</v>
      </c>
      <c r="R1151" s="58">
        <v>2520500</v>
      </c>
    </row>
    <row r="1152" spans="12:18" x14ac:dyDescent="0.25">
      <c r="L1152" s="26">
        <v>41113</v>
      </c>
      <c r="M1152" s="6">
        <v>47.459999000000003</v>
      </c>
      <c r="N1152" s="6">
        <v>47.580002</v>
      </c>
      <c r="O1152" s="6">
        <v>47.009998000000003</v>
      </c>
      <c r="P1152" s="6">
        <v>47.150002000000001</v>
      </c>
      <c r="Q1152" s="6">
        <v>38.394542999999999</v>
      </c>
      <c r="R1152" s="58">
        <v>1985200</v>
      </c>
    </row>
    <row r="1153" spans="12:18" x14ac:dyDescent="0.25">
      <c r="L1153" s="26">
        <v>41114</v>
      </c>
      <c r="M1153" s="6">
        <v>47.139999000000003</v>
      </c>
      <c r="N1153" s="6">
        <v>47.200001</v>
      </c>
      <c r="O1153" s="6">
        <v>46.330002</v>
      </c>
      <c r="P1153" s="6">
        <v>46.529998999999997</v>
      </c>
      <c r="Q1153" s="6">
        <v>37.889664000000003</v>
      </c>
      <c r="R1153" s="58">
        <v>3863700</v>
      </c>
    </row>
    <row r="1154" spans="12:18" x14ac:dyDescent="0.25">
      <c r="L1154" s="26">
        <v>41115</v>
      </c>
      <c r="M1154" s="6">
        <v>46.549999</v>
      </c>
      <c r="N1154" s="6">
        <v>46.84</v>
      </c>
      <c r="O1154" s="6">
        <v>46.419998</v>
      </c>
      <c r="P1154" s="6">
        <v>46.509998000000003</v>
      </c>
      <c r="Q1154" s="6">
        <v>37.873382999999997</v>
      </c>
      <c r="R1154" s="58">
        <v>2542500</v>
      </c>
    </row>
    <row r="1155" spans="12:18" x14ac:dyDescent="0.25">
      <c r="L1155" s="26">
        <v>41116</v>
      </c>
      <c r="M1155" s="6">
        <v>46.98</v>
      </c>
      <c r="N1155" s="6">
        <v>47.389999000000003</v>
      </c>
      <c r="O1155" s="6">
        <v>46.610000999999997</v>
      </c>
      <c r="P1155" s="6">
        <v>46.610000999999997</v>
      </c>
      <c r="Q1155" s="6">
        <v>37.954802999999998</v>
      </c>
      <c r="R1155" s="58">
        <v>2911200</v>
      </c>
    </row>
    <row r="1156" spans="12:18" x14ac:dyDescent="0.25">
      <c r="L1156" s="26">
        <v>41117</v>
      </c>
      <c r="M1156" s="6">
        <v>46.779998999999997</v>
      </c>
      <c r="N1156" s="6">
        <v>47.380001</v>
      </c>
      <c r="O1156" s="6">
        <v>46.75</v>
      </c>
      <c r="P1156" s="6">
        <v>47.189999</v>
      </c>
      <c r="Q1156" s="6">
        <v>38.427115999999998</v>
      </c>
      <c r="R1156" s="58">
        <v>3367000</v>
      </c>
    </row>
    <row r="1157" spans="12:18" x14ac:dyDescent="0.25">
      <c r="L1157" s="26">
        <v>41120</v>
      </c>
      <c r="M1157" s="6">
        <v>47.450001</v>
      </c>
      <c r="N1157" s="6">
        <v>47.709999000000003</v>
      </c>
      <c r="O1157" s="6">
        <v>46.939999</v>
      </c>
      <c r="P1157" s="6">
        <v>47.400002000000001</v>
      </c>
      <c r="Q1157" s="6">
        <v>38.598121999999996</v>
      </c>
      <c r="R1157" s="58">
        <v>2599200</v>
      </c>
    </row>
    <row r="1158" spans="12:18" x14ac:dyDescent="0.25">
      <c r="L1158" s="26">
        <v>41121</v>
      </c>
      <c r="M1158" s="6">
        <v>47.389999000000003</v>
      </c>
      <c r="N1158" s="6">
        <v>47.84</v>
      </c>
      <c r="O1158" s="6">
        <v>47.259998000000003</v>
      </c>
      <c r="P1158" s="6">
        <v>47.700001</v>
      </c>
      <c r="Q1158" s="6">
        <v>38.842402999999997</v>
      </c>
      <c r="R1158" s="58">
        <v>1999500</v>
      </c>
    </row>
    <row r="1159" spans="12:18" x14ac:dyDescent="0.25">
      <c r="L1159" s="26">
        <v>41122</v>
      </c>
      <c r="M1159" s="6">
        <v>47.77</v>
      </c>
      <c r="N1159" s="6">
        <v>48.040000999999997</v>
      </c>
      <c r="O1159" s="6">
        <v>47.509998000000003</v>
      </c>
      <c r="P1159" s="6">
        <v>47.810001</v>
      </c>
      <c r="Q1159" s="6">
        <v>38.931987999999997</v>
      </c>
      <c r="R1159" s="58">
        <v>2490800</v>
      </c>
    </row>
    <row r="1160" spans="12:18" x14ac:dyDescent="0.25">
      <c r="L1160" s="26">
        <v>41123</v>
      </c>
      <c r="M1160" s="6">
        <v>48.049999</v>
      </c>
      <c r="N1160" s="6">
        <v>49.98</v>
      </c>
      <c r="O1160" s="6">
        <v>48.049999</v>
      </c>
      <c r="P1160" s="6">
        <v>49.439999</v>
      </c>
      <c r="Q1160" s="6">
        <v>40.259300000000003</v>
      </c>
      <c r="R1160" s="58">
        <v>4721900</v>
      </c>
    </row>
    <row r="1161" spans="12:18" x14ac:dyDescent="0.25">
      <c r="L1161" s="26">
        <v>41124</v>
      </c>
      <c r="M1161" s="6">
        <v>49.860000999999997</v>
      </c>
      <c r="N1161" s="6">
        <v>50.549999</v>
      </c>
      <c r="O1161" s="6">
        <v>49.849997999999999</v>
      </c>
      <c r="P1161" s="6">
        <v>50.349997999999999</v>
      </c>
      <c r="Q1161" s="6">
        <v>41.000317000000003</v>
      </c>
      <c r="R1161" s="58">
        <v>4113100</v>
      </c>
    </row>
    <row r="1162" spans="12:18" x14ac:dyDescent="0.25">
      <c r="L1162" s="26">
        <v>41127</v>
      </c>
      <c r="M1162" s="6">
        <v>50.27</v>
      </c>
      <c r="N1162" s="6">
        <v>50.709999000000003</v>
      </c>
      <c r="O1162" s="6">
        <v>50.040000999999997</v>
      </c>
      <c r="P1162" s="6">
        <v>50.07</v>
      </c>
      <c r="Q1162" s="6">
        <v>40.772320000000001</v>
      </c>
      <c r="R1162" s="58">
        <v>2146500</v>
      </c>
    </row>
    <row r="1163" spans="12:18" x14ac:dyDescent="0.25">
      <c r="L1163" s="26">
        <v>41128</v>
      </c>
      <c r="M1163" s="6">
        <v>50.200001</v>
      </c>
      <c r="N1163" s="6">
        <v>50.439999</v>
      </c>
      <c r="O1163" s="6">
        <v>50.029998999999997</v>
      </c>
      <c r="P1163" s="6">
        <v>50.25</v>
      </c>
      <c r="Q1163" s="6">
        <v>40.918888000000003</v>
      </c>
      <c r="R1163" s="58">
        <v>1615400</v>
      </c>
    </row>
    <row r="1164" spans="12:18" x14ac:dyDescent="0.25">
      <c r="L1164" s="26">
        <v>41129</v>
      </c>
      <c r="M1164" s="6">
        <v>50.27</v>
      </c>
      <c r="N1164" s="6">
        <v>50.75</v>
      </c>
      <c r="O1164" s="6">
        <v>50.189999</v>
      </c>
      <c r="P1164" s="6">
        <v>50.66</v>
      </c>
      <c r="Q1164" s="6">
        <v>41.252749999999999</v>
      </c>
      <c r="R1164" s="58">
        <v>1860500</v>
      </c>
    </row>
    <row r="1165" spans="12:18" x14ac:dyDescent="0.25">
      <c r="L1165" s="26">
        <v>41130</v>
      </c>
      <c r="M1165" s="6">
        <v>50.619999</v>
      </c>
      <c r="N1165" s="6">
        <v>50.799999</v>
      </c>
      <c r="O1165" s="6">
        <v>50.48</v>
      </c>
      <c r="P1165" s="6">
        <v>50.75</v>
      </c>
      <c r="Q1165" s="6">
        <v>41.326056999999999</v>
      </c>
      <c r="R1165" s="58">
        <v>1992400</v>
      </c>
    </row>
    <row r="1166" spans="12:18" x14ac:dyDescent="0.25">
      <c r="L1166" s="26">
        <v>41131</v>
      </c>
      <c r="M1166" s="6">
        <v>50.59</v>
      </c>
      <c r="N1166" s="6">
        <v>51</v>
      </c>
      <c r="O1166" s="6">
        <v>50.5</v>
      </c>
      <c r="P1166" s="6">
        <v>50.98</v>
      </c>
      <c r="Q1166" s="6">
        <v>41.513328999999999</v>
      </c>
      <c r="R1166" s="58">
        <v>1565000</v>
      </c>
    </row>
    <row r="1167" spans="12:18" x14ac:dyDescent="0.25">
      <c r="L1167" s="26">
        <v>41134</v>
      </c>
      <c r="M1167" s="6">
        <v>50.970001000000003</v>
      </c>
      <c r="N1167" s="6">
        <v>51.029998999999997</v>
      </c>
      <c r="O1167" s="6">
        <v>50.66</v>
      </c>
      <c r="P1167" s="6">
        <v>50.700001</v>
      </c>
      <c r="Q1167" s="6">
        <v>41.285336000000001</v>
      </c>
      <c r="R1167" s="58">
        <v>2446500</v>
      </c>
    </row>
    <row r="1168" spans="12:18" x14ac:dyDescent="0.25">
      <c r="L1168" s="26">
        <v>41135</v>
      </c>
      <c r="M1168" s="6">
        <v>50.849997999999999</v>
      </c>
      <c r="N1168" s="6">
        <v>50.950001</v>
      </c>
      <c r="O1168" s="6">
        <v>50.52</v>
      </c>
      <c r="P1168" s="6">
        <v>50.810001</v>
      </c>
      <c r="Q1168" s="6">
        <v>41.374907999999998</v>
      </c>
      <c r="R1168" s="58">
        <v>1744200</v>
      </c>
    </row>
    <row r="1169" spans="12:18" x14ac:dyDescent="0.25">
      <c r="L1169" s="26">
        <v>41136</v>
      </c>
      <c r="M1169" s="6">
        <v>50.77</v>
      </c>
      <c r="N1169" s="6">
        <v>51</v>
      </c>
      <c r="O1169" s="6">
        <v>50.669998</v>
      </c>
      <c r="P1169" s="6">
        <v>50.970001000000003</v>
      </c>
      <c r="Q1169" s="6">
        <v>41.505192000000001</v>
      </c>
      <c r="R1169" s="58">
        <v>893800</v>
      </c>
    </row>
    <row r="1170" spans="12:18" x14ac:dyDescent="0.25">
      <c r="L1170" s="26">
        <v>41137</v>
      </c>
      <c r="M1170" s="6">
        <v>50.849997999999999</v>
      </c>
      <c r="N1170" s="6">
        <v>51.16</v>
      </c>
      <c r="O1170" s="6">
        <v>50.73</v>
      </c>
      <c r="P1170" s="6">
        <v>51.110000999999997</v>
      </c>
      <c r="Q1170" s="6">
        <v>41.619202000000001</v>
      </c>
      <c r="R1170" s="58">
        <v>2136900</v>
      </c>
    </row>
    <row r="1171" spans="12:18" x14ac:dyDescent="0.25">
      <c r="L1171" s="26">
        <v>41138</v>
      </c>
      <c r="M1171" s="6">
        <v>51.209999000000003</v>
      </c>
      <c r="N1171" s="6">
        <v>51.330002</v>
      </c>
      <c r="O1171" s="6">
        <v>51.040000999999997</v>
      </c>
      <c r="P1171" s="6">
        <v>51.099997999999999</v>
      </c>
      <c r="Q1171" s="6">
        <v>41.611057000000002</v>
      </c>
      <c r="R1171" s="58">
        <v>2188500</v>
      </c>
    </row>
    <row r="1172" spans="12:18" x14ac:dyDescent="0.25">
      <c r="L1172" s="26">
        <v>41141</v>
      </c>
      <c r="M1172" s="6">
        <v>51.119999</v>
      </c>
      <c r="N1172" s="6">
        <v>51.470001000000003</v>
      </c>
      <c r="O1172" s="6">
        <v>51.119999</v>
      </c>
      <c r="P1172" s="6">
        <v>51.380001</v>
      </c>
      <c r="Q1172" s="6">
        <v>41.83905</v>
      </c>
      <c r="R1172" s="58">
        <v>1542000</v>
      </c>
    </row>
    <row r="1173" spans="12:18" x14ac:dyDescent="0.25">
      <c r="L1173" s="26">
        <v>41142</v>
      </c>
      <c r="M1173" s="6">
        <v>51.5</v>
      </c>
      <c r="N1173" s="6">
        <v>51.700001</v>
      </c>
      <c r="O1173" s="6">
        <v>51.349997999999999</v>
      </c>
      <c r="P1173" s="6">
        <v>51.389999000000003</v>
      </c>
      <c r="Q1173" s="6">
        <v>41.847197999999999</v>
      </c>
      <c r="R1173" s="58">
        <v>1770000</v>
      </c>
    </row>
    <row r="1174" spans="12:18" x14ac:dyDescent="0.25">
      <c r="L1174" s="26">
        <v>41143</v>
      </c>
      <c r="M1174" s="6">
        <v>51.240001999999997</v>
      </c>
      <c r="N1174" s="6">
        <v>51.41</v>
      </c>
      <c r="O1174" s="6">
        <v>50.950001</v>
      </c>
      <c r="P1174" s="6">
        <v>51.07</v>
      </c>
      <c r="Q1174" s="6">
        <v>41.586613</v>
      </c>
      <c r="R1174" s="58">
        <v>1602000</v>
      </c>
    </row>
    <row r="1175" spans="12:18" x14ac:dyDescent="0.25">
      <c r="L1175" s="26">
        <v>41144</v>
      </c>
      <c r="M1175" s="6">
        <v>51.130001</v>
      </c>
      <c r="N1175" s="6">
        <v>51.259998000000003</v>
      </c>
      <c r="O1175" s="6">
        <v>50.950001</v>
      </c>
      <c r="P1175" s="6">
        <v>51.16</v>
      </c>
      <c r="Q1175" s="6">
        <v>41.659908000000001</v>
      </c>
      <c r="R1175" s="58">
        <v>2039000</v>
      </c>
    </row>
    <row r="1176" spans="12:18" x14ac:dyDescent="0.25">
      <c r="L1176" s="26">
        <v>41145</v>
      </c>
      <c r="M1176" s="6">
        <v>51.16</v>
      </c>
      <c r="N1176" s="6">
        <v>51.509998000000003</v>
      </c>
      <c r="O1176" s="6">
        <v>51.02</v>
      </c>
      <c r="P1176" s="6">
        <v>51.48</v>
      </c>
      <c r="Q1176" s="6">
        <v>41.920479</v>
      </c>
      <c r="R1176" s="58">
        <v>1354000</v>
      </c>
    </row>
    <row r="1177" spans="12:18" x14ac:dyDescent="0.25">
      <c r="L1177" s="26">
        <v>41148</v>
      </c>
      <c r="M1177" s="6">
        <v>51.630001</v>
      </c>
      <c r="N1177" s="6">
        <v>51.77</v>
      </c>
      <c r="O1177" s="6">
        <v>51.490001999999997</v>
      </c>
      <c r="P1177" s="6">
        <v>51.650002000000001</v>
      </c>
      <c r="Q1177" s="6">
        <v>42.058926</v>
      </c>
      <c r="R1177" s="58">
        <v>1133200</v>
      </c>
    </row>
    <row r="1178" spans="12:18" x14ac:dyDescent="0.25">
      <c r="L1178" s="26">
        <v>41149</v>
      </c>
      <c r="M1178" s="6">
        <v>51.52</v>
      </c>
      <c r="N1178" s="6">
        <v>51.91</v>
      </c>
      <c r="O1178" s="6">
        <v>51.52</v>
      </c>
      <c r="P1178" s="6">
        <v>51.66</v>
      </c>
      <c r="Q1178" s="6">
        <v>42.067059</v>
      </c>
      <c r="R1178" s="58">
        <v>1470800</v>
      </c>
    </row>
    <row r="1179" spans="12:18" x14ac:dyDescent="0.25">
      <c r="L1179" s="26">
        <v>41150</v>
      </c>
      <c r="M1179" s="6">
        <v>51.75</v>
      </c>
      <c r="N1179" s="6">
        <v>51.900002000000001</v>
      </c>
      <c r="O1179" s="6">
        <v>51.330002</v>
      </c>
      <c r="P1179" s="6">
        <v>51.419998</v>
      </c>
      <c r="Q1179" s="6">
        <v>41.87162</v>
      </c>
      <c r="R1179" s="58">
        <v>1513200</v>
      </c>
    </row>
    <row r="1180" spans="12:18" x14ac:dyDescent="0.25">
      <c r="L1180" s="26">
        <v>41151</v>
      </c>
      <c r="M1180" s="6">
        <v>50.939999</v>
      </c>
      <c r="N1180" s="6">
        <v>50.950001</v>
      </c>
      <c r="O1180" s="6">
        <v>50.540000999999997</v>
      </c>
      <c r="P1180" s="6">
        <v>50.560001</v>
      </c>
      <c r="Q1180" s="6">
        <v>41.526671999999998</v>
      </c>
      <c r="R1180" s="58">
        <v>2114800</v>
      </c>
    </row>
    <row r="1181" spans="12:18" x14ac:dyDescent="0.25">
      <c r="L1181" s="26">
        <v>41152</v>
      </c>
      <c r="M1181" s="6">
        <v>50.779998999999997</v>
      </c>
      <c r="N1181" s="6">
        <v>51</v>
      </c>
      <c r="O1181" s="6">
        <v>50.490001999999997</v>
      </c>
      <c r="P1181" s="6">
        <v>50.650002000000001</v>
      </c>
      <c r="Q1181" s="6">
        <v>41.600589999999997</v>
      </c>
      <c r="R1181" s="58">
        <v>1654100</v>
      </c>
    </row>
    <row r="1182" spans="12:18" x14ac:dyDescent="0.25">
      <c r="L1182" s="26">
        <v>41156</v>
      </c>
      <c r="M1182" s="6">
        <v>50.810001</v>
      </c>
      <c r="N1182" s="6">
        <v>51</v>
      </c>
      <c r="O1182" s="6">
        <v>50.619999</v>
      </c>
      <c r="P1182" s="6">
        <v>50.650002000000001</v>
      </c>
      <c r="Q1182" s="6">
        <v>41.600589999999997</v>
      </c>
      <c r="R1182" s="58">
        <v>1474100</v>
      </c>
    </row>
    <row r="1183" spans="12:18" x14ac:dyDescent="0.25">
      <c r="L1183" s="26">
        <v>41157</v>
      </c>
      <c r="M1183" s="6">
        <v>50.599997999999999</v>
      </c>
      <c r="N1183" s="6">
        <v>50.799999</v>
      </c>
      <c r="O1183" s="6">
        <v>50.189999</v>
      </c>
      <c r="P1183" s="6">
        <v>50.189999</v>
      </c>
      <c r="Q1183" s="6">
        <v>41.222771000000002</v>
      </c>
      <c r="R1183" s="58">
        <v>1310000</v>
      </c>
    </row>
    <row r="1184" spans="12:18" x14ac:dyDescent="0.25">
      <c r="L1184" s="26">
        <v>41158</v>
      </c>
      <c r="M1184" s="6">
        <v>50.25</v>
      </c>
      <c r="N1184" s="6">
        <v>50.470001000000003</v>
      </c>
      <c r="O1184" s="6">
        <v>50.130001</v>
      </c>
      <c r="P1184" s="6">
        <v>50.400002000000001</v>
      </c>
      <c r="Q1184" s="6">
        <v>41.39526</v>
      </c>
      <c r="R1184" s="58">
        <v>2244100</v>
      </c>
    </row>
    <row r="1185" spans="12:18" x14ac:dyDescent="0.25">
      <c r="L1185" s="26">
        <v>41159</v>
      </c>
      <c r="M1185" s="6">
        <v>50.34</v>
      </c>
      <c r="N1185" s="6">
        <v>50.509998000000003</v>
      </c>
      <c r="O1185" s="6">
        <v>50.23</v>
      </c>
      <c r="P1185" s="6">
        <v>50.389999000000003</v>
      </c>
      <c r="Q1185" s="6">
        <v>41.387042999999998</v>
      </c>
      <c r="R1185" s="58">
        <v>1921500</v>
      </c>
    </row>
    <row r="1186" spans="12:18" x14ac:dyDescent="0.25">
      <c r="L1186" s="26">
        <v>41162</v>
      </c>
      <c r="M1186" s="6">
        <v>50.07</v>
      </c>
      <c r="N1186" s="6">
        <v>50.360000999999997</v>
      </c>
      <c r="O1186" s="6">
        <v>49.919998</v>
      </c>
      <c r="P1186" s="6">
        <v>50.27</v>
      </c>
      <c r="Q1186" s="6">
        <v>41.288494</v>
      </c>
      <c r="R1186" s="58">
        <v>1814800</v>
      </c>
    </row>
    <row r="1187" spans="12:18" x14ac:dyDescent="0.25">
      <c r="L1187" s="26">
        <v>41163</v>
      </c>
      <c r="M1187" s="6">
        <v>50.389999000000003</v>
      </c>
      <c r="N1187" s="6">
        <v>50.43</v>
      </c>
      <c r="O1187" s="6">
        <v>50.16</v>
      </c>
      <c r="P1187" s="6">
        <v>50.43</v>
      </c>
      <c r="Q1187" s="6">
        <v>41.419888</v>
      </c>
      <c r="R1187" s="58">
        <v>1250900</v>
      </c>
    </row>
    <row r="1188" spans="12:18" x14ac:dyDescent="0.25">
      <c r="L1188" s="26">
        <v>41164</v>
      </c>
      <c r="M1188" s="6">
        <v>50.490001999999997</v>
      </c>
      <c r="N1188" s="6">
        <v>50.59</v>
      </c>
      <c r="O1188" s="6">
        <v>50.189999</v>
      </c>
      <c r="P1188" s="6">
        <v>50.369999</v>
      </c>
      <c r="Q1188" s="6">
        <v>41.370612999999999</v>
      </c>
      <c r="R1188" s="58">
        <v>978000</v>
      </c>
    </row>
    <row r="1189" spans="12:18" x14ac:dyDescent="0.25">
      <c r="L1189" s="26">
        <v>41165</v>
      </c>
      <c r="M1189" s="6">
        <v>50.220001000000003</v>
      </c>
      <c r="N1189" s="6">
        <v>50.939999</v>
      </c>
      <c r="O1189" s="6">
        <v>50.029998999999997</v>
      </c>
      <c r="P1189" s="6">
        <v>50.82</v>
      </c>
      <c r="Q1189" s="6">
        <v>41.740214999999999</v>
      </c>
      <c r="R1189" s="58">
        <v>1912200</v>
      </c>
    </row>
    <row r="1190" spans="12:18" x14ac:dyDescent="0.25">
      <c r="L1190" s="26">
        <v>41166</v>
      </c>
      <c r="M1190" s="6">
        <v>50.75</v>
      </c>
      <c r="N1190" s="6">
        <v>50.77</v>
      </c>
      <c r="O1190" s="6">
        <v>49.93</v>
      </c>
      <c r="P1190" s="6">
        <v>50.189999</v>
      </c>
      <c r="Q1190" s="6">
        <v>41.222771000000002</v>
      </c>
      <c r="R1190" s="58">
        <v>2874000</v>
      </c>
    </row>
    <row r="1191" spans="12:18" x14ac:dyDescent="0.25">
      <c r="L1191" s="26">
        <v>41169</v>
      </c>
      <c r="M1191" s="6">
        <v>50.209999000000003</v>
      </c>
      <c r="N1191" s="6">
        <v>50.509998000000003</v>
      </c>
      <c r="O1191" s="6">
        <v>50.209999000000003</v>
      </c>
      <c r="P1191" s="6">
        <v>50.470001000000003</v>
      </c>
      <c r="Q1191" s="6">
        <v>41.452750999999999</v>
      </c>
      <c r="R1191" s="58">
        <v>1363700</v>
      </c>
    </row>
    <row r="1192" spans="12:18" x14ac:dyDescent="0.25">
      <c r="L1192" s="26">
        <v>41170</v>
      </c>
      <c r="M1192" s="6">
        <v>50.529998999999997</v>
      </c>
      <c r="N1192" s="6">
        <v>50.529998999999997</v>
      </c>
      <c r="O1192" s="6">
        <v>50.25</v>
      </c>
      <c r="P1192" s="6">
        <v>50.299999</v>
      </c>
      <c r="Q1192" s="6">
        <v>41.313107000000002</v>
      </c>
      <c r="R1192" s="58">
        <v>1289800</v>
      </c>
    </row>
    <row r="1193" spans="12:18" x14ac:dyDescent="0.25">
      <c r="L1193" s="26">
        <v>41171</v>
      </c>
      <c r="M1193" s="6">
        <v>50.43</v>
      </c>
      <c r="N1193" s="6">
        <v>51.150002000000001</v>
      </c>
      <c r="O1193" s="6">
        <v>50.400002000000001</v>
      </c>
      <c r="P1193" s="6">
        <v>50.939999</v>
      </c>
      <c r="Q1193" s="6">
        <v>41.838779000000002</v>
      </c>
      <c r="R1193" s="58">
        <v>2071700</v>
      </c>
    </row>
    <row r="1194" spans="12:18" x14ac:dyDescent="0.25">
      <c r="L1194" s="26">
        <v>41172</v>
      </c>
      <c r="M1194" s="6">
        <v>50.91</v>
      </c>
      <c r="N1194" s="6">
        <v>51.450001</v>
      </c>
      <c r="O1194" s="6">
        <v>50.91</v>
      </c>
      <c r="P1194" s="6">
        <v>51.27</v>
      </c>
      <c r="Q1194" s="6">
        <v>42.109820999999997</v>
      </c>
      <c r="R1194" s="58">
        <v>2286700</v>
      </c>
    </row>
    <row r="1195" spans="12:18" x14ac:dyDescent="0.25">
      <c r="L1195" s="26">
        <v>41173</v>
      </c>
      <c r="M1195" s="6">
        <v>51.330002</v>
      </c>
      <c r="N1195" s="6">
        <v>51.52</v>
      </c>
      <c r="O1195" s="6">
        <v>51.16</v>
      </c>
      <c r="P1195" s="6">
        <v>51.450001</v>
      </c>
      <c r="Q1195" s="6">
        <v>42.257663999999998</v>
      </c>
      <c r="R1195" s="58">
        <v>2803800</v>
      </c>
    </row>
    <row r="1196" spans="12:18" x14ac:dyDescent="0.25">
      <c r="L1196" s="26">
        <v>41176</v>
      </c>
      <c r="M1196" s="6">
        <v>51.48</v>
      </c>
      <c r="N1196" s="6">
        <v>51.810001</v>
      </c>
      <c r="O1196" s="6">
        <v>51.279998999999997</v>
      </c>
      <c r="P1196" s="6">
        <v>51.73</v>
      </c>
      <c r="Q1196" s="6">
        <v>42.487628999999998</v>
      </c>
      <c r="R1196" s="58">
        <v>2109500</v>
      </c>
    </row>
    <row r="1197" spans="12:18" x14ac:dyDescent="0.25">
      <c r="L1197" s="26">
        <v>41177</v>
      </c>
      <c r="M1197" s="6">
        <v>52</v>
      </c>
      <c r="N1197" s="6">
        <v>52.150002000000001</v>
      </c>
      <c r="O1197" s="6">
        <v>51.799999</v>
      </c>
      <c r="P1197" s="6">
        <v>51.860000999999997</v>
      </c>
      <c r="Q1197" s="6">
        <v>42.594402000000002</v>
      </c>
      <c r="R1197" s="58">
        <v>2996500</v>
      </c>
    </row>
    <row r="1198" spans="12:18" x14ac:dyDescent="0.25">
      <c r="L1198" s="26">
        <v>41178</v>
      </c>
      <c r="M1198" s="6">
        <v>51.91</v>
      </c>
      <c r="N1198" s="6">
        <v>52.150002000000001</v>
      </c>
      <c r="O1198" s="6">
        <v>51.619999</v>
      </c>
      <c r="P1198" s="6">
        <v>51.700001</v>
      </c>
      <c r="Q1198" s="6">
        <v>42.462986000000001</v>
      </c>
      <c r="R1198" s="58">
        <v>1497300</v>
      </c>
    </row>
    <row r="1199" spans="12:18" x14ac:dyDescent="0.25">
      <c r="L1199" s="26">
        <v>41179</v>
      </c>
      <c r="M1199" s="6">
        <v>51.700001</v>
      </c>
      <c r="N1199" s="6">
        <v>51.810001</v>
      </c>
      <c r="O1199" s="6">
        <v>51.450001</v>
      </c>
      <c r="P1199" s="6">
        <v>51.650002000000001</v>
      </c>
      <c r="Q1199" s="6">
        <v>42.421920999999998</v>
      </c>
      <c r="R1199" s="58">
        <v>1371000</v>
      </c>
    </row>
    <row r="1200" spans="12:18" x14ac:dyDescent="0.25">
      <c r="L1200" s="26">
        <v>41180</v>
      </c>
      <c r="M1200" s="6">
        <v>51.5</v>
      </c>
      <c r="N1200" s="6">
        <v>51.689999</v>
      </c>
      <c r="O1200" s="6">
        <v>51.25</v>
      </c>
      <c r="P1200" s="6">
        <v>51.66</v>
      </c>
      <c r="Q1200" s="6">
        <v>42.430134000000002</v>
      </c>
      <c r="R1200" s="58">
        <v>1635000</v>
      </c>
    </row>
    <row r="1201" spans="12:18" x14ac:dyDescent="0.25">
      <c r="L1201" s="26">
        <v>41183</v>
      </c>
      <c r="M1201" s="6">
        <v>51.490001999999997</v>
      </c>
      <c r="N1201" s="6">
        <v>52.259998000000003</v>
      </c>
      <c r="O1201" s="6">
        <v>51.450001</v>
      </c>
      <c r="P1201" s="6">
        <v>51.93</v>
      </c>
      <c r="Q1201" s="6">
        <v>42.651909000000003</v>
      </c>
      <c r="R1201" s="58">
        <v>2140000</v>
      </c>
    </row>
    <row r="1202" spans="12:18" x14ac:dyDescent="0.25">
      <c r="L1202" s="26">
        <v>41184</v>
      </c>
      <c r="M1202" s="6">
        <v>52.080002</v>
      </c>
      <c r="N1202" s="6">
        <v>52.299999</v>
      </c>
      <c r="O1202" s="6">
        <v>51.650002000000001</v>
      </c>
      <c r="P1202" s="6">
        <v>51.900002000000001</v>
      </c>
      <c r="Q1202" s="6">
        <v>42.627254000000001</v>
      </c>
      <c r="R1202" s="58">
        <v>1354000</v>
      </c>
    </row>
    <row r="1203" spans="12:18" x14ac:dyDescent="0.25">
      <c r="L1203" s="26">
        <v>41185</v>
      </c>
      <c r="M1203" s="6">
        <v>52.029998999999997</v>
      </c>
      <c r="N1203" s="6">
        <v>52.040000999999997</v>
      </c>
      <c r="O1203" s="6">
        <v>51.630001</v>
      </c>
      <c r="P1203" s="6">
        <v>51.810001</v>
      </c>
      <c r="Q1203" s="6">
        <v>42.553341000000003</v>
      </c>
      <c r="R1203" s="58">
        <v>1017300</v>
      </c>
    </row>
    <row r="1204" spans="12:18" x14ac:dyDescent="0.25">
      <c r="L1204" s="26">
        <v>41186</v>
      </c>
      <c r="M1204" s="6">
        <v>51.82</v>
      </c>
      <c r="N1204" s="6">
        <v>52</v>
      </c>
      <c r="O1204" s="6">
        <v>51.73</v>
      </c>
      <c r="P1204" s="6">
        <v>51.880001</v>
      </c>
      <c r="Q1204" s="6">
        <v>42.610827999999998</v>
      </c>
      <c r="R1204" s="58">
        <v>735900</v>
      </c>
    </row>
    <row r="1205" spans="12:18" x14ac:dyDescent="0.25">
      <c r="L1205" s="26">
        <v>41187</v>
      </c>
      <c r="M1205" s="6">
        <v>52.150002000000001</v>
      </c>
      <c r="N1205" s="6">
        <v>52.25</v>
      </c>
      <c r="O1205" s="6">
        <v>51.82</v>
      </c>
      <c r="P1205" s="6">
        <v>51.950001</v>
      </c>
      <c r="Q1205" s="6">
        <v>42.668320000000001</v>
      </c>
      <c r="R1205" s="58">
        <v>1144700</v>
      </c>
    </row>
    <row r="1206" spans="12:18" x14ac:dyDescent="0.25">
      <c r="L1206" s="26">
        <v>41190</v>
      </c>
      <c r="M1206" s="6">
        <v>51.869999</v>
      </c>
      <c r="N1206" s="6">
        <v>51.950001</v>
      </c>
      <c r="O1206" s="6">
        <v>51.639999000000003</v>
      </c>
      <c r="P1206" s="6">
        <v>51.880001</v>
      </c>
      <c r="Q1206" s="6">
        <v>42.610827999999998</v>
      </c>
      <c r="R1206" s="58">
        <v>707100</v>
      </c>
    </row>
    <row r="1207" spans="12:18" x14ac:dyDescent="0.25">
      <c r="L1207" s="26">
        <v>41191</v>
      </c>
      <c r="M1207" s="6">
        <v>51.919998</v>
      </c>
      <c r="N1207" s="6">
        <v>51.990001999999997</v>
      </c>
      <c r="O1207" s="6">
        <v>51.5</v>
      </c>
      <c r="P1207" s="6">
        <v>51.580002</v>
      </c>
      <c r="Q1207" s="6">
        <v>42.364421999999998</v>
      </c>
      <c r="R1207" s="58">
        <v>913400</v>
      </c>
    </row>
    <row r="1208" spans="12:18" x14ac:dyDescent="0.25">
      <c r="L1208" s="26">
        <v>41192</v>
      </c>
      <c r="M1208" s="6">
        <v>51.73</v>
      </c>
      <c r="N1208" s="6">
        <v>51.880001</v>
      </c>
      <c r="O1208" s="6">
        <v>51.27</v>
      </c>
      <c r="P1208" s="6">
        <v>51.43</v>
      </c>
      <c r="Q1208" s="6">
        <v>42.241225999999997</v>
      </c>
      <c r="R1208" s="58">
        <v>1024800</v>
      </c>
    </row>
    <row r="1209" spans="12:18" x14ac:dyDescent="0.25">
      <c r="L1209" s="26">
        <v>41193</v>
      </c>
      <c r="M1209" s="6">
        <v>51.759998000000003</v>
      </c>
      <c r="N1209" s="6">
        <v>51.900002000000001</v>
      </c>
      <c r="O1209" s="6">
        <v>51.59</v>
      </c>
      <c r="P1209" s="6">
        <v>51.599997999999999</v>
      </c>
      <c r="Q1209" s="6">
        <v>42.380859000000001</v>
      </c>
      <c r="R1209" s="58">
        <v>888000</v>
      </c>
    </row>
    <row r="1210" spans="12:18" x14ac:dyDescent="0.25">
      <c r="L1210" s="26">
        <v>41194</v>
      </c>
      <c r="M1210" s="6">
        <v>51.759998000000003</v>
      </c>
      <c r="N1210" s="6">
        <v>52.009998000000003</v>
      </c>
      <c r="O1210" s="6">
        <v>51.580002</v>
      </c>
      <c r="P1210" s="6">
        <v>51.73</v>
      </c>
      <c r="Q1210" s="6">
        <v>42.487628999999998</v>
      </c>
      <c r="R1210" s="58">
        <v>979900</v>
      </c>
    </row>
    <row r="1211" spans="12:18" x14ac:dyDescent="0.25">
      <c r="L1211" s="26">
        <v>41197</v>
      </c>
      <c r="M1211" s="6">
        <v>51.790000999999997</v>
      </c>
      <c r="N1211" s="6">
        <v>51.799999</v>
      </c>
      <c r="O1211" s="6">
        <v>51.52</v>
      </c>
      <c r="P1211" s="6">
        <v>51.700001</v>
      </c>
      <c r="Q1211" s="6">
        <v>42.462986000000001</v>
      </c>
      <c r="R1211" s="58">
        <v>1078000</v>
      </c>
    </row>
    <row r="1212" spans="12:18" x14ac:dyDescent="0.25">
      <c r="L1212" s="26">
        <v>41198</v>
      </c>
      <c r="M1212" s="6">
        <v>51.810001</v>
      </c>
      <c r="N1212" s="6">
        <v>52.169998</v>
      </c>
      <c r="O1212" s="6">
        <v>51.799999</v>
      </c>
      <c r="P1212" s="6">
        <v>52.07</v>
      </c>
      <c r="Q1212" s="6">
        <v>42.766883999999997</v>
      </c>
      <c r="R1212" s="58">
        <v>1353800</v>
      </c>
    </row>
    <row r="1213" spans="12:18" x14ac:dyDescent="0.25">
      <c r="L1213" s="26">
        <v>41199</v>
      </c>
      <c r="M1213" s="6">
        <v>52.150002000000001</v>
      </c>
      <c r="N1213" s="6">
        <v>52.860000999999997</v>
      </c>
      <c r="O1213" s="6">
        <v>52.150002000000001</v>
      </c>
      <c r="P1213" s="6">
        <v>52.849997999999999</v>
      </c>
      <c r="Q1213" s="6">
        <v>43.407513000000002</v>
      </c>
      <c r="R1213" s="58">
        <v>1653300</v>
      </c>
    </row>
    <row r="1214" spans="12:18" x14ac:dyDescent="0.25">
      <c r="L1214" s="26">
        <v>41200</v>
      </c>
      <c r="M1214" s="6">
        <v>52.810001</v>
      </c>
      <c r="N1214" s="6">
        <v>52.830002</v>
      </c>
      <c r="O1214" s="6">
        <v>52.360000999999997</v>
      </c>
      <c r="P1214" s="6">
        <v>52.5</v>
      </c>
      <c r="Q1214" s="6">
        <v>43.120060000000002</v>
      </c>
      <c r="R1214" s="58">
        <v>1737200</v>
      </c>
    </row>
    <row r="1215" spans="12:18" x14ac:dyDescent="0.25">
      <c r="L1215" s="26">
        <v>41201</v>
      </c>
      <c r="M1215" s="6">
        <v>52.5</v>
      </c>
      <c r="N1215" s="6">
        <v>52.59</v>
      </c>
      <c r="O1215" s="6">
        <v>51.869999</v>
      </c>
      <c r="P1215" s="6">
        <v>52.09</v>
      </c>
      <c r="Q1215" s="6">
        <v>42.783313999999997</v>
      </c>
      <c r="R1215" s="58">
        <v>1504200</v>
      </c>
    </row>
    <row r="1216" spans="12:18" x14ac:dyDescent="0.25">
      <c r="L1216" s="26">
        <v>41204</v>
      </c>
      <c r="M1216" s="6">
        <v>52.029998999999997</v>
      </c>
      <c r="N1216" s="6">
        <v>52.18</v>
      </c>
      <c r="O1216" s="6">
        <v>51.66</v>
      </c>
      <c r="P1216" s="6">
        <v>52.009998000000003</v>
      </c>
      <c r="Q1216" s="6">
        <v>42.717593999999998</v>
      </c>
      <c r="R1216" s="58">
        <v>883000</v>
      </c>
    </row>
    <row r="1217" spans="12:18" x14ac:dyDescent="0.25">
      <c r="L1217" s="26">
        <v>41205</v>
      </c>
      <c r="M1217" s="6">
        <v>51.75</v>
      </c>
      <c r="N1217" s="6">
        <v>51.799999</v>
      </c>
      <c r="O1217" s="6">
        <v>51.360000999999997</v>
      </c>
      <c r="P1217" s="6">
        <v>51.650002000000001</v>
      </c>
      <c r="Q1217" s="6">
        <v>42.421920999999998</v>
      </c>
      <c r="R1217" s="58">
        <v>720800</v>
      </c>
    </row>
    <row r="1218" spans="12:18" x14ac:dyDescent="0.25">
      <c r="L1218" s="26">
        <v>41206</v>
      </c>
      <c r="M1218" s="6">
        <v>52.02</v>
      </c>
      <c r="N1218" s="6">
        <v>52.18</v>
      </c>
      <c r="O1218" s="6">
        <v>51.73</v>
      </c>
      <c r="P1218" s="6">
        <v>51.82</v>
      </c>
      <c r="Q1218" s="6">
        <v>42.561546</v>
      </c>
      <c r="R1218" s="58">
        <v>1402400</v>
      </c>
    </row>
    <row r="1219" spans="12:18" x14ac:dyDescent="0.25">
      <c r="L1219" s="26">
        <v>41207</v>
      </c>
      <c r="M1219" s="6">
        <v>52.049999</v>
      </c>
      <c r="N1219" s="6">
        <v>52.700001</v>
      </c>
      <c r="O1219" s="6">
        <v>52.049999</v>
      </c>
      <c r="P1219" s="6">
        <v>52.560001</v>
      </c>
      <c r="Q1219" s="6">
        <v>43.169333999999999</v>
      </c>
      <c r="R1219" s="58">
        <v>1727100</v>
      </c>
    </row>
    <row r="1220" spans="12:18" x14ac:dyDescent="0.25">
      <c r="L1220" s="26">
        <v>41208</v>
      </c>
      <c r="M1220" s="6">
        <v>52.630001</v>
      </c>
      <c r="N1220" s="6">
        <v>53.060001</v>
      </c>
      <c r="O1220" s="6">
        <v>52.099997999999999</v>
      </c>
      <c r="P1220" s="6">
        <v>52.900002000000001</v>
      </c>
      <c r="Q1220" s="6">
        <v>43.448588999999998</v>
      </c>
      <c r="R1220" s="58">
        <v>2257000</v>
      </c>
    </row>
    <row r="1221" spans="12:18" x14ac:dyDescent="0.25">
      <c r="L1221" s="26">
        <v>41213</v>
      </c>
      <c r="M1221" s="6">
        <v>52.91</v>
      </c>
      <c r="N1221" s="6">
        <v>53</v>
      </c>
      <c r="O1221" s="6">
        <v>52.23</v>
      </c>
      <c r="P1221" s="6">
        <v>52.32</v>
      </c>
      <c r="Q1221" s="6">
        <v>42.972214000000001</v>
      </c>
      <c r="R1221" s="58">
        <v>3860000</v>
      </c>
    </row>
    <row r="1222" spans="12:18" x14ac:dyDescent="0.25">
      <c r="L1222" s="26">
        <v>41214</v>
      </c>
      <c r="M1222" s="6">
        <v>52.720001000000003</v>
      </c>
      <c r="N1222" s="6">
        <v>53.619999</v>
      </c>
      <c r="O1222" s="6">
        <v>52.16</v>
      </c>
      <c r="P1222" s="6">
        <v>53.5</v>
      </c>
      <c r="Q1222" s="6">
        <v>43.941391000000003</v>
      </c>
      <c r="R1222" s="58">
        <v>2670400</v>
      </c>
    </row>
    <row r="1223" spans="12:18" x14ac:dyDescent="0.25">
      <c r="L1223" s="26">
        <v>41215</v>
      </c>
      <c r="M1223" s="6">
        <v>53.560001</v>
      </c>
      <c r="N1223" s="6">
        <v>54.099997999999999</v>
      </c>
      <c r="O1223" s="6">
        <v>53.459999000000003</v>
      </c>
      <c r="P1223" s="6">
        <v>53.689999</v>
      </c>
      <c r="Q1223" s="6">
        <v>44.097434999999997</v>
      </c>
      <c r="R1223" s="58">
        <v>3710000</v>
      </c>
    </row>
    <row r="1224" spans="12:18" x14ac:dyDescent="0.25">
      <c r="L1224" s="26">
        <v>41218</v>
      </c>
      <c r="M1224" s="6">
        <v>53.57</v>
      </c>
      <c r="N1224" s="6">
        <v>53.990001999999997</v>
      </c>
      <c r="O1224" s="6">
        <v>53.110000999999997</v>
      </c>
      <c r="P1224" s="6">
        <v>53.990001999999997</v>
      </c>
      <c r="Q1224" s="6">
        <v>44.343842000000002</v>
      </c>
      <c r="R1224" s="58">
        <v>3497000</v>
      </c>
    </row>
    <row r="1225" spans="12:18" x14ac:dyDescent="0.25">
      <c r="L1225" s="26">
        <v>41219</v>
      </c>
      <c r="M1225" s="6">
        <v>53.98</v>
      </c>
      <c r="N1225" s="6">
        <v>54.790000999999997</v>
      </c>
      <c r="O1225" s="6">
        <v>53.740001999999997</v>
      </c>
      <c r="P1225" s="6">
        <v>54.759998000000003</v>
      </c>
      <c r="Q1225" s="6">
        <v>44.976272999999999</v>
      </c>
      <c r="R1225" s="58">
        <v>3281100</v>
      </c>
    </row>
    <row r="1226" spans="12:18" x14ac:dyDescent="0.25">
      <c r="L1226" s="26">
        <v>41220</v>
      </c>
      <c r="M1226" s="6">
        <v>54.349997999999999</v>
      </c>
      <c r="N1226" s="6">
        <v>54.48</v>
      </c>
      <c r="O1226" s="6">
        <v>53.619999</v>
      </c>
      <c r="P1226" s="6">
        <v>54.16</v>
      </c>
      <c r="Q1226" s="6">
        <v>44.483471000000002</v>
      </c>
      <c r="R1226" s="58">
        <v>3157500</v>
      </c>
    </row>
    <row r="1227" spans="12:18" x14ac:dyDescent="0.25">
      <c r="L1227" s="26">
        <v>41221</v>
      </c>
      <c r="M1227" s="6">
        <v>52.25</v>
      </c>
      <c r="N1227" s="6">
        <v>54.150002000000001</v>
      </c>
      <c r="O1227" s="6">
        <v>52.220001000000003</v>
      </c>
      <c r="P1227" s="6">
        <v>53.669998</v>
      </c>
      <c r="Q1227" s="6">
        <v>44.081009000000002</v>
      </c>
      <c r="R1227" s="58">
        <v>3823100</v>
      </c>
    </row>
    <row r="1228" spans="12:18" x14ac:dyDescent="0.25">
      <c r="L1228" s="26">
        <v>41222</v>
      </c>
      <c r="M1228" s="6">
        <v>53.560001</v>
      </c>
      <c r="N1228" s="6">
        <v>53.98</v>
      </c>
      <c r="O1228" s="6">
        <v>53.389999000000003</v>
      </c>
      <c r="P1228" s="6">
        <v>53.48</v>
      </c>
      <c r="Q1228" s="6">
        <v>43.924968999999997</v>
      </c>
      <c r="R1228" s="58">
        <v>2717000</v>
      </c>
    </row>
    <row r="1229" spans="12:18" x14ac:dyDescent="0.25">
      <c r="L1229" s="26">
        <v>41225</v>
      </c>
      <c r="M1229" s="6">
        <v>53.5</v>
      </c>
      <c r="N1229" s="6">
        <v>53.75</v>
      </c>
      <c r="O1229" s="6">
        <v>53.240001999999997</v>
      </c>
      <c r="P1229" s="6">
        <v>53.669998</v>
      </c>
      <c r="Q1229" s="6">
        <v>44.081009000000002</v>
      </c>
      <c r="R1229" s="58">
        <v>1321800</v>
      </c>
    </row>
    <row r="1230" spans="12:18" x14ac:dyDescent="0.25">
      <c r="L1230" s="26">
        <v>41226</v>
      </c>
      <c r="M1230" s="6">
        <v>53.560001</v>
      </c>
      <c r="N1230" s="6">
        <v>54.150002000000001</v>
      </c>
      <c r="O1230" s="6">
        <v>53.560001</v>
      </c>
      <c r="P1230" s="6">
        <v>53.82</v>
      </c>
      <c r="Q1230" s="6">
        <v>44.204219999999999</v>
      </c>
      <c r="R1230" s="58">
        <v>1938000</v>
      </c>
    </row>
    <row r="1231" spans="12:18" x14ac:dyDescent="0.25">
      <c r="L1231" s="26">
        <v>41227</v>
      </c>
      <c r="M1231" s="6">
        <v>53.82</v>
      </c>
      <c r="N1231" s="6">
        <v>54.189999</v>
      </c>
      <c r="O1231" s="6">
        <v>53.529998999999997</v>
      </c>
      <c r="P1231" s="6">
        <v>53.68</v>
      </c>
      <c r="Q1231" s="6">
        <v>44.089233</v>
      </c>
      <c r="R1231" s="58">
        <v>1861900</v>
      </c>
    </row>
    <row r="1232" spans="12:18" x14ac:dyDescent="0.25">
      <c r="L1232" s="26">
        <v>41228</v>
      </c>
      <c r="M1232" s="6">
        <v>53.599997999999999</v>
      </c>
      <c r="N1232" s="6">
        <v>53.98</v>
      </c>
      <c r="O1232" s="6">
        <v>53.349997999999999</v>
      </c>
      <c r="P1232" s="6">
        <v>53.889999000000003</v>
      </c>
      <c r="Q1232" s="6">
        <v>44.261702999999997</v>
      </c>
      <c r="R1232" s="58">
        <v>1931100</v>
      </c>
    </row>
    <row r="1233" spans="12:18" x14ac:dyDescent="0.25">
      <c r="L1233" s="26">
        <v>41229</v>
      </c>
      <c r="M1233" s="6">
        <v>54.080002</v>
      </c>
      <c r="N1233" s="6">
        <v>54.169998</v>
      </c>
      <c r="O1233" s="6">
        <v>53.720001000000003</v>
      </c>
      <c r="P1233" s="6">
        <v>54.169998</v>
      </c>
      <c r="Q1233" s="6">
        <v>44.491680000000002</v>
      </c>
      <c r="R1233" s="58">
        <v>2264700</v>
      </c>
    </row>
    <row r="1234" spans="12:18" x14ac:dyDescent="0.25">
      <c r="L1234" s="26">
        <v>41232</v>
      </c>
      <c r="M1234" s="6">
        <v>54.349997999999999</v>
      </c>
      <c r="N1234" s="6">
        <v>54.75</v>
      </c>
      <c r="O1234" s="6">
        <v>54.099997999999999</v>
      </c>
      <c r="P1234" s="6">
        <v>54.740001999999997</v>
      </c>
      <c r="Q1234" s="6">
        <v>44.959850000000003</v>
      </c>
      <c r="R1234" s="58">
        <v>1982100</v>
      </c>
    </row>
    <row r="1235" spans="12:18" x14ac:dyDescent="0.25">
      <c r="L1235" s="26">
        <v>41233</v>
      </c>
      <c r="M1235" s="6">
        <v>54.66</v>
      </c>
      <c r="N1235" s="6">
        <v>54.900002000000001</v>
      </c>
      <c r="O1235" s="6">
        <v>54.490001999999997</v>
      </c>
      <c r="P1235" s="6">
        <v>54.82</v>
      </c>
      <c r="Q1235" s="6">
        <v>45.025551</v>
      </c>
      <c r="R1235" s="58">
        <v>1734100</v>
      </c>
    </row>
    <row r="1236" spans="12:18" x14ac:dyDescent="0.25">
      <c r="L1236" s="26">
        <v>41234</v>
      </c>
      <c r="M1236" s="6">
        <v>54.810001</v>
      </c>
      <c r="N1236" s="6">
        <v>55.139999000000003</v>
      </c>
      <c r="O1236" s="6">
        <v>54.689999</v>
      </c>
      <c r="P1236" s="6">
        <v>55.049999</v>
      </c>
      <c r="Q1236" s="6">
        <v>45.214455000000001</v>
      </c>
      <c r="R1236" s="58">
        <v>1763300</v>
      </c>
    </row>
    <row r="1237" spans="12:18" x14ac:dyDescent="0.25">
      <c r="L1237" s="26">
        <v>41236</v>
      </c>
      <c r="M1237" s="6">
        <v>55.23</v>
      </c>
      <c r="N1237" s="6">
        <v>55.34</v>
      </c>
      <c r="O1237" s="6">
        <v>55.099997999999999</v>
      </c>
      <c r="P1237" s="6">
        <v>55.259998000000003</v>
      </c>
      <c r="Q1237" s="6">
        <v>45.386940000000003</v>
      </c>
      <c r="R1237" s="58">
        <v>893000</v>
      </c>
    </row>
    <row r="1238" spans="12:18" x14ac:dyDescent="0.25">
      <c r="L1238" s="26">
        <v>41239</v>
      </c>
      <c r="M1238" s="6">
        <v>55.279998999999997</v>
      </c>
      <c r="N1238" s="6">
        <v>55.450001</v>
      </c>
      <c r="O1238" s="6">
        <v>55.139999000000003</v>
      </c>
      <c r="P1238" s="6">
        <v>55.389999000000003</v>
      </c>
      <c r="Q1238" s="6">
        <v>45.49371</v>
      </c>
      <c r="R1238" s="58">
        <v>2427200</v>
      </c>
    </row>
    <row r="1239" spans="12:18" x14ac:dyDescent="0.25">
      <c r="L1239" s="26">
        <v>41240</v>
      </c>
      <c r="M1239" s="6">
        <v>55.389999000000003</v>
      </c>
      <c r="N1239" s="6">
        <v>55.880001</v>
      </c>
      <c r="O1239" s="6">
        <v>55.240001999999997</v>
      </c>
      <c r="P1239" s="6">
        <v>55.450001</v>
      </c>
      <c r="Q1239" s="6">
        <v>45.542983999999997</v>
      </c>
      <c r="R1239" s="58">
        <v>2185700</v>
      </c>
    </row>
    <row r="1240" spans="12:18" x14ac:dyDescent="0.25">
      <c r="L1240" s="26">
        <v>41241</v>
      </c>
      <c r="M1240" s="6">
        <v>55.389999000000003</v>
      </c>
      <c r="N1240" s="6">
        <v>55.830002</v>
      </c>
      <c r="O1240" s="6">
        <v>55.34</v>
      </c>
      <c r="P1240" s="6">
        <v>55.779998999999997</v>
      </c>
      <c r="Q1240" s="6">
        <v>45.814033999999999</v>
      </c>
      <c r="R1240" s="58">
        <v>4212600</v>
      </c>
    </row>
    <row r="1241" spans="12:18" x14ac:dyDescent="0.25">
      <c r="L1241" s="26">
        <v>41242</v>
      </c>
      <c r="M1241" s="6">
        <v>55.32</v>
      </c>
      <c r="N1241" s="6">
        <v>55.700001</v>
      </c>
      <c r="O1241" s="6">
        <v>55.139999000000003</v>
      </c>
      <c r="P1241" s="6">
        <v>55.599997999999999</v>
      </c>
      <c r="Q1241" s="6">
        <v>46.029274000000001</v>
      </c>
      <c r="R1241" s="58">
        <v>1630800</v>
      </c>
    </row>
    <row r="1242" spans="12:18" x14ac:dyDescent="0.25">
      <c r="L1242" s="26">
        <v>41243</v>
      </c>
      <c r="M1242" s="6">
        <v>55.549999</v>
      </c>
      <c r="N1242" s="6">
        <v>55.700001</v>
      </c>
      <c r="O1242" s="6">
        <v>55.27</v>
      </c>
      <c r="P1242" s="6">
        <v>55.459999000000003</v>
      </c>
      <c r="Q1242" s="6">
        <v>45.913364000000001</v>
      </c>
      <c r="R1242" s="58">
        <v>2378800</v>
      </c>
    </row>
    <row r="1243" spans="12:18" x14ac:dyDescent="0.25">
      <c r="L1243" s="26">
        <v>41246</v>
      </c>
      <c r="M1243" s="6">
        <v>55.57</v>
      </c>
      <c r="N1243" s="6">
        <v>55.59</v>
      </c>
      <c r="O1243" s="6">
        <v>55.060001</v>
      </c>
      <c r="P1243" s="6">
        <v>55.259998000000003</v>
      </c>
      <c r="Q1243" s="6">
        <v>45.747802999999998</v>
      </c>
      <c r="R1243" s="58">
        <v>1595500</v>
      </c>
    </row>
    <row r="1244" spans="12:18" x14ac:dyDescent="0.25">
      <c r="L1244" s="26">
        <v>41247</v>
      </c>
      <c r="M1244" s="6">
        <v>55.049999</v>
      </c>
      <c r="N1244" s="6">
        <v>55.25</v>
      </c>
      <c r="O1244" s="6">
        <v>54.529998999999997</v>
      </c>
      <c r="P1244" s="6">
        <v>55.23</v>
      </c>
      <c r="Q1244" s="6">
        <v>45.722973000000003</v>
      </c>
      <c r="R1244" s="58">
        <v>1780300</v>
      </c>
    </row>
    <row r="1245" spans="12:18" x14ac:dyDescent="0.25">
      <c r="L1245" s="26">
        <v>41248</v>
      </c>
      <c r="M1245" s="6">
        <v>55.209999000000003</v>
      </c>
      <c r="N1245" s="6">
        <v>55.860000999999997</v>
      </c>
      <c r="O1245" s="6">
        <v>55.189999</v>
      </c>
      <c r="P1245" s="6">
        <v>55.650002000000001</v>
      </c>
      <c r="Q1245" s="6">
        <v>46.070675000000001</v>
      </c>
      <c r="R1245" s="58">
        <v>1881700</v>
      </c>
    </row>
    <row r="1246" spans="12:18" x14ac:dyDescent="0.25">
      <c r="L1246" s="26">
        <v>41249</v>
      </c>
      <c r="M1246" s="6">
        <v>55.610000999999997</v>
      </c>
      <c r="N1246" s="6">
        <v>55.75</v>
      </c>
      <c r="O1246" s="6">
        <v>55.5</v>
      </c>
      <c r="P1246" s="6">
        <v>55.740001999999997</v>
      </c>
      <c r="Q1246" s="6">
        <v>46.145172000000002</v>
      </c>
      <c r="R1246" s="58">
        <v>1339700</v>
      </c>
    </row>
    <row r="1247" spans="12:18" x14ac:dyDescent="0.25">
      <c r="L1247" s="26">
        <v>41250</v>
      </c>
      <c r="M1247" s="6">
        <v>55.740001999999997</v>
      </c>
      <c r="N1247" s="6">
        <v>55.98</v>
      </c>
      <c r="O1247" s="6">
        <v>55.490001999999997</v>
      </c>
      <c r="P1247" s="6">
        <v>55.970001000000003</v>
      </c>
      <c r="Q1247" s="6">
        <v>46.335590000000003</v>
      </c>
      <c r="R1247" s="58">
        <v>1355700</v>
      </c>
    </row>
    <row r="1248" spans="12:18" x14ac:dyDescent="0.25">
      <c r="L1248" s="26">
        <v>41253</v>
      </c>
      <c r="M1248" s="6">
        <v>55.939999</v>
      </c>
      <c r="N1248" s="6">
        <v>56.5</v>
      </c>
      <c r="O1248" s="6">
        <v>55.849997999999999</v>
      </c>
      <c r="P1248" s="6">
        <v>56.130001</v>
      </c>
      <c r="Q1248" s="6">
        <v>46.468048000000003</v>
      </c>
      <c r="R1248" s="58">
        <v>1642100</v>
      </c>
    </row>
    <row r="1249" spans="12:18" x14ac:dyDescent="0.25">
      <c r="L1249" s="26">
        <v>41254</v>
      </c>
      <c r="M1249" s="6">
        <v>56.150002000000001</v>
      </c>
      <c r="N1249" s="6">
        <v>56.700001</v>
      </c>
      <c r="O1249" s="6">
        <v>56.049999</v>
      </c>
      <c r="P1249" s="6">
        <v>56.66</v>
      </c>
      <c r="Q1249" s="6">
        <v>46.906815000000002</v>
      </c>
      <c r="R1249" s="58">
        <v>1732000</v>
      </c>
    </row>
    <row r="1250" spans="12:18" x14ac:dyDescent="0.25">
      <c r="L1250" s="26">
        <v>41255</v>
      </c>
      <c r="M1250" s="6">
        <v>56.75</v>
      </c>
      <c r="N1250" s="6">
        <v>57.209999000000003</v>
      </c>
      <c r="O1250" s="6">
        <v>56.540000999999997</v>
      </c>
      <c r="P1250" s="6">
        <v>56.599997999999999</v>
      </c>
      <c r="Q1250" s="6">
        <v>46.857140000000001</v>
      </c>
      <c r="R1250" s="58">
        <v>1856000</v>
      </c>
    </row>
    <row r="1251" spans="12:18" x14ac:dyDescent="0.25">
      <c r="L1251" s="26">
        <v>41256</v>
      </c>
      <c r="M1251" s="6">
        <v>56.669998</v>
      </c>
      <c r="N1251" s="6">
        <v>56.84</v>
      </c>
      <c r="O1251" s="6">
        <v>56.450001</v>
      </c>
      <c r="P1251" s="6">
        <v>56.75</v>
      </c>
      <c r="Q1251" s="6">
        <v>46.981316</v>
      </c>
      <c r="R1251" s="58">
        <v>1077900</v>
      </c>
    </row>
    <row r="1252" spans="12:18" x14ac:dyDescent="0.25">
      <c r="L1252" s="26">
        <v>41257</v>
      </c>
      <c r="M1252" s="6">
        <v>56.529998999999997</v>
      </c>
      <c r="N1252" s="6">
        <v>57.099997999999999</v>
      </c>
      <c r="O1252" s="6">
        <v>56.43</v>
      </c>
      <c r="P1252" s="6">
        <v>56.720001000000003</v>
      </c>
      <c r="Q1252" s="6">
        <v>46.956490000000002</v>
      </c>
      <c r="R1252" s="58">
        <v>1950300</v>
      </c>
    </row>
    <row r="1253" spans="12:18" x14ac:dyDescent="0.25">
      <c r="L1253" s="26">
        <v>41260</v>
      </c>
      <c r="M1253" s="6">
        <v>56.75</v>
      </c>
      <c r="N1253" s="6">
        <v>57</v>
      </c>
      <c r="O1253" s="6">
        <v>56.720001000000003</v>
      </c>
      <c r="P1253" s="6">
        <v>56.860000999999997</v>
      </c>
      <c r="Q1253" s="6">
        <v>47.072384</v>
      </c>
      <c r="R1253" s="58">
        <v>1485100</v>
      </c>
    </row>
    <row r="1254" spans="12:18" x14ac:dyDescent="0.25">
      <c r="L1254" s="26">
        <v>41261</v>
      </c>
      <c r="M1254" s="6">
        <v>56.98</v>
      </c>
      <c r="N1254" s="6">
        <v>56.98</v>
      </c>
      <c r="O1254" s="6">
        <v>56.290000999999997</v>
      </c>
      <c r="P1254" s="6">
        <v>56.599997999999999</v>
      </c>
      <c r="Q1254" s="6">
        <v>46.857140000000001</v>
      </c>
      <c r="R1254" s="58">
        <v>2944100</v>
      </c>
    </row>
    <row r="1255" spans="12:18" x14ac:dyDescent="0.25">
      <c r="L1255" s="26">
        <v>41262</v>
      </c>
      <c r="M1255" s="6">
        <v>56.799999</v>
      </c>
      <c r="N1255" s="6">
        <v>56.810001</v>
      </c>
      <c r="O1255" s="6">
        <v>56.110000999999997</v>
      </c>
      <c r="P1255" s="6">
        <v>56.150002000000001</v>
      </c>
      <c r="Q1255" s="6">
        <v>46.484596000000003</v>
      </c>
      <c r="R1255" s="58">
        <v>1332200</v>
      </c>
    </row>
    <row r="1256" spans="12:18" x14ac:dyDescent="0.25">
      <c r="L1256" s="26">
        <v>41263</v>
      </c>
      <c r="M1256" s="6">
        <v>56.200001</v>
      </c>
      <c r="N1256" s="6">
        <v>56.68</v>
      </c>
      <c r="O1256" s="6">
        <v>56.130001</v>
      </c>
      <c r="P1256" s="6">
        <v>56.59</v>
      </c>
      <c r="Q1256" s="6">
        <v>46.848866000000001</v>
      </c>
      <c r="R1256" s="58">
        <v>1311900</v>
      </c>
    </row>
    <row r="1257" spans="12:18" x14ac:dyDescent="0.25">
      <c r="L1257" s="26">
        <v>41264</v>
      </c>
      <c r="M1257" s="6">
        <v>56.529998999999997</v>
      </c>
      <c r="N1257" s="6">
        <v>56.580002</v>
      </c>
      <c r="O1257" s="6">
        <v>55.869999</v>
      </c>
      <c r="P1257" s="6">
        <v>56.18</v>
      </c>
      <c r="Q1257" s="6">
        <v>46.509444999999999</v>
      </c>
      <c r="R1257" s="58">
        <v>2213100</v>
      </c>
    </row>
    <row r="1258" spans="12:18" x14ac:dyDescent="0.25">
      <c r="L1258" s="26">
        <v>41267</v>
      </c>
      <c r="M1258" s="6">
        <v>56.259998000000003</v>
      </c>
      <c r="N1258" s="6">
        <v>56.259998000000003</v>
      </c>
      <c r="O1258" s="6">
        <v>55.869999</v>
      </c>
      <c r="P1258" s="6">
        <v>56.139999000000003</v>
      </c>
      <c r="Q1258" s="6">
        <v>46.476326</v>
      </c>
      <c r="R1258" s="58">
        <v>488200</v>
      </c>
    </row>
    <row r="1259" spans="12:18" x14ac:dyDescent="0.25">
      <c r="L1259" s="26">
        <v>41269</v>
      </c>
      <c r="M1259" s="6">
        <v>56.07</v>
      </c>
      <c r="N1259" s="6">
        <v>56.209999000000003</v>
      </c>
      <c r="O1259" s="6">
        <v>55.669998</v>
      </c>
      <c r="P1259" s="6">
        <v>55.77</v>
      </c>
      <c r="Q1259" s="6">
        <v>46.170020999999998</v>
      </c>
      <c r="R1259" s="58">
        <v>1101400</v>
      </c>
    </row>
    <row r="1260" spans="12:18" x14ac:dyDescent="0.25">
      <c r="L1260" s="26">
        <v>41270</v>
      </c>
      <c r="M1260" s="6">
        <v>55.77</v>
      </c>
      <c r="N1260" s="6">
        <v>55.919998</v>
      </c>
      <c r="O1260" s="6">
        <v>55.400002000000001</v>
      </c>
      <c r="P1260" s="6">
        <v>55.740001999999997</v>
      </c>
      <c r="Q1260" s="6">
        <v>46.145172000000002</v>
      </c>
      <c r="R1260" s="58">
        <v>938500</v>
      </c>
    </row>
    <row r="1261" spans="12:18" x14ac:dyDescent="0.25">
      <c r="L1261" s="26">
        <v>41271</v>
      </c>
      <c r="M1261" s="6">
        <v>55.59</v>
      </c>
      <c r="N1261" s="6">
        <v>55.82</v>
      </c>
      <c r="O1261" s="6">
        <v>55.279998999999997</v>
      </c>
      <c r="P1261" s="6">
        <v>55.330002</v>
      </c>
      <c r="Q1261" s="6">
        <v>45.805751999999998</v>
      </c>
      <c r="R1261" s="58">
        <v>829900</v>
      </c>
    </row>
    <row r="1262" spans="12:18" x14ac:dyDescent="0.25">
      <c r="L1262" s="26">
        <v>41274</v>
      </c>
      <c r="M1262" s="6">
        <v>55.169998</v>
      </c>
      <c r="N1262" s="6">
        <v>55.880001</v>
      </c>
      <c r="O1262" s="6">
        <v>55.02</v>
      </c>
      <c r="P1262" s="6">
        <v>55.849997999999999</v>
      </c>
      <c r="Q1262" s="6">
        <v>46.236248000000003</v>
      </c>
      <c r="R1262" s="58">
        <v>1300000</v>
      </c>
    </row>
    <row r="1263" spans="12:18" x14ac:dyDescent="0.25">
      <c r="L1263" s="26">
        <v>41276</v>
      </c>
      <c r="M1263" s="6">
        <v>56.330002</v>
      </c>
      <c r="N1263" s="6">
        <v>56.91</v>
      </c>
      <c r="O1263" s="6">
        <v>56.25</v>
      </c>
      <c r="P1263" s="6">
        <v>56.91</v>
      </c>
      <c r="Q1263" s="6">
        <v>47.113781000000003</v>
      </c>
      <c r="R1263" s="58">
        <v>1563300</v>
      </c>
    </row>
    <row r="1264" spans="12:18" x14ac:dyDescent="0.25">
      <c r="L1264" s="26">
        <v>41277</v>
      </c>
      <c r="M1264" s="6">
        <v>56.939999</v>
      </c>
      <c r="N1264" s="6">
        <v>56.939999</v>
      </c>
      <c r="O1264" s="6">
        <v>56.290000999999997</v>
      </c>
      <c r="P1264" s="6">
        <v>56.52</v>
      </c>
      <c r="Q1264" s="6">
        <v>46.790916000000003</v>
      </c>
      <c r="R1264" s="58">
        <v>1556900</v>
      </c>
    </row>
    <row r="1265" spans="12:18" x14ac:dyDescent="0.25">
      <c r="L1265" s="26">
        <v>41278</v>
      </c>
      <c r="M1265" s="6">
        <v>56.5</v>
      </c>
      <c r="N1265" s="6">
        <v>56.68</v>
      </c>
      <c r="O1265" s="6">
        <v>56.25</v>
      </c>
      <c r="P1265" s="6">
        <v>56.639999000000003</v>
      </c>
      <c r="Q1265" s="6">
        <v>46.890250999999999</v>
      </c>
      <c r="R1265" s="58">
        <v>1764400</v>
      </c>
    </row>
    <row r="1266" spans="12:18" x14ac:dyDescent="0.25">
      <c r="L1266" s="26">
        <v>41281</v>
      </c>
      <c r="M1266" s="6">
        <v>56.66</v>
      </c>
      <c r="N1266" s="6">
        <v>56.82</v>
      </c>
      <c r="O1266" s="6">
        <v>56.369999</v>
      </c>
      <c r="P1266" s="6">
        <v>56.66</v>
      </c>
      <c r="Q1266" s="6">
        <v>46.906815000000002</v>
      </c>
      <c r="R1266" s="58">
        <v>1079700</v>
      </c>
    </row>
    <row r="1267" spans="12:18" x14ac:dyDescent="0.25">
      <c r="L1267" s="26">
        <v>41282</v>
      </c>
      <c r="M1267" s="6">
        <v>56.580002</v>
      </c>
      <c r="N1267" s="6">
        <v>56.860000999999997</v>
      </c>
      <c r="O1267" s="6">
        <v>56.220001000000003</v>
      </c>
      <c r="P1267" s="6">
        <v>56.849997999999999</v>
      </c>
      <c r="Q1267" s="6">
        <v>47.064113999999996</v>
      </c>
      <c r="R1267" s="58">
        <v>1530300</v>
      </c>
    </row>
    <row r="1268" spans="12:18" x14ac:dyDescent="0.25">
      <c r="L1268" s="26">
        <v>41283</v>
      </c>
      <c r="M1268" s="6">
        <v>56.939999</v>
      </c>
      <c r="N1268" s="6">
        <v>57.150002000000001</v>
      </c>
      <c r="O1268" s="6">
        <v>56.779998999999997</v>
      </c>
      <c r="P1268" s="6">
        <v>56.990001999999997</v>
      </c>
      <c r="Q1268" s="6">
        <v>47.180019000000001</v>
      </c>
      <c r="R1268" s="58">
        <v>1132600</v>
      </c>
    </row>
    <row r="1269" spans="12:18" x14ac:dyDescent="0.25">
      <c r="L1269" s="26">
        <v>41284</v>
      </c>
      <c r="M1269" s="6">
        <v>57.09</v>
      </c>
      <c r="N1269" s="6">
        <v>57.310001</v>
      </c>
      <c r="O1269" s="6">
        <v>56.91</v>
      </c>
      <c r="P1269" s="6">
        <v>57.310001</v>
      </c>
      <c r="Q1269" s="6">
        <v>47.444930999999997</v>
      </c>
      <c r="R1269" s="58">
        <v>1119600</v>
      </c>
    </row>
    <row r="1270" spans="12:18" x14ac:dyDescent="0.25">
      <c r="L1270" s="26">
        <v>41285</v>
      </c>
      <c r="M1270" s="6">
        <v>57.400002000000001</v>
      </c>
      <c r="N1270" s="6">
        <v>57.400002000000001</v>
      </c>
      <c r="O1270" s="6">
        <v>56.919998</v>
      </c>
      <c r="P1270" s="6">
        <v>57.02</v>
      </c>
      <c r="Q1270" s="6">
        <v>47.204838000000002</v>
      </c>
      <c r="R1270" s="58">
        <v>927900</v>
      </c>
    </row>
    <row r="1271" spans="12:18" x14ac:dyDescent="0.25">
      <c r="L1271" s="26">
        <v>41288</v>
      </c>
      <c r="M1271" s="6">
        <v>57.16</v>
      </c>
      <c r="N1271" s="6">
        <v>57.540000999999997</v>
      </c>
      <c r="O1271" s="6">
        <v>57.130001</v>
      </c>
      <c r="P1271" s="6">
        <v>57.380001</v>
      </c>
      <c r="Q1271" s="6">
        <v>47.502872000000004</v>
      </c>
      <c r="R1271" s="58">
        <v>1209700</v>
      </c>
    </row>
    <row r="1272" spans="12:18" x14ac:dyDescent="0.25">
      <c r="L1272" s="26">
        <v>41289</v>
      </c>
      <c r="M1272" s="6">
        <v>57.209999000000003</v>
      </c>
      <c r="N1272" s="6">
        <v>57.240001999999997</v>
      </c>
      <c r="O1272" s="6">
        <v>57.02</v>
      </c>
      <c r="P1272" s="6">
        <v>57.119999</v>
      </c>
      <c r="Q1272" s="6">
        <v>47.287640000000003</v>
      </c>
      <c r="R1272" s="58">
        <v>1066000</v>
      </c>
    </row>
    <row r="1273" spans="12:18" x14ac:dyDescent="0.25">
      <c r="L1273" s="26">
        <v>41290</v>
      </c>
      <c r="M1273" s="6">
        <v>56.32</v>
      </c>
      <c r="N1273" s="6">
        <v>57.119999</v>
      </c>
      <c r="O1273" s="6">
        <v>56.040000999999997</v>
      </c>
      <c r="P1273" s="6">
        <v>57.029998999999997</v>
      </c>
      <c r="Q1273" s="6">
        <v>47.213127</v>
      </c>
      <c r="R1273" s="58">
        <v>1939800</v>
      </c>
    </row>
    <row r="1274" spans="12:18" x14ac:dyDescent="0.25">
      <c r="L1274" s="26">
        <v>41291</v>
      </c>
      <c r="M1274" s="6">
        <v>57.27</v>
      </c>
      <c r="N1274" s="6">
        <v>58</v>
      </c>
      <c r="O1274" s="6">
        <v>57.18</v>
      </c>
      <c r="P1274" s="6">
        <v>57.759998000000003</v>
      </c>
      <c r="Q1274" s="6">
        <v>47.817473999999997</v>
      </c>
      <c r="R1274" s="58">
        <v>1273500</v>
      </c>
    </row>
    <row r="1275" spans="12:18" x14ac:dyDescent="0.25">
      <c r="L1275" s="26">
        <v>41292</v>
      </c>
      <c r="M1275" s="6">
        <v>57.700001</v>
      </c>
      <c r="N1275" s="6">
        <v>58.23</v>
      </c>
      <c r="O1275" s="6">
        <v>57.48</v>
      </c>
      <c r="P1275" s="6">
        <v>58.209999000000003</v>
      </c>
      <c r="Q1275" s="6">
        <v>48.190005999999997</v>
      </c>
      <c r="R1275" s="58">
        <v>1396200</v>
      </c>
    </row>
    <row r="1276" spans="12:18" x14ac:dyDescent="0.25">
      <c r="L1276" s="26">
        <v>41296</v>
      </c>
      <c r="M1276" s="6">
        <v>58.049999</v>
      </c>
      <c r="N1276" s="6">
        <v>58.349997999999999</v>
      </c>
      <c r="O1276" s="6">
        <v>57.900002000000001</v>
      </c>
      <c r="P1276" s="6">
        <v>58.189999</v>
      </c>
      <c r="Q1276" s="6">
        <v>48.173442999999999</v>
      </c>
      <c r="R1276" s="58">
        <v>1992200</v>
      </c>
    </row>
    <row r="1277" spans="12:18" x14ac:dyDescent="0.25">
      <c r="L1277" s="26">
        <v>41297</v>
      </c>
      <c r="M1277" s="6">
        <v>58.040000999999997</v>
      </c>
      <c r="N1277" s="6">
        <v>58.330002</v>
      </c>
      <c r="O1277" s="6">
        <v>57.799999</v>
      </c>
      <c r="P1277" s="6">
        <v>58.169998</v>
      </c>
      <c r="Q1277" s="6">
        <v>48.156891000000002</v>
      </c>
      <c r="R1277" s="58">
        <v>1798000</v>
      </c>
    </row>
    <row r="1278" spans="12:18" x14ac:dyDescent="0.25">
      <c r="L1278" s="26">
        <v>41298</v>
      </c>
      <c r="M1278" s="6">
        <v>58.25</v>
      </c>
      <c r="N1278" s="6">
        <v>58.75</v>
      </c>
      <c r="O1278" s="6">
        <v>58.119999</v>
      </c>
      <c r="P1278" s="6">
        <v>58.59</v>
      </c>
      <c r="Q1278" s="6">
        <v>48.504584999999999</v>
      </c>
      <c r="R1278" s="58">
        <v>1587500</v>
      </c>
    </row>
    <row r="1279" spans="12:18" x14ac:dyDescent="0.25">
      <c r="L1279" s="26">
        <v>41299</v>
      </c>
      <c r="M1279" s="6">
        <v>58.599997999999999</v>
      </c>
      <c r="N1279" s="6">
        <v>58.84</v>
      </c>
      <c r="O1279" s="6">
        <v>58.240001999999997</v>
      </c>
      <c r="P1279" s="6">
        <v>58.84</v>
      </c>
      <c r="Q1279" s="6">
        <v>48.711562999999998</v>
      </c>
      <c r="R1279" s="58">
        <v>1211100</v>
      </c>
    </row>
    <row r="1280" spans="12:18" x14ac:dyDescent="0.25">
      <c r="L1280" s="26">
        <v>41302</v>
      </c>
      <c r="M1280" s="6">
        <v>58.720001000000003</v>
      </c>
      <c r="N1280" s="6">
        <v>58.830002</v>
      </c>
      <c r="O1280" s="6">
        <v>58.32</v>
      </c>
      <c r="P1280" s="6">
        <v>58.41</v>
      </c>
      <c r="Q1280" s="6">
        <v>48.355578999999999</v>
      </c>
      <c r="R1280" s="58">
        <v>827300</v>
      </c>
    </row>
    <row r="1281" spans="12:18" x14ac:dyDescent="0.25">
      <c r="L1281" s="26">
        <v>41303</v>
      </c>
      <c r="M1281" s="6">
        <v>58.459999000000003</v>
      </c>
      <c r="N1281" s="6">
        <v>58.880001</v>
      </c>
      <c r="O1281" s="6">
        <v>58.299999</v>
      </c>
      <c r="P1281" s="6">
        <v>58.82</v>
      </c>
      <c r="Q1281" s="6">
        <v>48.695011000000001</v>
      </c>
      <c r="R1281" s="58">
        <v>856200</v>
      </c>
    </row>
    <row r="1282" spans="12:18" x14ac:dyDescent="0.25">
      <c r="L1282" s="26">
        <v>41304</v>
      </c>
      <c r="M1282" s="6">
        <v>58.790000999999997</v>
      </c>
      <c r="N1282" s="6">
        <v>58.900002000000001</v>
      </c>
      <c r="O1282" s="6">
        <v>58.580002</v>
      </c>
      <c r="P1282" s="6">
        <v>58.709999000000003</v>
      </c>
      <c r="Q1282" s="6">
        <v>48.603946999999998</v>
      </c>
      <c r="R1282" s="58">
        <v>777900</v>
      </c>
    </row>
    <row r="1283" spans="12:18" x14ac:dyDescent="0.25">
      <c r="L1283" s="26">
        <v>41305</v>
      </c>
      <c r="M1283" s="6">
        <v>58.650002000000001</v>
      </c>
      <c r="N1283" s="6">
        <v>58.849997999999999</v>
      </c>
      <c r="O1283" s="6">
        <v>58.290000999999997</v>
      </c>
      <c r="P1283" s="6">
        <v>58.5</v>
      </c>
      <c r="Q1283" s="6">
        <v>48.430084000000001</v>
      </c>
      <c r="R1283" s="58">
        <v>1042800</v>
      </c>
    </row>
    <row r="1284" spans="12:18" x14ac:dyDescent="0.25">
      <c r="L1284" s="26">
        <v>41306</v>
      </c>
      <c r="M1284" s="6">
        <v>58.849997999999999</v>
      </c>
      <c r="N1284" s="6">
        <v>59</v>
      </c>
      <c r="O1284" s="6">
        <v>58.560001</v>
      </c>
      <c r="P1284" s="6">
        <v>58.650002000000001</v>
      </c>
      <c r="Q1284" s="6">
        <v>48.554264000000003</v>
      </c>
      <c r="R1284" s="58">
        <v>2151600</v>
      </c>
    </row>
    <row r="1285" spans="12:18" x14ac:dyDescent="0.25">
      <c r="L1285" s="26">
        <v>41309</v>
      </c>
      <c r="M1285" s="6">
        <v>58.41</v>
      </c>
      <c r="N1285" s="6">
        <v>58.490001999999997</v>
      </c>
      <c r="O1285" s="6">
        <v>58</v>
      </c>
      <c r="P1285" s="6">
        <v>58.099997999999999</v>
      </c>
      <c r="Q1285" s="6">
        <v>48.098937999999997</v>
      </c>
      <c r="R1285" s="58">
        <v>2585100</v>
      </c>
    </row>
    <row r="1286" spans="12:18" x14ac:dyDescent="0.25">
      <c r="L1286" s="26">
        <v>41310</v>
      </c>
      <c r="M1286" s="6">
        <v>58.849997999999999</v>
      </c>
      <c r="N1286" s="6">
        <v>59.380001</v>
      </c>
      <c r="O1286" s="6">
        <v>58.459999000000003</v>
      </c>
      <c r="P1286" s="6">
        <v>58.5</v>
      </c>
      <c r="Q1286" s="6">
        <v>48.430084000000001</v>
      </c>
      <c r="R1286" s="58">
        <v>3053100</v>
      </c>
    </row>
    <row r="1287" spans="12:18" x14ac:dyDescent="0.25">
      <c r="L1287" s="26">
        <v>41311</v>
      </c>
      <c r="M1287" s="6">
        <v>58.610000999999997</v>
      </c>
      <c r="N1287" s="6">
        <v>59</v>
      </c>
      <c r="O1287" s="6">
        <v>58.599997999999999</v>
      </c>
      <c r="P1287" s="6">
        <v>58.990001999999997</v>
      </c>
      <c r="Q1287" s="6">
        <v>48.835743000000001</v>
      </c>
      <c r="R1287" s="58">
        <v>2485200</v>
      </c>
    </row>
    <row r="1288" spans="12:18" x14ac:dyDescent="0.25">
      <c r="L1288" s="26">
        <v>41312</v>
      </c>
      <c r="M1288" s="6">
        <v>58.779998999999997</v>
      </c>
      <c r="N1288" s="6">
        <v>59.040000999999997</v>
      </c>
      <c r="O1288" s="6">
        <v>58.509998000000003</v>
      </c>
      <c r="P1288" s="6">
        <v>59</v>
      </c>
      <c r="Q1288" s="6">
        <v>48.844020999999998</v>
      </c>
      <c r="R1288" s="58">
        <v>1877200</v>
      </c>
    </row>
    <row r="1289" spans="12:18" x14ac:dyDescent="0.25">
      <c r="L1289" s="26">
        <v>41313</v>
      </c>
      <c r="M1289" s="6">
        <v>58.93</v>
      </c>
      <c r="N1289" s="6">
        <v>59.349997999999999</v>
      </c>
      <c r="O1289" s="6">
        <v>58.759998000000003</v>
      </c>
      <c r="P1289" s="6">
        <v>58.91</v>
      </c>
      <c r="Q1289" s="6">
        <v>48.769516000000003</v>
      </c>
      <c r="R1289" s="58">
        <v>1669300</v>
      </c>
    </row>
    <row r="1290" spans="12:18" x14ac:dyDescent="0.25">
      <c r="L1290" s="26">
        <v>41316</v>
      </c>
      <c r="M1290" s="6">
        <v>58.98</v>
      </c>
      <c r="N1290" s="6">
        <v>59.259998000000003</v>
      </c>
      <c r="O1290" s="6">
        <v>58.950001</v>
      </c>
      <c r="P1290" s="6">
        <v>59.119999</v>
      </c>
      <c r="Q1290" s="6">
        <v>48.943359000000001</v>
      </c>
      <c r="R1290" s="58">
        <v>1145100</v>
      </c>
    </row>
    <row r="1291" spans="12:18" x14ac:dyDescent="0.25">
      <c r="L1291" s="26">
        <v>41317</v>
      </c>
      <c r="M1291" s="6">
        <v>59.150002000000001</v>
      </c>
      <c r="N1291" s="6">
        <v>59.330002</v>
      </c>
      <c r="O1291" s="6">
        <v>59</v>
      </c>
      <c r="P1291" s="6">
        <v>59.25</v>
      </c>
      <c r="Q1291" s="6">
        <v>49.050986999999999</v>
      </c>
      <c r="R1291" s="58">
        <v>1183700</v>
      </c>
    </row>
    <row r="1292" spans="12:18" x14ac:dyDescent="0.25">
      <c r="L1292" s="26">
        <v>41318</v>
      </c>
      <c r="M1292" s="6">
        <v>59.34</v>
      </c>
      <c r="N1292" s="6">
        <v>59.360000999999997</v>
      </c>
      <c r="O1292" s="6">
        <v>59.07</v>
      </c>
      <c r="P1292" s="6">
        <v>59.290000999999997</v>
      </c>
      <c r="Q1292" s="6">
        <v>49.084091000000001</v>
      </c>
      <c r="R1292" s="58">
        <v>1210400</v>
      </c>
    </row>
    <row r="1293" spans="12:18" x14ac:dyDescent="0.25">
      <c r="L1293" s="26">
        <v>41319</v>
      </c>
      <c r="M1293" s="6">
        <v>59.360000999999997</v>
      </c>
      <c r="N1293" s="6">
        <v>59.959999000000003</v>
      </c>
      <c r="O1293" s="6">
        <v>59.290000999999997</v>
      </c>
      <c r="P1293" s="6">
        <v>59.580002</v>
      </c>
      <c r="Q1293" s="6">
        <v>49.324181000000003</v>
      </c>
      <c r="R1293" s="58">
        <v>2860900</v>
      </c>
    </row>
    <row r="1294" spans="12:18" x14ac:dyDescent="0.25">
      <c r="L1294" s="26">
        <v>41320</v>
      </c>
      <c r="M1294" s="6">
        <v>59.75</v>
      </c>
      <c r="N1294" s="6">
        <v>59.869999</v>
      </c>
      <c r="O1294" s="6">
        <v>59.43</v>
      </c>
      <c r="P1294" s="6">
        <v>59.77</v>
      </c>
      <c r="Q1294" s="6">
        <v>49.481476000000001</v>
      </c>
      <c r="R1294" s="58">
        <v>1599700</v>
      </c>
    </row>
    <row r="1295" spans="12:18" x14ac:dyDescent="0.25">
      <c r="L1295" s="26">
        <v>41324</v>
      </c>
      <c r="M1295" s="6">
        <v>59.630001</v>
      </c>
      <c r="N1295" s="6">
        <v>60.299999</v>
      </c>
      <c r="O1295" s="6">
        <v>59.48</v>
      </c>
      <c r="P1295" s="6">
        <v>60.139999000000003</v>
      </c>
      <c r="Q1295" s="6">
        <v>49.787781000000003</v>
      </c>
      <c r="R1295" s="58">
        <v>2172400</v>
      </c>
    </row>
    <row r="1296" spans="12:18" x14ac:dyDescent="0.25">
      <c r="L1296" s="26">
        <v>41325</v>
      </c>
      <c r="M1296" s="6">
        <v>59.990001999999997</v>
      </c>
      <c r="N1296" s="6">
        <v>60.209999000000003</v>
      </c>
      <c r="O1296" s="6">
        <v>59.150002000000001</v>
      </c>
      <c r="P1296" s="6">
        <v>59.77</v>
      </c>
      <c r="Q1296" s="6">
        <v>49.481476000000001</v>
      </c>
      <c r="R1296" s="58">
        <v>1783300</v>
      </c>
    </row>
    <row r="1297" spans="12:18" x14ac:dyDescent="0.25">
      <c r="L1297" s="26">
        <v>41326</v>
      </c>
      <c r="M1297" s="6">
        <v>59.630001</v>
      </c>
      <c r="N1297" s="6">
        <v>59.740001999999997</v>
      </c>
      <c r="O1297" s="6">
        <v>59.220001000000003</v>
      </c>
      <c r="P1297" s="6">
        <v>59.669998</v>
      </c>
      <c r="Q1297" s="6">
        <v>49.398685</v>
      </c>
      <c r="R1297" s="58">
        <v>2287500</v>
      </c>
    </row>
    <row r="1298" spans="12:18" x14ac:dyDescent="0.25">
      <c r="L1298" s="26">
        <v>41327</v>
      </c>
      <c r="M1298" s="6">
        <v>59.700001</v>
      </c>
      <c r="N1298" s="6">
        <v>60.009998000000003</v>
      </c>
      <c r="O1298" s="6">
        <v>59.5</v>
      </c>
      <c r="P1298" s="6">
        <v>60.009998000000003</v>
      </c>
      <c r="Q1298" s="6">
        <v>49.680163999999998</v>
      </c>
      <c r="R1298" s="58">
        <v>1676300</v>
      </c>
    </row>
    <row r="1299" spans="12:18" x14ac:dyDescent="0.25">
      <c r="L1299" s="26">
        <v>41330</v>
      </c>
      <c r="M1299" s="6">
        <v>60.060001</v>
      </c>
      <c r="N1299" s="6">
        <v>60.25</v>
      </c>
      <c r="O1299" s="6">
        <v>59.029998999999997</v>
      </c>
      <c r="P1299" s="6">
        <v>59.029998999999997</v>
      </c>
      <c r="Q1299" s="6">
        <v>48.868847000000002</v>
      </c>
      <c r="R1299" s="58">
        <v>1338600</v>
      </c>
    </row>
    <row r="1300" spans="12:18" x14ac:dyDescent="0.25">
      <c r="L1300" s="26">
        <v>41331</v>
      </c>
      <c r="M1300" s="6">
        <v>59.290000999999997</v>
      </c>
      <c r="N1300" s="6">
        <v>59.98</v>
      </c>
      <c r="O1300" s="6">
        <v>59.220001000000003</v>
      </c>
      <c r="P1300" s="6">
        <v>59.950001</v>
      </c>
      <c r="Q1300" s="6">
        <v>49.630493000000001</v>
      </c>
      <c r="R1300" s="58">
        <v>1797400</v>
      </c>
    </row>
    <row r="1301" spans="12:18" x14ac:dyDescent="0.25">
      <c r="L1301" s="26">
        <v>41332</v>
      </c>
      <c r="M1301" s="6">
        <v>60</v>
      </c>
      <c r="N1301" s="6">
        <v>60.540000999999997</v>
      </c>
      <c r="O1301" s="6">
        <v>59.82</v>
      </c>
      <c r="P1301" s="6">
        <v>60.490001999999997</v>
      </c>
      <c r="Q1301" s="6">
        <v>50.077537999999997</v>
      </c>
      <c r="R1301" s="58">
        <v>2228200</v>
      </c>
    </row>
    <row r="1302" spans="12:18" x14ac:dyDescent="0.25">
      <c r="L1302" s="26">
        <v>41333</v>
      </c>
      <c r="M1302" s="6">
        <v>60.18</v>
      </c>
      <c r="N1302" s="6">
        <v>60.790000999999997</v>
      </c>
      <c r="O1302" s="6">
        <v>59.959999000000003</v>
      </c>
      <c r="P1302" s="6">
        <v>60.5</v>
      </c>
      <c r="Q1302" s="6">
        <v>50.452796999999997</v>
      </c>
      <c r="R1302" s="58">
        <v>2466600</v>
      </c>
    </row>
    <row r="1303" spans="12:18" x14ac:dyDescent="0.25">
      <c r="L1303" s="26">
        <v>41334</v>
      </c>
      <c r="M1303" s="6">
        <v>60.310001</v>
      </c>
      <c r="N1303" s="6">
        <v>60.619999</v>
      </c>
      <c r="O1303" s="6">
        <v>60.049999</v>
      </c>
      <c r="P1303" s="6">
        <v>60.580002</v>
      </c>
      <c r="Q1303" s="6">
        <v>50.519516000000003</v>
      </c>
      <c r="R1303" s="58">
        <v>1462600</v>
      </c>
    </row>
    <row r="1304" spans="12:18" x14ac:dyDescent="0.25">
      <c r="L1304" s="26">
        <v>41337</v>
      </c>
      <c r="M1304" s="6">
        <v>60.470001000000003</v>
      </c>
      <c r="N1304" s="6">
        <v>61.049999</v>
      </c>
      <c r="O1304" s="6">
        <v>60.450001</v>
      </c>
      <c r="P1304" s="6">
        <v>61.049999</v>
      </c>
      <c r="Q1304" s="6">
        <v>50.911465</v>
      </c>
      <c r="R1304" s="58">
        <v>1118200</v>
      </c>
    </row>
    <row r="1305" spans="12:18" x14ac:dyDescent="0.25">
      <c r="L1305" s="26">
        <v>41338</v>
      </c>
      <c r="M1305" s="6">
        <v>61.099997999999999</v>
      </c>
      <c r="N1305" s="6">
        <v>61.740001999999997</v>
      </c>
      <c r="O1305" s="6">
        <v>61.009998000000003</v>
      </c>
      <c r="P1305" s="6">
        <v>61.419998</v>
      </c>
      <c r="Q1305" s="6">
        <v>51.220027999999999</v>
      </c>
      <c r="R1305" s="58">
        <v>1748400</v>
      </c>
    </row>
    <row r="1306" spans="12:18" x14ac:dyDescent="0.25">
      <c r="L1306" s="26">
        <v>41339</v>
      </c>
      <c r="M1306" s="6">
        <v>61.41</v>
      </c>
      <c r="N1306" s="6">
        <v>61.5</v>
      </c>
      <c r="O1306" s="6">
        <v>61.110000999999997</v>
      </c>
      <c r="P1306" s="6">
        <v>61.419998</v>
      </c>
      <c r="Q1306" s="6">
        <v>51.220027999999999</v>
      </c>
      <c r="R1306" s="58">
        <v>2002600</v>
      </c>
    </row>
    <row r="1307" spans="12:18" x14ac:dyDescent="0.25">
      <c r="L1307" s="26">
        <v>41340</v>
      </c>
      <c r="M1307" s="6">
        <v>61.330002</v>
      </c>
      <c r="N1307" s="6">
        <v>61.75</v>
      </c>
      <c r="O1307" s="6">
        <v>61.27</v>
      </c>
      <c r="P1307" s="6">
        <v>61.470001000000003</v>
      </c>
      <c r="Q1307" s="6">
        <v>51.261718999999999</v>
      </c>
      <c r="R1307" s="58">
        <v>1371200</v>
      </c>
    </row>
    <row r="1308" spans="12:18" x14ac:dyDescent="0.25">
      <c r="L1308" s="26">
        <v>41341</v>
      </c>
      <c r="M1308" s="6">
        <v>61.689999</v>
      </c>
      <c r="N1308" s="6">
        <v>61.93</v>
      </c>
      <c r="O1308" s="6">
        <v>61.34</v>
      </c>
      <c r="P1308" s="6">
        <v>61.52</v>
      </c>
      <c r="Q1308" s="6">
        <v>51.303417000000003</v>
      </c>
      <c r="R1308" s="58">
        <v>1159800</v>
      </c>
    </row>
    <row r="1309" spans="12:18" x14ac:dyDescent="0.25">
      <c r="L1309" s="26">
        <v>41344</v>
      </c>
      <c r="M1309" s="6">
        <v>61.5</v>
      </c>
      <c r="N1309" s="6">
        <v>61.669998</v>
      </c>
      <c r="O1309" s="6">
        <v>61.389999000000003</v>
      </c>
      <c r="P1309" s="6">
        <v>61.630001</v>
      </c>
      <c r="Q1309" s="6">
        <v>51.395138000000003</v>
      </c>
      <c r="R1309" s="58">
        <v>1137800</v>
      </c>
    </row>
    <row r="1310" spans="12:18" x14ac:dyDescent="0.25">
      <c r="L1310" s="26">
        <v>41345</v>
      </c>
      <c r="M1310" s="6">
        <v>61.52</v>
      </c>
      <c r="N1310" s="6">
        <v>61.77</v>
      </c>
      <c r="O1310" s="6">
        <v>61.41</v>
      </c>
      <c r="P1310" s="6">
        <v>61.73</v>
      </c>
      <c r="Q1310" s="6">
        <v>51.478538999999998</v>
      </c>
      <c r="R1310" s="58">
        <v>1245200</v>
      </c>
    </row>
    <row r="1311" spans="12:18" x14ac:dyDescent="0.25">
      <c r="L1311" s="26">
        <v>41346</v>
      </c>
      <c r="M1311" s="6">
        <v>61.66</v>
      </c>
      <c r="N1311" s="6">
        <v>62</v>
      </c>
      <c r="O1311" s="6">
        <v>61.450001</v>
      </c>
      <c r="P1311" s="6">
        <v>62</v>
      </c>
      <c r="Q1311" s="6">
        <v>51.703704999999999</v>
      </c>
      <c r="R1311" s="58">
        <v>1580300</v>
      </c>
    </row>
    <row r="1312" spans="12:18" x14ac:dyDescent="0.25">
      <c r="L1312" s="26">
        <v>41347</v>
      </c>
      <c r="M1312" s="6">
        <v>61.950001</v>
      </c>
      <c r="N1312" s="6">
        <v>62.41</v>
      </c>
      <c r="O1312" s="6">
        <v>61.830002</v>
      </c>
      <c r="P1312" s="6">
        <v>62.23</v>
      </c>
      <c r="Q1312" s="6">
        <v>51.895499999999998</v>
      </c>
      <c r="R1312" s="58">
        <v>1327100</v>
      </c>
    </row>
    <row r="1313" spans="12:18" x14ac:dyDescent="0.25">
      <c r="L1313" s="26">
        <v>41348</v>
      </c>
      <c r="M1313" s="6">
        <v>62.029998999999997</v>
      </c>
      <c r="N1313" s="6">
        <v>62.439999</v>
      </c>
      <c r="O1313" s="6">
        <v>61.880001</v>
      </c>
      <c r="P1313" s="6">
        <v>62.200001</v>
      </c>
      <c r="Q1313" s="6">
        <v>51.870483</v>
      </c>
      <c r="R1313" s="58">
        <v>2187600</v>
      </c>
    </row>
    <row r="1314" spans="12:18" x14ac:dyDescent="0.25">
      <c r="L1314" s="26">
        <v>41351</v>
      </c>
      <c r="M1314" s="6">
        <v>61.98</v>
      </c>
      <c r="N1314" s="6">
        <v>62.540000999999997</v>
      </c>
      <c r="O1314" s="6">
        <v>61.700001</v>
      </c>
      <c r="P1314" s="6">
        <v>62.279998999999997</v>
      </c>
      <c r="Q1314" s="6">
        <v>51.937201999999999</v>
      </c>
      <c r="R1314" s="58">
        <v>1204600</v>
      </c>
    </row>
    <row r="1315" spans="12:18" x14ac:dyDescent="0.25">
      <c r="L1315" s="26">
        <v>41352</v>
      </c>
      <c r="M1315" s="6">
        <v>62.400002000000001</v>
      </c>
      <c r="N1315" s="6">
        <v>62.529998999999997</v>
      </c>
      <c r="O1315" s="6">
        <v>62.040000999999997</v>
      </c>
      <c r="P1315" s="6">
        <v>62.470001000000003</v>
      </c>
      <c r="Q1315" s="6">
        <v>52.095641999999998</v>
      </c>
      <c r="R1315" s="58">
        <v>1190200</v>
      </c>
    </row>
    <row r="1316" spans="12:18" x14ac:dyDescent="0.25">
      <c r="L1316" s="26">
        <v>41353</v>
      </c>
      <c r="M1316" s="6">
        <v>62.709999000000003</v>
      </c>
      <c r="N1316" s="6">
        <v>63.299999</v>
      </c>
      <c r="O1316" s="6">
        <v>62.490001999999997</v>
      </c>
      <c r="P1316" s="6">
        <v>63.25</v>
      </c>
      <c r="Q1316" s="6">
        <v>52.746105</v>
      </c>
      <c r="R1316" s="58">
        <v>2175900</v>
      </c>
    </row>
    <row r="1317" spans="12:18" x14ac:dyDescent="0.25">
      <c r="L1317" s="26">
        <v>41354</v>
      </c>
      <c r="M1317" s="6">
        <v>62.990001999999997</v>
      </c>
      <c r="N1317" s="6">
        <v>63.310001</v>
      </c>
      <c r="O1317" s="6">
        <v>62.610000999999997</v>
      </c>
      <c r="P1317" s="6">
        <v>62.689999</v>
      </c>
      <c r="Q1317" s="6">
        <v>52.279114</v>
      </c>
      <c r="R1317" s="58">
        <v>1345400</v>
      </c>
    </row>
    <row r="1318" spans="12:18" x14ac:dyDescent="0.25">
      <c r="L1318" s="26">
        <v>41355</v>
      </c>
      <c r="M1318" s="6">
        <v>62.830002</v>
      </c>
      <c r="N1318" s="6">
        <v>63.5</v>
      </c>
      <c r="O1318" s="6">
        <v>62.790000999999997</v>
      </c>
      <c r="P1318" s="6">
        <v>63.389999000000003</v>
      </c>
      <c r="Q1318" s="6">
        <v>52.862862</v>
      </c>
      <c r="R1318" s="58">
        <v>1283300</v>
      </c>
    </row>
    <row r="1319" spans="12:18" x14ac:dyDescent="0.25">
      <c r="L1319" s="26">
        <v>41358</v>
      </c>
      <c r="M1319" s="6">
        <v>63.5</v>
      </c>
      <c r="N1319" s="6">
        <v>63.900002000000001</v>
      </c>
      <c r="O1319" s="6">
        <v>63.259998000000003</v>
      </c>
      <c r="P1319" s="6">
        <v>63.360000999999997</v>
      </c>
      <c r="Q1319" s="6">
        <v>52.837845000000002</v>
      </c>
      <c r="R1319" s="58">
        <v>1251400</v>
      </c>
    </row>
    <row r="1320" spans="12:18" x14ac:dyDescent="0.25">
      <c r="L1320" s="26">
        <v>41359</v>
      </c>
      <c r="M1320" s="6">
        <v>63.5</v>
      </c>
      <c r="N1320" s="6">
        <v>64.019997000000004</v>
      </c>
      <c r="O1320" s="6">
        <v>63.349997999999999</v>
      </c>
      <c r="P1320" s="6">
        <v>64</v>
      </c>
      <c r="Q1320" s="6">
        <v>53.371558999999998</v>
      </c>
      <c r="R1320" s="58">
        <v>1329300</v>
      </c>
    </row>
    <row r="1321" spans="12:18" x14ac:dyDescent="0.25">
      <c r="L1321" s="26">
        <v>41360</v>
      </c>
      <c r="M1321" s="6">
        <v>63.810001</v>
      </c>
      <c r="N1321" s="6">
        <v>64.75</v>
      </c>
      <c r="O1321" s="6">
        <v>63.790000999999997</v>
      </c>
      <c r="P1321" s="6">
        <v>64.599997999999999</v>
      </c>
      <c r="Q1321" s="6">
        <v>53.871921999999998</v>
      </c>
      <c r="R1321" s="58">
        <v>1632900</v>
      </c>
    </row>
    <row r="1322" spans="12:18" x14ac:dyDescent="0.25">
      <c r="L1322" s="26">
        <v>41361</v>
      </c>
      <c r="M1322" s="6">
        <v>64.680000000000007</v>
      </c>
      <c r="N1322" s="6">
        <v>64.690002000000007</v>
      </c>
      <c r="O1322" s="6">
        <v>64.260002</v>
      </c>
      <c r="P1322" s="6">
        <v>64.430000000000007</v>
      </c>
      <c r="Q1322" s="6">
        <v>53.730151999999997</v>
      </c>
      <c r="R1322" s="58">
        <v>1694800</v>
      </c>
    </row>
    <row r="1323" spans="12:18" x14ac:dyDescent="0.25">
      <c r="L1323" s="26">
        <v>41365</v>
      </c>
      <c r="M1323" s="6">
        <v>64.089995999999999</v>
      </c>
      <c r="N1323" s="6">
        <v>64.239998</v>
      </c>
      <c r="O1323" s="6">
        <v>63.709999000000003</v>
      </c>
      <c r="P1323" s="6">
        <v>63.93</v>
      </c>
      <c r="Q1323" s="6">
        <v>53.313186999999999</v>
      </c>
      <c r="R1323" s="58">
        <v>1503200</v>
      </c>
    </row>
    <row r="1324" spans="12:18" x14ac:dyDescent="0.25">
      <c r="L1324" s="26">
        <v>41366</v>
      </c>
      <c r="M1324" s="6">
        <v>64.110000999999997</v>
      </c>
      <c r="N1324" s="6">
        <v>64.680000000000007</v>
      </c>
      <c r="O1324" s="6">
        <v>64.080001999999993</v>
      </c>
      <c r="P1324" s="6">
        <v>64.290001000000004</v>
      </c>
      <c r="Q1324" s="6">
        <v>53.613410999999999</v>
      </c>
      <c r="R1324" s="58">
        <v>1721700</v>
      </c>
    </row>
    <row r="1325" spans="12:18" x14ac:dyDescent="0.25">
      <c r="L1325" s="26">
        <v>41367</v>
      </c>
      <c r="M1325" s="6">
        <v>64.400002000000001</v>
      </c>
      <c r="N1325" s="6">
        <v>64.449996999999996</v>
      </c>
      <c r="O1325" s="6">
        <v>63.240001999999997</v>
      </c>
      <c r="P1325" s="6">
        <v>63.43</v>
      </c>
      <c r="Q1325" s="6">
        <v>52.896217</v>
      </c>
      <c r="R1325" s="58">
        <v>2057600</v>
      </c>
    </row>
    <row r="1326" spans="12:18" x14ac:dyDescent="0.25">
      <c r="L1326" s="26">
        <v>41368</v>
      </c>
      <c r="M1326" s="6">
        <v>63.630001</v>
      </c>
      <c r="N1326" s="6">
        <v>64.120002999999997</v>
      </c>
      <c r="O1326" s="6">
        <v>63.5</v>
      </c>
      <c r="P1326" s="6">
        <v>64.010002</v>
      </c>
      <c r="Q1326" s="6">
        <v>53.379902000000001</v>
      </c>
      <c r="R1326" s="58">
        <v>1177700</v>
      </c>
    </row>
    <row r="1327" spans="12:18" x14ac:dyDescent="0.25">
      <c r="L1327" s="26">
        <v>41369</v>
      </c>
      <c r="M1327" s="6">
        <v>63.650002000000001</v>
      </c>
      <c r="N1327" s="6">
        <v>63.790000999999997</v>
      </c>
      <c r="O1327" s="6">
        <v>63.41</v>
      </c>
      <c r="P1327" s="6">
        <v>63.639999000000003</v>
      </c>
      <c r="Q1327" s="6">
        <v>53.071342000000001</v>
      </c>
      <c r="R1327" s="58">
        <v>1265500</v>
      </c>
    </row>
    <row r="1328" spans="12:18" x14ac:dyDescent="0.25">
      <c r="L1328" s="26">
        <v>41372</v>
      </c>
      <c r="M1328" s="6">
        <v>63.57</v>
      </c>
      <c r="N1328" s="6">
        <v>63.970001000000003</v>
      </c>
      <c r="O1328" s="6">
        <v>63.189999</v>
      </c>
      <c r="P1328" s="6">
        <v>63.970001000000003</v>
      </c>
      <c r="Q1328" s="6">
        <v>53.346539</v>
      </c>
      <c r="R1328" s="58">
        <v>838300</v>
      </c>
    </row>
    <row r="1329" spans="12:18" x14ac:dyDescent="0.25">
      <c r="L1329" s="26">
        <v>41373</v>
      </c>
      <c r="M1329" s="6">
        <v>63.970001000000003</v>
      </c>
      <c r="N1329" s="6">
        <v>64.220000999999996</v>
      </c>
      <c r="O1329" s="6">
        <v>63.549999</v>
      </c>
      <c r="P1329" s="6">
        <v>63.869999</v>
      </c>
      <c r="Q1329" s="6">
        <v>53.263157</v>
      </c>
      <c r="R1329" s="58">
        <v>1108800</v>
      </c>
    </row>
    <row r="1330" spans="12:18" x14ac:dyDescent="0.25">
      <c r="L1330" s="26">
        <v>41374</v>
      </c>
      <c r="M1330" s="6">
        <v>64.040001000000004</v>
      </c>
      <c r="N1330" s="6">
        <v>64.760002</v>
      </c>
      <c r="O1330" s="6">
        <v>63.869999</v>
      </c>
      <c r="P1330" s="6">
        <v>64.620002999999997</v>
      </c>
      <c r="Q1330" s="6">
        <v>53.888603000000003</v>
      </c>
      <c r="R1330" s="58">
        <v>1480300</v>
      </c>
    </row>
    <row r="1331" spans="12:18" x14ac:dyDescent="0.25">
      <c r="L1331" s="26">
        <v>41375</v>
      </c>
      <c r="M1331" s="6">
        <v>64.709998999999996</v>
      </c>
      <c r="N1331" s="6">
        <v>64.910004000000001</v>
      </c>
      <c r="O1331" s="6">
        <v>64.139999000000003</v>
      </c>
      <c r="P1331" s="6">
        <v>64.279999000000004</v>
      </c>
      <c r="Q1331" s="6">
        <v>53.605060999999999</v>
      </c>
      <c r="R1331" s="58">
        <v>1371200</v>
      </c>
    </row>
    <row r="1332" spans="12:18" x14ac:dyDescent="0.25">
      <c r="L1332" s="26">
        <v>41376</v>
      </c>
      <c r="M1332" s="6">
        <v>63.970001000000003</v>
      </c>
      <c r="N1332" s="6">
        <v>64.809997999999993</v>
      </c>
      <c r="O1332" s="6">
        <v>63.73</v>
      </c>
      <c r="P1332" s="6">
        <v>64.699996999999996</v>
      </c>
      <c r="Q1332" s="6">
        <v>53.955311000000002</v>
      </c>
      <c r="R1332" s="58">
        <v>1590300</v>
      </c>
    </row>
    <row r="1333" spans="12:18" x14ac:dyDescent="0.25">
      <c r="L1333" s="26">
        <v>41379</v>
      </c>
      <c r="M1333" s="6">
        <v>64.5</v>
      </c>
      <c r="N1333" s="6">
        <v>64.709998999999996</v>
      </c>
      <c r="O1333" s="6">
        <v>63.700001</v>
      </c>
      <c r="P1333" s="6">
        <v>63.700001</v>
      </c>
      <c r="Q1333" s="6">
        <v>53.121375999999998</v>
      </c>
      <c r="R1333" s="58">
        <v>1534500</v>
      </c>
    </row>
    <row r="1334" spans="12:18" x14ac:dyDescent="0.25">
      <c r="L1334" s="26">
        <v>41380</v>
      </c>
      <c r="M1334" s="6">
        <v>64.029999000000004</v>
      </c>
      <c r="N1334" s="6">
        <v>64.980002999999996</v>
      </c>
      <c r="O1334" s="6">
        <v>63.610000999999997</v>
      </c>
      <c r="P1334" s="6">
        <v>64.940002000000007</v>
      </c>
      <c r="Q1334" s="6">
        <v>54.155464000000002</v>
      </c>
      <c r="R1334" s="58">
        <v>1243600</v>
      </c>
    </row>
    <row r="1335" spans="12:18" x14ac:dyDescent="0.25">
      <c r="L1335" s="26">
        <v>41381</v>
      </c>
      <c r="M1335" s="6">
        <v>64.760002</v>
      </c>
      <c r="N1335" s="6">
        <v>65.269997000000004</v>
      </c>
      <c r="O1335" s="6">
        <v>64.330001999999993</v>
      </c>
      <c r="P1335" s="6">
        <v>64.599997999999999</v>
      </c>
      <c r="Q1335" s="6">
        <v>53.871921999999998</v>
      </c>
      <c r="R1335" s="58">
        <v>1724700</v>
      </c>
    </row>
    <row r="1336" spans="12:18" x14ac:dyDescent="0.25">
      <c r="L1336" s="26">
        <v>41382</v>
      </c>
      <c r="M1336" s="6">
        <v>64.669998000000007</v>
      </c>
      <c r="N1336" s="6">
        <v>65</v>
      </c>
      <c r="O1336" s="6">
        <v>64.620002999999997</v>
      </c>
      <c r="P1336" s="6">
        <v>64.900002000000001</v>
      </c>
      <c r="Q1336" s="6">
        <v>54.122101000000001</v>
      </c>
      <c r="R1336" s="58">
        <v>1182000</v>
      </c>
    </row>
    <row r="1337" spans="12:18" x14ac:dyDescent="0.25">
      <c r="L1337" s="26">
        <v>41383</v>
      </c>
      <c r="M1337" s="6">
        <v>65.139999000000003</v>
      </c>
      <c r="N1337" s="6">
        <v>66.25</v>
      </c>
      <c r="O1337" s="6">
        <v>65.019997000000004</v>
      </c>
      <c r="P1337" s="6">
        <v>66.099997999999999</v>
      </c>
      <c r="Q1337" s="6">
        <v>55.122813999999998</v>
      </c>
      <c r="R1337" s="58">
        <v>1958800</v>
      </c>
    </row>
    <row r="1338" spans="12:18" x14ac:dyDescent="0.25">
      <c r="L1338" s="26">
        <v>41386</v>
      </c>
      <c r="M1338" s="6">
        <v>65.959998999999996</v>
      </c>
      <c r="N1338" s="6">
        <v>66.370002999999997</v>
      </c>
      <c r="O1338" s="6">
        <v>65.610000999999997</v>
      </c>
      <c r="P1338" s="6">
        <v>66.190002000000007</v>
      </c>
      <c r="Q1338" s="6">
        <v>55.197861000000003</v>
      </c>
      <c r="R1338" s="58">
        <v>1030000</v>
      </c>
    </row>
    <row r="1339" spans="12:18" x14ac:dyDescent="0.25">
      <c r="L1339" s="26">
        <v>41387</v>
      </c>
      <c r="M1339" s="6">
        <v>66.25</v>
      </c>
      <c r="N1339" s="6">
        <v>66.839995999999999</v>
      </c>
      <c r="O1339" s="6">
        <v>66.120002999999997</v>
      </c>
      <c r="P1339" s="6">
        <v>66.510002</v>
      </c>
      <c r="Q1339" s="6">
        <v>55.464725000000001</v>
      </c>
      <c r="R1339" s="58">
        <v>1973300</v>
      </c>
    </row>
    <row r="1340" spans="12:18" x14ac:dyDescent="0.25">
      <c r="L1340" s="26">
        <v>41388</v>
      </c>
      <c r="M1340" s="6">
        <v>66.430000000000007</v>
      </c>
      <c r="N1340" s="6">
        <v>66.680000000000007</v>
      </c>
      <c r="O1340" s="6">
        <v>65.389999000000003</v>
      </c>
      <c r="P1340" s="6">
        <v>65.430000000000007</v>
      </c>
      <c r="Q1340" s="6">
        <v>54.564087000000001</v>
      </c>
      <c r="R1340" s="58">
        <v>1764000</v>
      </c>
    </row>
    <row r="1341" spans="12:18" x14ac:dyDescent="0.25">
      <c r="L1341" s="26">
        <v>41389</v>
      </c>
      <c r="M1341" s="6">
        <v>65.540001000000004</v>
      </c>
      <c r="N1341" s="6">
        <v>65.949996999999996</v>
      </c>
      <c r="O1341" s="6">
        <v>65.5</v>
      </c>
      <c r="P1341" s="6">
        <v>65.800003000000004</v>
      </c>
      <c r="Q1341" s="6">
        <v>54.872642999999997</v>
      </c>
      <c r="R1341" s="58">
        <v>1699000</v>
      </c>
    </row>
    <row r="1342" spans="12:18" x14ac:dyDescent="0.25">
      <c r="L1342" s="26">
        <v>41390</v>
      </c>
      <c r="M1342" s="6">
        <v>65.800003000000004</v>
      </c>
      <c r="N1342" s="6">
        <v>65.940002000000007</v>
      </c>
      <c r="O1342" s="6">
        <v>65.470000999999996</v>
      </c>
      <c r="P1342" s="6">
        <v>65.699996999999996</v>
      </c>
      <c r="Q1342" s="6">
        <v>54.789245999999999</v>
      </c>
      <c r="R1342" s="58">
        <v>1044900</v>
      </c>
    </row>
    <row r="1343" spans="12:18" x14ac:dyDescent="0.25">
      <c r="L1343" s="26">
        <v>41393</v>
      </c>
      <c r="M1343" s="6">
        <v>65.769997000000004</v>
      </c>
      <c r="N1343" s="6">
        <v>65.879997000000003</v>
      </c>
      <c r="O1343" s="6">
        <v>65.150002000000001</v>
      </c>
      <c r="P1343" s="6">
        <v>65.480002999999996</v>
      </c>
      <c r="Q1343" s="6">
        <v>54.605781999999998</v>
      </c>
      <c r="R1343" s="58">
        <v>1716500</v>
      </c>
    </row>
    <row r="1344" spans="12:18" x14ac:dyDescent="0.25">
      <c r="L1344" s="26">
        <v>41394</v>
      </c>
      <c r="M1344" s="6">
        <v>65.459998999999996</v>
      </c>
      <c r="N1344" s="6">
        <v>65.470000999999996</v>
      </c>
      <c r="O1344" s="6">
        <v>64.860000999999997</v>
      </c>
      <c r="P1344" s="6">
        <v>65.040001000000004</v>
      </c>
      <c r="Q1344" s="6">
        <v>54.238846000000002</v>
      </c>
      <c r="R1344" s="58">
        <v>2425200</v>
      </c>
    </row>
    <row r="1345" spans="12:18" x14ac:dyDescent="0.25">
      <c r="L1345" s="26">
        <v>41395</v>
      </c>
      <c r="M1345" s="6">
        <v>64.819999999999993</v>
      </c>
      <c r="N1345" s="6">
        <v>65.279999000000004</v>
      </c>
      <c r="O1345" s="6">
        <v>64.5</v>
      </c>
      <c r="P1345" s="6">
        <v>64.610000999999997</v>
      </c>
      <c r="Q1345" s="6">
        <v>53.880263999999997</v>
      </c>
      <c r="R1345" s="58">
        <v>1728800</v>
      </c>
    </row>
    <row r="1346" spans="12:18" x14ac:dyDescent="0.25">
      <c r="L1346" s="26">
        <v>41396</v>
      </c>
      <c r="M1346" s="6">
        <v>64.970000999999996</v>
      </c>
      <c r="N1346" s="6">
        <v>65.730002999999996</v>
      </c>
      <c r="O1346" s="6">
        <v>62.580002</v>
      </c>
      <c r="P1346" s="6">
        <v>63.419998</v>
      </c>
      <c r="Q1346" s="6">
        <v>52.887875000000001</v>
      </c>
      <c r="R1346" s="58">
        <v>3708800</v>
      </c>
    </row>
    <row r="1347" spans="12:18" x14ac:dyDescent="0.25">
      <c r="L1347" s="26">
        <v>41397</v>
      </c>
      <c r="M1347" s="6">
        <v>63.720001000000003</v>
      </c>
      <c r="N1347" s="6">
        <v>63.869999</v>
      </c>
      <c r="O1347" s="6">
        <v>62.939999</v>
      </c>
      <c r="P1347" s="6">
        <v>63.66</v>
      </c>
      <c r="Q1347" s="6">
        <v>53.088031999999998</v>
      </c>
      <c r="R1347" s="58">
        <v>3599400</v>
      </c>
    </row>
    <row r="1348" spans="12:18" x14ac:dyDescent="0.25">
      <c r="L1348" s="26">
        <v>41400</v>
      </c>
      <c r="M1348" s="6">
        <v>63.709999000000003</v>
      </c>
      <c r="N1348" s="6">
        <v>63.799999</v>
      </c>
      <c r="O1348" s="6">
        <v>63.009998000000003</v>
      </c>
      <c r="P1348" s="6">
        <v>63.439999</v>
      </c>
      <c r="Q1348" s="6">
        <v>52.904552000000002</v>
      </c>
      <c r="R1348" s="58">
        <v>2209600</v>
      </c>
    </row>
    <row r="1349" spans="12:18" x14ac:dyDescent="0.25">
      <c r="L1349" s="26">
        <v>41401</v>
      </c>
      <c r="M1349" s="6">
        <v>63.57</v>
      </c>
      <c r="N1349" s="6">
        <v>64.120002999999997</v>
      </c>
      <c r="O1349" s="6">
        <v>63.380001</v>
      </c>
      <c r="P1349" s="6">
        <v>63.900002000000001</v>
      </c>
      <c r="Q1349" s="6">
        <v>53.288170000000001</v>
      </c>
      <c r="R1349" s="58">
        <v>2225100</v>
      </c>
    </row>
    <row r="1350" spans="12:18" x14ac:dyDescent="0.25">
      <c r="L1350" s="26">
        <v>41402</v>
      </c>
      <c r="M1350" s="6">
        <v>63.93</v>
      </c>
      <c r="N1350" s="6">
        <v>64.379997000000003</v>
      </c>
      <c r="O1350" s="6">
        <v>63.77</v>
      </c>
      <c r="P1350" s="6">
        <v>64.220000999999996</v>
      </c>
      <c r="Q1350" s="6">
        <v>53.555027000000003</v>
      </c>
      <c r="R1350" s="58">
        <v>1800000</v>
      </c>
    </row>
    <row r="1351" spans="12:18" x14ac:dyDescent="0.25">
      <c r="L1351" s="26">
        <v>41403</v>
      </c>
      <c r="M1351" s="6">
        <v>64.269997000000004</v>
      </c>
      <c r="N1351" s="6">
        <v>64.349997999999999</v>
      </c>
      <c r="O1351" s="6">
        <v>63.709999000000003</v>
      </c>
      <c r="P1351" s="6">
        <v>63.91</v>
      </c>
      <c r="Q1351" s="6">
        <v>53.296500999999999</v>
      </c>
      <c r="R1351" s="58">
        <v>1356600</v>
      </c>
    </row>
    <row r="1352" spans="12:18" x14ac:dyDescent="0.25">
      <c r="L1352" s="26">
        <v>41404</v>
      </c>
      <c r="M1352" s="6">
        <v>63.93</v>
      </c>
      <c r="N1352" s="6">
        <v>64.379997000000003</v>
      </c>
      <c r="O1352" s="6">
        <v>63.860000999999997</v>
      </c>
      <c r="P1352" s="6">
        <v>64.290001000000004</v>
      </c>
      <c r="Q1352" s="6">
        <v>53.613410999999999</v>
      </c>
      <c r="R1352" s="58">
        <v>1887300</v>
      </c>
    </row>
    <row r="1353" spans="12:18" x14ac:dyDescent="0.25">
      <c r="L1353" s="26">
        <v>41407</v>
      </c>
      <c r="M1353" s="6">
        <v>64.220000999999996</v>
      </c>
      <c r="N1353" s="6">
        <v>64.599997999999999</v>
      </c>
      <c r="O1353" s="6">
        <v>63.889999000000003</v>
      </c>
      <c r="P1353" s="6">
        <v>64.419998000000007</v>
      </c>
      <c r="Q1353" s="6">
        <v>53.721812999999997</v>
      </c>
      <c r="R1353" s="58">
        <v>1141900</v>
      </c>
    </row>
    <row r="1354" spans="12:18" x14ac:dyDescent="0.25">
      <c r="L1354" s="26">
        <v>41408</v>
      </c>
      <c r="M1354" s="6">
        <v>64.440002000000007</v>
      </c>
      <c r="N1354" s="6">
        <v>65.319999999999993</v>
      </c>
      <c r="O1354" s="6">
        <v>64.419998000000007</v>
      </c>
      <c r="P1354" s="6">
        <v>65.279999000000004</v>
      </c>
      <c r="Q1354" s="6">
        <v>54.438991999999999</v>
      </c>
      <c r="R1354" s="58">
        <v>1646200</v>
      </c>
    </row>
    <row r="1355" spans="12:18" x14ac:dyDescent="0.25">
      <c r="L1355" s="26">
        <v>41409</v>
      </c>
      <c r="M1355" s="6">
        <v>65.010002</v>
      </c>
      <c r="N1355" s="6">
        <v>65.940002000000007</v>
      </c>
      <c r="O1355" s="6">
        <v>64.959998999999996</v>
      </c>
      <c r="P1355" s="6">
        <v>65.900002000000001</v>
      </c>
      <c r="Q1355" s="6">
        <v>54.956020000000002</v>
      </c>
      <c r="R1355" s="58">
        <v>1663300</v>
      </c>
    </row>
    <row r="1356" spans="12:18" x14ac:dyDescent="0.25">
      <c r="L1356" s="26">
        <v>41410</v>
      </c>
      <c r="M1356" s="6">
        <v>65.75</v>
      </c>
      <c r="N1356" s="6">
        <v>66.480002999999996</v>
      </c>
      <c r="O1356" s="6">
        <v>65.660004000000001</v>
      </c>
      <c r="P1356" s="6">
        <v>65.819999999999993</v>
      </c>
      <c r="Q1356" s="6">
        <v>54.889313000000001</v>
      </c>
      <c r="R1356" s="58">
        <v>1541700</v>
      </c>
    </row>
    <row r="1357" spans="12:18" x14ac:dyDescent="0.25">
      <c r="L1357" s="26">
        <v>41411</v>
      </c>
      <c r="M1357" s="6">
        <v>65.870002999999997</v>
      </c>
      <c r="N1357" s="6">
        <v>66.019997000000004</v>
      </c>
      <c r="O1357" s="6">
        <v>65.059997999999993</v>
      </c>
      <c r="P1357" s="6">
        <v>65.660004000000001</v>
      </c>
      <c r="Q1357" s="6">
        <v>54.755893999999998</v>
      </c>
      <c r="R1357" s="58">
        <v>1567200</v>
      </c>
    </row>
    <row r="1358" spans="12:18" x14ac:dyDescent="0.25">
      <c r="L1358" s="26">
        <v>41414</v>
      </c>
      <c r="M1358" s="6">
        <v>65.529999000000004</v>
      </c>
      <c r="N1358" s="6">
        <v>65.660004000000001</v>
      </c>
      <c r="O1358" s="6">
        <v>64.819999999999993</v>
      </c>
      <c r="P1358" s="6">
        <v>64.879997000000003</v>
      </c>
      <c r="Q1358" s="6">
        <v>54.105418999999998</v>
      </c>
      <c r="R1358" s="58">
        <v>1191100</v>
      </c>
    </row>
    <row r="1359" spans="12:18" x14ac:dyDescent="0.25">
      <c r="L1359" s="26">
        <v>41415</v>
      </c>
      <c r="M1359" s="6">
        <v>64.879997000000003</v>
      </c>
      <c r="N1359" s="6">
        <v>65.5</v>
      </c>
      <c r="O1359" s="6">
        <v>64.610000999999997</v>
      </c>
      <c r="P1359" s="6">
        <v>65.430000000000007</v>
      </c>
      <c r="Q1359" s="6">
        <v>54.564087000000001</v>
      </c>
      <c r="R1359" s="58">
        <v>1724300</v>
      </c>
    </row>
    <row r="1360" spans="12:18" x14ac:dyDescent="0.25">
      <c r="L1360" s="26">
        <v>41416</v>
      </c>
      <c r="M1360" s="6">
        <v>65.349997999999999</v>
      </c>
      <c r="N1360" s="6">
        <v>65.699996999999996</v>
      </c>
      <c r="O1360" s="6">
        <v>64.660004000000001</v>
      </c>
      <c r="P1360" s="6">
        <v>65.099997999999999</v>
      </c>
      <c r="Q1360" s="6">
        <v>54.288879000000001</v>
      </c>
      <c r="R1360" s="58">
        <v>3077200</v>
      </c>
    </row>
    <row r="1361" spans="12:18" x14ac:dyDescent="0.25">
      <c r="L1361" s="26">
        <v>41417</v>
      </c>
      <c r="M1361" s="6">
        <v>64.540001000000004</v>
      </c>
      <c r="N1361" s="6">
        <v>65.019997000000004</v>
      </c>
      <c r="O1361" s="6">
        <v>64.309997999999993</v>
      </c>
      <c r="P1361" s="6">
        <v>64.690002000000007</v>
      </c>
      <c r="Q1361" s="6">
        <v>53.946967999999998</v>
      </c>
      <c r="R1361" s="58">
        <v>2811900</v>
      </c>
    </row>
    <row r="1362" spans="12:18" x14ac:dyDescent="0.25">
      <c r="L1362" s="26">
        <v>41418</v>
      </c>
      <c r="M1362" s="6">
        <v>64.580001999999993</v>
      </c>
      <c r="N1362" s="6">
        <v>64.599997999999999</v>
      </c>
      <c r="O1362" s="6">
        <v>63.869999</v>
      </c>
      <c r="P1362" s="6">
        <v>64.449996999999996</v>
      </c>
      <c r="Q1362" s="6">
        <v>53.746822000000002</v>
      </c>
      <c r="R1362" s="58">
        <v>1615300</v>
      </c>
    </row>
    <row r="1363" spans="12:18" x14ac:dyDescent="0.25">
      <c r="L1363" s="26">
        <v>41422</v>
      </c>
      <c r="M1363" s="6">
        <v>65.029999000000004</v>
      </c>
      <c r="N1363" s="6">
        <v>65.330001999999993</v>
      </c>
      <c r="O1363" s="6">
        <v>64.599997999999999</v>
      </c>
      <c r="P1363" s="6">
        <v>64.720000999999996</v>
      </c>
      <c r="Q1363" s="6">
        <v>53.971992</v>
      </c>
      <c r="R1363" s="58">
        <v>1569100</v>
      </c>
    </row>
    <row r="1364" spans="12:18" x14ac:dyDescent="0.25">
      <c r="L1364" s="26">
        <v>41423</v>
      </c>
      <c r="M1364" s="6">
        <v>64.639999000000003</v>
      </c>
      <c r="N1364" s="6">
        <v>64.720000999999996</v>
      </c>
      <c r="O1364" s="6">
        <v>63.310001</v>
      </c>
      <c r="P1364" s="6">
        <v>63.610000999999997</v>
      </c>
      <c r="Q1364" s="6">
        <v>53.046322000000004</v>
      </c>
      <c r="R1364" s="58">
        <v>1554700</v>
      </c>
    </row>
    <row r="1365" spans="12:18" x14ac:dyDescent="0.25">
      <c r="L1365" s="26">
        <v>41424</v>
      </c>
      <c r="M1365" s="6">
        <v>63.34</v>
      </c>
      <c r="N1365" s="6">
        <v>63.599997999999999</v>
      </c>
      <c r="O1365" s="6">
        <v>62.950001</v>
      </c>
      <c r="P1365" s="6">
        <v>62.950001</v>
      </c>
      <c r="Q1365" s="6">
        <v>52.861590999999997</v>
      </c>
      <c r="R1365" s="58">
        <v>1675800</v>
      </c>
    </row>
    <row r="1366" spans="12:18" x14ac:dyDescent="0.25">
      <c r="L1366" s="26">
        <v>41425</v>
      </c>
      <c r="M1366" s="6">
        <v>62.939999</v>
      </c>
      <c r="N1366" s="6">
        <v>62.990001999999997</v>
      </c>
      <c r="O1366" s="6">
        <v>62.049999</v>
      </c>
      <c r="P1366" s="6">
        <v>62.049999</v>
      </c>
      <c r="Q1366" s="6">
        <v>52.105823999999998</v>
      </c>
      <c r="R1366" s="58">
        <v>2290600</v>
      </c>
    </row>
    <row r="1367" spans="12:18" x14ac:dyDescent="0.25">
      <c r="L1367" s="26">
        <v>41428</v>
      </c>
      <c r="M1367" s="6">
        <v>61.970001000000003</v>
      </c>
      <c r="N1367" s="6">
        <v>62.650002000000001</v>
      </c>
      <c r="O1367" s="6">
        <v>61.029998999999997</v>
      </c>
      <c r="P1367" s="6">
        <v>62.630001</v>
      </c>
      <c r="Q1367" s="6">
        <v>52.592872999999997</v>
      </c>
      <c r="R1367" s="58">
        <v>2488200</v>
      </c>
    </row>
    <row r="1368" spans="12:18" x14ac:dyDescent="0.25">
      <c r="L1368" s="26">
        <v>41429</v>
      </c>
      <c r="M1368" s="6">
        <v>62.619999</v>
      </c>
      <c r="N1368" s="6">
        <v>63.279998999999997</v>
      </c>
      <c r="O1368" s="6">
        <v>62.439999</v>
      </c>
      <c r="P1368" s="6">
        <v>63.049999</v>
      </c>
      <c r="Q1368" s="6">
        <v>52.945563999999997</v>
      </c>
      <c r="R1368" s="58">
        <v>1834800</v>
      </c>
    </row>
    <row r="1369" spans="12:18" x14ac:dyDescent="0.25">
      <c r="L1369" s="26">
        <v>41430</v>
      </c>
      <c r="M1369" s="6">
        <v>62.880001</v>
      </c>
      <c r="N1369" s="6">
        <v>62.880001</v>
      </c>
      <c r="O1369" s="6">
        <v>61.779998999999997</v>
      </c>
      <c r="P1369" s="6">
        <v>61.790000999999997</v>
      </c>
      <c r="Q1369" s="6">
        <v>51.887481999999999</v>
      </c>
      <c r="R1369" s="58">
        <v>1690300</v>
      </c>
    </row>
    <row r="1370" spans="12:18" x14ac:dyDescent="0.25">
      <c r="L1370" s="26">
        <v>41431</v>
      </c>
      <c r="M1370" s="6">
        <v>61.669998</v>
      </c>
      <c r="N1370" s="6">
        <v>62.040000999999997</v>
      </c>
      <c r="O1370" s="6">
        <v>61.439999</v>
      </c>
      <c r="P1370" s="6">
        <v>62.040000999999997</v>
      </c>
      <c r="Q1370" s="6">
        <v>52.097427000000003</v>
      </c>
      <c r="R1370" s="58">
        <v>2497500</v>
      </c>
    </row>
    <row r="1371" spans="12:18" x14ac:dyDescent="0.25">
      <c r="L1371" s="26">
        <v>41432</v>
      </c>
      <c r="M1371" s="6">
        <v>62.41</v>
      </c>
      <c r="N1371" s="6">
        <v>63.419998</v>
      </c>
      <c r="O1371" s="6">
        <v>62.32</v>
      </c>
      <c r="P1371" s="6">
        <v>63.389999000000003</v>
      </c>
      <c r="Q1371" s="6">
        <v>53.231064000000003</v>
      </c>
      <c r="R1371" s="58">
        <v>2353400</v>
      </c>
    </row>
    <row r="1372" spans="12:18" x14ac:dyDescent="0.25">
      <c r="L1372" s="26">
        <v>41435</v>
      </c>
      <c r="M1372" s="6">
        <v>63.389999000000003</v>
      </c>
      <c r="N1372" s="6">
        <v>63.450001</v>
      </c>
      <c r="O1372" s="6">
        <v>62.630001</v>
      </c>
      <c r="P1372" s="6">
        <v>63.07</v>
      </c>
      <c r="Q1372" s="6">
        <v>52.962356999999997</v>
      </c>
      <c r="R1372" s="58">
        <v>1218100</v>
      </c>
    </row>
    <row r="1373" spans="12:18" x14ac:dyDescent="0.25">
      <c r="L1373" s="26">
        <v>41436</v>
      </c>
      <c r="M1373" s="6">
        <v>62.650002000000001</v>
      </c>
      <c r="N1373" s="6">
        <v>63.540000999999997</v>
      </c>
      <c r="O1373" s="6">
        <v>62.139999000000003</v>
      </c>
      <c r="P1373" s="6">
        <v>63</v>
      </c>
      <c r="Q1373" s="6">
        <v>52.903571999999997</v>
      </c>
      <c r="R1373" s="58">
        <v>1666000</v>
      </c>
    </row>
    <row r="1374" spans="12:18" x14ac:dyDescent="0.25">
      <c r="L1374" s="26">
        <v>41437</v>
      </c>
      <c r="M1374" s="6">
        <v>63.259998000000003</v>
      </c>
      <c r="N1374" s="6">
        <v>63.299999</v>
      </c>
      <c r="O1374" s="6">
        <v>62.779998999999997</v>
      </c>
      <c r="P1374" s="6">
        <v>62.84</v>
      </c>
      <c r="Q1374" s="6">
        <v>52.769218000000002</v>
      </c>
      <c r="R1374" s="58">
        <v>1333900</v>
      </c>
    </row>
    <row r="1375" spans="12:18" x14ac:dyDescent="0.25">
      <c r="L1375" s="26">
        <v>41438</v>
      </c>
      <c r="M1375" s="6">
        <v>62.98</v>
      </c>
      <c r="N1375" s="6">
        <v>64.239998</v>
      </c>
      <c r="O1375" s="6">
        <v>62.529998999999997</v>
      </c>
      <c r="P1375" s="6">
        <v>64.230002999999996</v>
      </c>
      <c r="Q1375" s="6">
        <v>53.936455000000002</v>
      </c>
      <c r="R1375" s="58">
        <v>2215200</v>
      </c>
    </row>
    <row r="1376" spans="12:18" x14ac:dyDescent="0.25">
      <c r="L1376" s="26">
        <v>41439</v>
      </c>
      <c r="M1376" s="6">
        <v>64.319999999999993</v>
      </c>
      <c r="N1376" s="6">
        <v>65.110000999999997</v>
      </c>
      <c r="O1376" s="6">
        <v>64.110000999999997</v>
      </c>
      <c r="P1376" s="6">
        <v>64.239998</v>
      </c>
      <c r="Q1376" s="6">
        <v>53.944851</v>
      </c>
      <c r="R1376" s="58">
        <v>1800900</v>
      </c>
    </row>
    <row r="1377" spans="12:18" x14ac:dyDescent="0.25">
      <c r="L1377" s="26">
        <v>41442</v>
      </c>
      <c r="M1377" s="6">
        <v>64.580001999999993</v>
      </c>
      <c r="N1377" s="6">
        <v>65.120002999999997</v>
      </c>
      <c r="O1377" s="6">
        <v>64.370002999999997</v>
      </c>
      <c r="P1377" s="6">
        <v>64.680000000000007</v>
      </c>
      <c r="Q1377" s="6">
        <v>54.314331000000003</v>
      </c>
      <c r="R1377" s="58">
        <v>1598100</v>
      </c>
    </row>
    <row r="1378" spans="12:18" x14ac:dyDescent="0.25">
      <c r="L1378" s="26">
        <v>41443</v>
      </c>
      <c r="M1378" s="6">
        <v>64.569999999999993</v>
      </c>
      <c r="N1378" s="6">
        <v>65</v>
      </c>
      <c r="O1378" s="6">
        <v>64.180000000000007</v>
      </c>
      <c r="P1378" s="6">
        <v>64.919998000000007</v>
      </c>
      <c r="Q1378" s="6">
        <v>54.515864999999998</v>
      </c>
      <c r="R1378" s="58">
        <v>1276500</v>
      </c>
    </row>
    <row r="1379" spans="12:18" x14ac:dyDescent="0.25">
      <c r="L1379" s="26">
        <v>41444</v>
      </c>
      <c r="M1379" s="6">
        <v>64.839995999999999</v>
      </c>
      <c r="N1379" s="6">
        <v>65.010002</v>
      </c>
      <c r="O1379" s="6">
        <v>63.810001</v>
      </c>
      <c r="P1379" s="6">
        <v>63.869999</v>
      </c>
      <c r="Q1379" s="6">
        <v>53.634148000000003</v>
      </c>
      <c r="R1379" s="58">
        <v>1623600</v>
      </c>
    </row>
    <row r="1380" spans="12:18" x14ac:dyDescent="0.25">
      <c r="L1380" s="26">
        <v>41445</v>
      </c>
      <c r="M1380" s="6">
        <v>63.459999000000003</v>
      </c>
      <c r="N1380" s="6">
        <v>63.66</v>
      </c>
      <c r="O1380" s="6">
        <v>62.560001</v>
      </c>
      <c r="P1380" s="6">
        <v>62.57</v>
      </c>
      <c r="Q1380" s="6">
        <v>52.542479999999998</v>
      </c>
      <c r="R1380" s="58">
        <v>2470100</v>
      </c>
    </row>
    <row r="1381" spans="12:18" x14ac:dyDescent="0.25">
      <c r="L1381" s="26">
        <v>41446</v>
      </c>
      <c r="M1381" s="6">
        <v>63.139999000000003</v>
      </c>
      <c r="N1381" s="6">
        <v>63.450001</v>
      </c>
      <c r="O1381" s="6">
        <v>62.650002000000001</v>
      </c>
      <c r="P1381" s="6">
        <v>63.25</v>
      </c>
      <c r="Q1381" s="6">
        <v>53.113509999999998</v>
      </c>
      <c r="R1381" s="58">
        <v>2938600</v>
      </c>
    </row>
    <row r="1382" spans="12:18" x14ac:dyDescent="0.25">
      <c r="L1382" s="26">
        <v>41449</v>
      </c>
      <c r="M1382" s="6">
        <v>63.139999000000003</v>
      </c>
      <c r="N1382" s="6">
        <v>63.939999</v>
      </c>
      <c r="O1382" s="6">
        <v>62.669998</v>
      </c>
      <c r="P1382" s="6">
        <v>63.259998000000003</v>
      </c>
      <c r="Q1382" s="6">
        <v>53.12191</v>
      </c>
      <c r="R1382" s="58">
        <v>1901200</v>
      </c>
    </row>
    <row r="1383" spans="12:18" x14ac:dyDescent="0.25">
      <c r="L1383" s="26">
        <v>41450</v>
      </c>
      <c r="M1383" s="6">
        <v>63.5</v>
      </c>
      <c r="N1383" s="6">
        <v>63.98</v>
      </c>
      <c r="O1383" s="6">
        <v>63</v>
      </c>
      <c r="P1383" s="6">
        <v>63.18</v>
      </c>
      <c r="Q1383" s="6">
        <v>53.054721999999998</v>
      </c>
      <c r="R1383" s="58">
        <v>1634600</v>
      </c>
    </row>
    <row r="1384" spans="12:18" x14ac:dyDescent="0.25">
      <c r="L1384" s="26">
        <v>41451</v>
      </c>
      <c r="M1384" s="6">
        <v>63.669998</v>
      </c>
      <c r="N1384" s="6">
        <v>64.050003000000004</v>
      </c>
      <c r="O1384" s="6">
        <v>63.43</v>
      </c>
      <c r="P1384" s="6">
        <v>63.52</v>
      </c>
      <c r="Q1384" s="6">
        <v>53.340240000000001</v>
      </c>
      <c r="R1384" s="58">
        <v>1647300</v>
      </c>
    </row>
    <row r="1385" spans="12:18" x14ac:dyDescent="0.25">
      <c r="L1385" s="26">
        <v>41452</v>
      </c>
      <c r="M1385" s="6">
        <v>64.069999999999993</v>
      </c>
      <c r="N1385" s="6">
        <v>64.779999000000004</v>
      </c>
      <c r="O1385" s="6">
        <v>64.010002</v>
      </c>
      <c r="P1385" s="6">
        <v>64.419998000000007</v>
      </c>
      <c r="Q1385" s="6">
        <v>54.095993</v>
      </c>
      <c r="R1385" s="58">
        <v>1533400</v>
      </c>
    </row>
    <row r="1386" spans="12:18" x14ac:dyDescent="0.25">
      <c r="L1386" s="26">
        <v>41453</v>
      </c>
      <c r="M1386" s="6">
        <v>64.360000999999997</v>
      </c>
      <c r="N1386" s="6">
        <v>64.980002999999996</v>
      </c>
      <c r="O1386" s="6">
        <v>64.230002999999996</v>
      </c>
      <c r="P1386" s="6">
        <v>64.230002999999996</v>
      </c>
      <c r="Q1386" s="6">
        <v>53.936455000000002</v>
      </c>
      <c r="R1386" s="58">
        <v>2418300</v>
      </c>
    </row>
    <row r="1387" spans="12:18" x14ac:dyDescent="0.25">
      <c r="L1387" s="26">
        <v>41456</v>
      </c>
      <c r="M1387" s="6">
        <v>64.029999000000004</v>
      </c>
      <c r="N1387" s="6">
        <v>65.330001999999993</v>
      </c>
      <c r="O1387" s="6">
        <v>64.029999000000004</v>
      </c>
      <c r="P1387" s="6">
        <v>64.889999000000003</v>
      </c>
      <c r="Q1387" s="6">
        <v>54.490681000000002</v>
      </c>
      <c r="R1387" s="58">
        <v>1566000</v>
      </c>
    </row>
    <row r="1388" spans="12:18" x14ac:dyDescent="0.25">
      <c r="L1388" s="26">
        <v>41457</v>
      </c>
      <c r="M1388" s="6">
        <v>64.739998</v>
      </c>
      <c r="N1388" s="6">
        <v>65.480002999999996</v>
      </c>
      <c r="O1388" s="6">
        <v>64.540001000000004</v>
      </c>
      <c r="P1388" s="6">
        <v>65.110000999999997</v>
      </c>
      <c r="Q1388" s="6">
        <v>54.675426000000002</v>
      </c>
      <c r="R1388" s="58">
        <v>1861200</v>
      </c>
    </row>
    <row r="1389" spans="12:18" x14ac:dyDescent="0.25">
      <c r="L1389" s="26">
        <v>41458</v>
      </c>
      <c r="M1389" s="6">
        <v>65.300003000000004</v>
      </c>
      <c r="N1389" s="6">
        <v>65.300003000000004</v>
      </c>
      <c r="O1389" s="6">
        <v>64.629997000000003</v>
      </c>
      <c r="P1389" s="6">
        <v>65.059997999999993</v>
      </c>
      <c r="Q1389" s="6">
        <v>54.633442000000002</v>
      </c>
      <c r="R1389" s="58">
        <v>774000</v>
      </c>
    </row>
    <row r="1390" spans="12:18" x14ac:dyDescent="0.25">
      <c r="L1390" s="26">
        <v>41460</v>
      </c>
      <c r="M1390" s="6">
        <v>65.220000999999996</v>
      </c>
      <c r="N1390" s="6">
        <v>65.449996999999996</v>
      </c>
      <c r="O1390" s="6">
        <v>64.620002999999997</v>
      </c>
      <c r="P1390" s="6">
        <v>65.339995999999999</v>
      </c>
      <c r="Q1390" s="6">
        <v>54.868557000000003</v>
      </c>
      <c r="R1390" s="58">
        <v>892500</v>
      </c>
    </row>
    <row r="1391" spans="12:18" x14ac:dyDescent="0.25">
      <c r="L1391" s="26">
        <v>41463</v>
      </c>
      <c r="M1391" s="6">
        <v>65.580001999999993</v>
      </c>
      <c r="N1391" s="6">
        <v>65.940002000000007</v>
      </c>
      <c r="O1391" s="6">
        <v>65.180000000000007</v>
      </c>
      <c r="P1391" s="6">
        <v>65.730002999999996</v>
      </c>
      <c r="Q1391" s="6">
        <v>55.196060000000003</v>
      </c>
      <c r="R1391" s="58">
        <v>1341100</v>
      </c>
    </row>
    <row r="1392" spans="12:18" x14ac:dyDescent="0.25">
      <c r="L1392" s="26">
        <v>41464</v>
      </c>
      <c r="M1392" s="6">
        <v>66</v>
      </c>
      <c r="N1392" s="6">
        <v>66.5</v>
      </c>
      <c r="O1392" s="6">
        <v>65.790001000000004</v>
      </c>
      <c r="P1392" s="6">
        <v>65.919998000000007</v>
      </c>
      <c r="Q1392" s="6">
        <v>55.355614000000003</v>
      </c>
      <c r="R1392" s="58">
        <v>1049800</v>
      </c>
    </row>
    <row r="1393" spans="12:18" x14ac:dyDescent="0.25">
      <c r="L1393" s="26">
        <v>41465</v>
      </c>
      <c r="M1393" s="6">
        <v>65.860000999999997</v>
      </c>
      <c r="N1393" s="6">
        <v>66.169998000000007</v>
      </c>
      <c r="O1393" s="6">
        <v>65.629997000000003</v>
      </c>
      <c r="P1393" s="6">
        <v>65.970000999999996</v>
      </c>
      <c r="Q1393" s="6">
        <v>55.39761</v>
      </c>
      <c r="R1393" s="58">
        <v>1664300</v>
      </c>
    </row>
    <row r="1394" spans="12:18" x14ac:dyDescent="0.25">
      <c r="L1394" s="26">
        <v>41466</v>
      </c>
      <c r="M1394" s="6">
        <v>66.709998999999996</v>
      </c>
      <c r="N1394" s="6">
        <v>66.760002</v>
      </c>
      <c r="O1394" s="6">
        <v>66.349997999999999</v>
      </c>
      <c r="P1394" s="6">
        <v>66.529999000000004</v>
      </c>
      <c r="Q1394" s="6">
        <v>55.867846999999998</v>
      </c>
      <c r="R1394" s="58">
        <v>1565900</v>
      </c>
    </row>
    <row r="1395" spans="12:18" x14ac:dyDescent="0.25">
      <c r="L1395" s="26">
        <v>41467</v>
      </c>
      <c r="M1395" s="6">
        <v>66.529999000000004</v>
      </c>
      <c r="N1395" s="6">
        <v>66.680000000000007</v>
      </c>
      <c r="O1395" s="6">
        <v>66.180000000000007</v>
      </c>
      <c r="P1395" s="6">
        <v>66.5</v>
      </c>
      <c r="Q1395" s="6">
        <v>55.842655000000001</v>
      </c>
      <c r="R1395" s="58">
        <v>1373300</v>
      </c>
    </row>
    <row r="1396" spans="12:18" x14ac:dyDescent="0.25">
      <c r="L1396" s="26">
        <v>41470</v>
      </c>
      <c r="M1396" s="6">
        <v>66.379997000000003</v>
      </c>
      <c r="N1396" s="6">
        <v>66.699996999999996</v>
      </c>
      <c r="O1396" s="6">
        <v>66.25</v>
      </c>
      <c r="P1396" s="6">
        <v>66.519997000000004</v>
      </c>
      <c r="Q1396" s="6">
        <v>55.859451</v>
      </c>
      <c r="R1396" s="58">
        <v>1154100</v>
      </c>
    </row>
    <row r="1397" spans="12:18" x14ac:dyDescent="0.25">
      <c r="L1397" s="26">
        <v>41471</v>
      </c>
      <c r="M1397" s="6">
        <v>66.300003000000004</v>
      </c>
      <c r="N1397" s="6">
        <v>66.610000999999997</v>
      </c>
      <c r="O1397" s="6">
        <v>66.099997999999999</v>
      </c>
      <c r="P1397" s="6">
        <v>66.309997999999993</v>
      </c>
      <c r="Q1397" s="6">
        <v>55.683098000000001</v>
      </c>
      <c r="R1397" s="58">
        <v>937800</v>
      </c>
    </row>
    <row r="1398" spans="12:18" x14ac:dyDescent="0.25">
      <c r="L1398" s="26">
        <v>41472</v>
      </c>
      <c r="M1398" s="6">
        <v>66.349997999999999</v>
      </c>
      <c r="N1398" s="6">
        <v>66.5</v>
      </c>
      <c r="O1398" s="6">
        <v>66.050003000000004</v>
      </c>
      <c r="P1398" s="6">
        <v>66.180000000000007</v>
      </c>
      <c r="Q1398" s="6">
        <v>55.573951999999998</v>
      </c>
      <c r="R1398" s="58">
        <v>1202300</v>
      </c>
    </row>
    <row r="1399" spans="12:18" x14ac:dyDescent="0.25">
      <c r="L1399" s="26">
        <v>41473</v>
      </c>
      <c r="M1399" s="6">
        <v>66.279999000000004</v>
      </c>
      <c r="N1399" s="6">
        <v>66.800003000000004</v>
      </c>
      <c r="O1399" s="6">
        <v>66.220000999999996</v>
      </c>
      <c r="P1399" s="6">
        <v>66.639999000000003</v>
      </c>
      <c r="Q1399" s="6">
        <v>55.960223999999997</v>
      </c>
      <c r="R1399" s="58">
        <v>809600</v>
      </c>
    </row>
    <row r="1400" spans="12:18" x14ac:dyDescent="0.25">
      <c r="L1400" s="26">
        <v>41474</v>
      </c>
      <c r="M1400" s="6">
        <v>66.900002000000001</v>
      </c>
      <c r="N1400" s="6">
        <v>67.339995999999999</v>
      </c>
      <c r="O1400" s="6">
        <v>66.680000000000007</v>
      </c>
      <c r="P1400" s="6">
        <v>67.319999999999993</v>
      </c>
      <c r="Q1400" s="6">
        <v>56.531238999999999</v>
      </c>
      <c r="R1400" s="58">
        <v>1442800</v>
      </c>
    </row>
    <row r="1401" spans="12:18" x14ac:dyDescent="0.25">
      <c r="L1401" s="26">
        <v>41477</v>
      </c>
      <c r="M1401" s="6">
        <v>67.209998999999996</v>
      </c>
      <c r="N1401" s="6">
        <v>67.980002999999996</v>
      </c>
      <c r="O1401" s="6">
        <v>67.059997999999993</v>
      </c>
      <c r="P1401" s="6">
        <v>67.459998999999996</v>
      </c>
      <c r="Q1401" s="6">
        <v>56.648814999999999</v>
      </c>
      <c r="R1401" s="58">
        <v>1552900</v>
      </c>
    </row>
    <row r="1402" spans="12:18" x14ac:dyDescent="0.25">
      <c r="L1402" s="26">
        <v>41478</v>
      </c>
      <c r="M1402" s="6">
        <v>67.529999000000004</v>
      </c>
      <c r="N1402" s="6">
        <v>67.660004000000001</v>
      </c>
      <c r="O1402" s="6">
        <v>67.010002</v>
      </c>
      <c r="P1402" s="6">
        <v>67.230002999999996</v>
      </c>
      <c r="Q1402" s="6">
        <v>56.455666000000001</v>
      </c>
      <c r="R1402" s="58">
        <v>1154500</v>
      </c>
    </row>
    <row r="1403" spans="12:18" x14ac:dyDescent="0.25">
      <c r="L1403" s="26">
        <v>41479</v>
      </c>
      <c r="M1403" s="6">
        <v>67.25</v>
      </c>
      <c r="N1403" s="6">
        <v>67.360000999999997</v>
      </c>
      <c r="O1403" s="6">
        <v>66.690002000000007</v>
      </c>
      <c r="P1403" s="6">
        <v>66.870002999999997</v>
      </c>
      <c r="Q1403" s="6">
        <v>56.153362000000001</v>
      </c>
      <c r="R1403" s="58">
        <v>796200</v>
      </c>
    </row>
    <row r="1404" spans="12:18" x14ac:dyDescent="0.25">
      <c r="L1404" s="26">
        <v>41480</v>
      </c>
      <c r="M1404" s="6">
        <v>66.75</v>
      </c>
      <c r="N1404" s="6">
        <v>67.169998000000007</v>
      </c>
      <c r="O1404" s="6">
        <v>66.610000999999997</v>
      </c>
      <c r="P1404" s="6">
        <v>66.970000999999996</v>
      </c>
      <c r="Q1404" s="6">
        <v>56.237347</v>
      </c>
      <c r="R1404" s="58">
        <v>1122100</v>
      </c>
    </row>
    <row r="1405" spans="12:18" x14ac:dyDescent="0.25">
      <c r="L1405" s="26">
        <v>41481</v>
      </c>
      <c r="M1405" s="6">
        <v>66.629997000000003</v>
      </c>
      <c r="N1405" s="6">
        <v>67.089995999999999</v>
      </c>
      <c r="O1405" s="6">
        <v>66.209998999999996</v>
      </c>
      <c r="P1405" s="6">
        <v>66.980002999999996</v>
      </c>
      <c r="Q1405" s="6">
        <v>56.245730999999999</v>
      </c>
      <c r="R1405" s="58">
        <v>1057000</v>
      </c>
    </row>
    <row r="1406" spans="12:18" x14ac:dyDescent="0.25">
      <c r="L1406" s="26">
        <v>41484</v>
      </c>
      <c r="M1406" s="6">
        <v>66.75</v>
      </c>
      <c r="N1406" s="6">
        <v>67.269997000000004</v>
      </c>
      <c r="O1406" s="6">
        <v>66.510002</v>
      </c>
      <c r="P1406" s="6">
        <v>66.889999000000003</v>
      </c>
      <c r="Q1406" s="6">
        <v>56.170155000000001</v>
      </c>
      <c r="R1406" s="58">
        <v>1033400</v>
      </c>
    </row>
    <row r="1407" spans="12:18" x14ac:dyDescent="0.25">
      <c r="L1407" s="26">
        <v>41485</v>
      </c>
      <c r="M1407" s="6">
        <v>67.059997999999993</v>
      </c>
      <c r="N1407" s="6">
        <v>67.430000000000007</v>
      </c>
      <c r="O1407" s="6">
        <v>66.440002000000007</v>
      </c>
      <c r="P1407" s="6">
        <v>66.449996999999996</v>
      </c>
      <c r="Q1407" s="6">
        <v>55.800685999999999</v>
      </c>
      <c r="R1407" s="58">
        <v>1707000</v>
      </c>
    </row>
    <row r="1408" spans="12:18" x14ac:dyDescent="0.25">
      <c r="L1408" s="26">
        <v>41486</v>
      </c>
      <c r="M1408" s="6">
        <v>66.639999000000003</v>
      </c>
      <c r="N1408" s="6">
        <v>66.830001999999993</v>
      </c>
      <c r="O1408" s="6">
        <v>66.120002999999997</v>
      </c>
      <c r="P1408" s="6">
        <v>66.239998</v>
      </c>
      <c r="Q1408" s="6">
        <v>55.624332000000003</v>
      </c>
      <c r="R1408" s="58">
        <v>2210000</v>
      </c>
    </row>
    <row r="1409" spans="12:18" x14ac:dyDescent="0.25">
      <c r="L1409" s="26">
        <v>41487</v>
      </c>
      <c r="M1409" s="6">
        <v>65.940002000000007</v>
      </c>
      <c r="N1409" s="6">
        <v>66.110000999999997</v>
      </c>
      <c r="O1409" s="6">
        <v>65.050003000000004</v>
      </c>
      <c r="P1409" s="6">
        <v>65.419998000000007</v>
      </c>
      <c r="Q1409" s="6">
        <v>54.935741</v>
      </c>
      <c r="R1409" s="58">
        <v>3969600</v>
      </c>
    </row>
    <row r="1410" spans="12:18" x14ac:dyDescent="0.25">
      <c r="L1410" s="26">
        <v>41488</v>
      </c>
      <c r="M1410" s="6">
        <v>65.540001000000004</v>
      </c>
      <c r="N1410" s="6">
        <v>65.559997999999993</v>
      </c>
      <c r="O1410" s="6">
        <v>64.260002</v>
      </c>
      <c r="P1410" s="6">
        <v>65.230002999999996</v>
      </c>
      <c r="Q1410" s="6">
        <v>54.776192000000002</v>
      </c>
      <c r="R1410" s="58">
        <v>2846700</v>
      </c>
    </row>
    <row r="1411" spans="12:18" x14ac:dyDescent="0.25">
      <c r="L1411" s="26">
        <v>41491</v>
      </c>
      <c r="M1411" s="6">
        <v>65.230002999999996</v>
      </c>
      <c r="N1411" s="6">
        <v>65.449996999999996</v>
      </c>
      <c r="O1411" s="6">
        <v>64.860000999999997</v>
      </c>
      <c r="P1411" s="6">
        <v>65.180000000000007</v>
      </c>
      <c r="Q1411" s="6">
        <v>54.734203000000001</v>
      </c>
      <c r="R1411" s="58">
        <v>1384300</v>
      </c>
    </row>
    <row r="1412" spans="12:18" x14ac:dyDescent="0.25">
      <c r="L1412" s="26">
        <v>41492</v>
      </c>
      <c r="M1412" s="6">
        <v>65.239998</v>
      </c>
      <c r="N1412" s="6">
        <v>65.900002000000001</v>
      </c>
      <c r="O1412" s="6">
        <v>64.980002999999996</v>
      </c>
      <c r="P1412" s="6">
        <v>65.800003000000004</v>
      </c>
      <c r="Q1412" s="6">
        <v>55.254845000000003</v>
      </c>
      <c r="R1412" s="58">
        <v>2279800</v>
      </c>
    </row>
    <row r="1413" spans="12:18" x14ac:dyDescent="0.25">
      <c r="L1413" s="26">
        <v>41493</v>
      </c>
      <c r="M1413" s="6">
        <v>65.680000000000007</v>
      </c>
      <c r="N1413" s="6">
        <v>65.769997000000004</v>
      </c>
      <c r="O1413" s="6">
        <v>65.230002999999996</v>
      </c>
      <c r="P1413" s="6">
        <v>65.529999000000004</v>
      </c>
      <c r="Q1413" s="6">
        <v>55.028106999999999</v>
      </c>
      <c r="R1413" s="58">
        <v>1864700</v>
      </c>
    </row>
    <row r="1414" spans="12:18" x14ac:dyDescent="0.25">
      <c r="L1414" s="26">
        <v>41494</v>
      </c>
      <c r="M1414" s="6">
        <v>65.680000000000007</v>
      </c>
      <c r="N1414" s="6">
        <v>65.860000999999997</v>
      </c>
      <c r="O1414" s="6">
        <v>65.430000000000007</v>
      </c>
      <c r="P1414" s="6">
        <v>65.660004000000001</v>
      </c>
      <c r="Q1414" s="6">
        <v>55.137282999999996</v>
      </c>
      <c r="R1414" s="58">
        <v>1257500</v>
      </c>
    </row>
    <row r="1415" spans="12:18" x14ac:dyDescent="0.25">
      <c r="L1415" s="26">
        <v>41495</v>
      </c>
      <c r="M1415" s="6">
        <v>65.699996999999996</v>
      </c>
      <c r="N1415" s="6">
        <v>65.819999999999993</v>
      </c>
      <c r="O1415" s="6">
        <v>65.5</v>
      </c>
      <c r="P1415" s="6">
        <v>65.680000000000007</v>
      </c>
      <c r="Q1415" s="6">
        <v>55.154076000000003</v>
      </c>
      <c r="R1415" s="58">
        <v>1496400</v>
      </c>
    </row>
    <row r="1416" spans="12:18" x14ac:dyDescent="0.25">
      <c r="L1416" s="26">
        <v>41498</v>
      </c>
      <c r="M1416" s="6">
        <v>65.599997999999999</v>
      </c>
      <c r="N1416" s="6">
        <v>65.790001000000004</v>
      </c>
      <c r="O1416" s="6">
        <v>65.470000999999996</v>
      </c>
      <c r="P1416" s="6">
        <v>65.730002999999996</v>
      </c>
      <c r="Q1416" s="6">
        <v>55.196060000000003</v>
      </c>
      <c r="R1416" s="58">
        <v>1369200</v>
      </c>
    </row>
    <row r="1417" spans="12:18" x14ac:dyDescent="0.25">
      <c r="L1417" s="26">
        <v>41499</v>
      </c>
      <c r="M1417" s="6">
        <v>65.839995999999999</v>
      </c>
      <c r="N1417" s="6">
        <v>66.239998</v>
      </c>
      <c r="O1417" s="6">
        <v>65.540001000000004</v>
      </c>
      <c r="P1417" s="6">
        <v>65.900002000000001</v>
      </c>
      <c r="Q1417" s="6">
        <v>55.338810000000002</v>
      </c>
      <c r="R1417" s="58">
        <v>1755800</v>
      </c>
    </row>
    <row r="1418" spans="12:18" x14ac:dyDescent="0.25">
      <c r="L1418" s="26">
        <v>41500</v>
      </c>
      <c r="M1418" s="6">
        <v>65.940002000000007</v>
      </c>
      <c r="N1418" s="6">
        <v>65.949996999999996</v>
      </c>
      <c r="O1418" s="6">
        <v>65.419998000000007</v>
      </c>
      <c r="P1418" s="6">
        <v>65.419998000000007</v>
      </c>
      <c r="Q1418" s="6">
        <v>54.935741</v>
      </c>
      <c r="R1418" s="58">
        <v>2098400</v>
      </c>
    </row>
    <row r="1419" spans="12:18" x14ac:dyDescent="0.25">
      <c r="L1419" s="26">
        <v>41501</v>
      </c>
      <c r="M1419" s="6">
        <v>65.050003000000004</v>
      </c>
      <c r="N1419" s="6">
        <v>65.069999999999993</v>
      </c>
      <c r="O1419" s="6">
        <v>64.150002000000001</v>
      </c>
      <c r="P1419" s="6">
        <v>64.459998999999996</v>
      </c>
      <c r="Q1419" s="6">
        <v>54.129589000000003</v>
      </c>
      <c r="R1419" s="58">
        <v>1994400</v>
      </c>
    </row>
    <row r="1420" spans="12:18" x14ac:dyDescent="0.25">
      <c r="L1420" s="26">
        <v>41502</v>
      </c>
      <c r="M1420" s="6">
        <v>64.099997999999999</v>
      </c>
      <c r="N1420" s="6">
        <v>64.25</v>
      </c>
      <c r="O1420" s="6">
        <v>62.84</v>
      </c>
      <c r="P1420" s="6">
        <v>62.950001</v>
      </c>
      <c r="Q1420" s="6">
        <v>52.861590999999997</v>
      </c>
      <c r="R1420" s="58">
        <v>3245900</v>
      </c>
    </row>
    <row r="1421" spans="12:18" x14ac:dyDescent="0.25">
      <c r="L1421" s="26">
        <v>41505</v>
      </c>
      <c r="M1421" s="6">
        <v>62.919998</v>
      </c>
      <c r="N1421" s="6">
        <v>63.16</v>
      </c>
      <c r="O1421" s="6">
        <v>62.689999</v>
      </c>
      <c r="P1421" s="6">
        <v>62.799999</v>
      </c>
      <c r="Q1421" s="6">
        <v>52.735621999999999</v>
      </c>
      <c r="R1421" s="58">
        <v>1479300</v>
      </c>
    </row>
    <row r="1422" spans="12:18" x14ac:dyDescent="0.25">
      <c r="L1422" s="26">
        <v>41506</v>
      </c>
      <c r="M1422" s="6">
        <v>62.84</v>
      </c>
      <c r="N1422" s="6">
        <v>63.299999</v>
      </c>
      <c r="O1422" s="6">
        <v>62.599997999999999</v>
      </c>
      <c r="P1422" s="6">
        <v>62.610000999999997</v>
      </c>
      <c r="Q1422" s="6">
        <v>52.576079999999997</v>
      </c>
      <c r="R1422" s="58">
        <v>1971200</v>
      </c>
    </row>
    <row r="1423" spans="12:18" x14ac:dyDescent="0.25">
      <c r="L1423" s="26">
        <v>41507</v>
      </c>
      <c r="M1423" s="6">
        <v>62.68</v>
      </c>
      <c r="N1423" s="6">
        <v>62.68</v>
      </c>
      <c r="O1423" s="6">
        <v>61.919998</v>
      </c>
      <c r="P1423" s="6">
        <v>62.040000999999997</v>
      </c>
      <c r="Q1423" s="6">
        <v>52.097427000000003</v>
      </c>
      <c r="R1423" s="58">
        <v>1925600</v>
      </c>
    </row>
    <row r="1424" spans="12:18" x14ac:dyDescent="0.25">
      <c r="L1424" s="26">
        <v>41508</v>
      </c>
      <c r="M1424" s="6">
        <v>62.080002</v>
      </c>
      <c r="N1424" s="6">
        <v>62.549999</v>
      </c>
      <c r="O1424" s="6">
        <v>61.93</v>
      </c>
      <c r="P1424" s="6">
        <v>62.419998</v>
      </c>
      <c r="Q1424" s="6">
        <v>52.416530999999999</v>
      </c>
      <c r="R1424" s="58">
        <v>1383400</v>
      </c>
    </row>
    <row r="1425" spans="12:18" x14ac:dyDescent="0.25">
      <c r="L1425" s="26">
        <v>41509</v>
      </c>
      <c r="M1425" s="6">
        <v>62.630001</v>
      </c>
      <c r="N1425" s="6">
        <v>62.869999</v>
      </c>
      <c r="O1425" s="6">
        <v>62.459999000000003</v>
      </c>
      <c r="P1425" s="6">
        <v>62.73</v>
      </c>
      <c r="Q1425" s="6">
        <v>52.676837999999996</v>
      </c>
      <c r="R1425" s="58">
        <v>1100900</v>
      </c>
    </row>
    <row r="1426" spans="12:18" x14ac:dyDescent="0.25">
      <c r="L1426" s="26">
        <v>41512</v>
      </c>
      <c r="M1426" s="6">
        <v>62.77</v>
      </c>
      <c r="N1426" s="6">
        <v>62.77</v>
      </c>
      <c r="O1426" s="6">
        <v>61.669998</v>
      </c>
      <c r="P1426" s="6">
        <v>61.700001</v>
      </c>
      <c r="Q1426" s="6">
        <v>51.811905000000003</v>
      </c>
      <c r="R1426" s="58">
        <v>1494100</v>
      </c>
    </row>
    <row r="1427" spans="12:18" x14ac:dyDescent="0.25">
      <c r="L1427" s="26">
        <v>41513</v>
      </c>
      <c r="M1427" s="6">
        <v>61.330002</v>
      </c>
      <c r="N1427" s="6">
        <v>61.959999000000003</v>
      </c>
      <c r="O1427" s="6">
        <v>61.240001999999997</v>
      </c>
      <c r="P1427" s="6">
        <v>61.630001</v>
      </c>
      <c r="Q1427" s="6">
        <v>51.753127999999997</v>
      </c>
      <c r="R1427" s="58">
        <v>1521900</v>
      </c>
    </row>
    <row r="1428" spans="12:18" x14ac:dyDescent="0.25">
      <c r="L1428" s="26">
        <v>41514</v>
      </c>
      <c r="M1428" s="6">
        <v>61.509998000000003</v>
      </c>
      <c r="N1428" s="6">
        <v>61.619999</v>
      </c>
      <c r="O1428" s="6">
        <v>61.07</v>
      </c>
      <c r="P1428" s="6">
        <v>61.080002</v>
      </c>
      <c r="Q1428" s="6">
        <v>51.291271000000002</v>
      </c>
      <c r="R1428" s="58">
        <v>1583100</v>
      </c>
    </row>
    <row r="1429" spans="12:18" x14ac:dyDescent="0.25">
      <c r="L1429" s="26">
        <v>41515</v>
      </c>
      <c r="M1429" s="6">
        <v>60.759998000000003</v>
      </c>
      <c r="N1429" s="6">
        <v>60.959999000000003</v>
      </c>
      <c r="O1429" s="6">
        <v>60.279998999999997</v>
      </c>
      <c r="P1429" s="6">
        <v>60.59</v>
      </c>
      <c r="Q1429" s="6">
        <v>51.265900000000002</v>
      </c>
      <c r="R1429" s="58">
        <v>1410300</v>
      </c>
    </row>
    <row r="1430" spans="12:18" x14ac:dyDescent="0.25">
      <c r="L1430" s="26">
        <v>41516</v>
      </c>
      <c r="M1430" s="6">
        <v>60.639999000000003</v>
      </c>
      <c r="N1430" s="6">
        <v>60.900002000000001</v>
      </c>
      <c r="O1430" s="6">
        <v>60.48</v>
      </c>
      <c r="P1430" s="6">
        <v>60.709999000000003</v>
      </c>
      <c r="Q1430" s="6">
        <v>51.367424</v>
      </c>
      <c r="R1430" s="58">
        <v>1246200</v>
      </c>
    </row>
    <row r="1431" spans="12:18" x14ac:dyDescent="0.25">
      <c r="L1431" s="26">
        <v>41520</v>
      </c>
      <c r="M1431" s="6">
        <v>61.240001999999997</v>
      </c>
      <c r="N1431" s="6">
        <v>61.360000999999997</v>
      </c>
      <c r="O1431" s="6">
        <v>60.400002000000001</v>
      </c>
      <c r="P1431" s="6">
        <v>60.75</v>
      </c>
      <c r="Q1431" s="6">
        <v>51.401271999999999</v>
      </c>
      <c r="R1431" s="58">
        <v>1627900</v>
      </c>
    </row>
    <row r="1432" spans="12:18" x14ac:dyDescent="0.25">
      <c r="L1432" s="26">
        <v>41521</v>
      </c>
      <c r="M1432" s="6">
        <v>60.720001000000003</v>
      </c>
      <c r="N1432" s="6">
        <v>60.82</v>
      </c>
      <c r="O1432" s="6">
        <v>60.450001</v>
      </c>
      <c r="P1432" s="6">
        <v>60.790000999999997</v>
      </c>
      <c r="Q1432" s="6">
        <v>51.435108</v>
      </c>
      <c r="R1432" s="58">
        <v>1507100</v>
      </c>
    </row>
    <row r="1433" spans="12:18" x14ac:dyDescent="0.25">
      <c r="L1433" s="26">
        <v>41522</v>
      </c>
      <c r="M1433" s="6">
        <v>60.66</v>
      </c>
      <c r="N1433" s="6">
        <v>60.810001</v>
      </c>
      <c r="O1433" s="6">
        <v>60.330002</v>
      </c>
      <c r="P1433" s="6">
        <v>60.419998</v>
      </c>
      <c r="Q1433" s="6">
        <v>51.122039999999998</v>
      </c>
      <c r="R1433" s="58">
        <v>1455600</v>
      </c>
    </row>
    <row r="1434" spans="12:18" x14ac:dyDescent="0.25">
      <c r="L1434" s="26">
        <v>41523</v>
      </c>
      <c r="M1434" s="6">
        <v>60.580002</v>
      </c>
      <c r="N1434" s="6">
        <v>60.790000999999997</v>
      </c>
      <c r="O1434" s="6">
        <v>60.139999000000003</v>
      </c>
      <c r="P1434" s="6">
        <v>60.23</v>
      </c>
      <c r="Q1434" s="6">
        <v>50.961288000000003</v>
      </c>
      <c r="R1434" s="58">
        <v>1294100</v>
      </c>
    </row>
    <row r="1435" spans="12:18" x14ac:dyDescent="0.25">
      <c r="L1435" s="26">
        <v>41526</v>
      </c>
      <c r="M1435" s="6">
        <v>60.400002000000001</v>
      </c>
      <c r="N1435" s="6">
        <v>60.5</v>
      </c>
      <c r="O1435" s="6">
        <v>60.07</v>
      </c>
      <c r="P1435" s="6">
        <v>60.259998000000003</v>
      </c>
      <c r="Q1435" s="6">
        <v>50.986668000000002</v>
      </c>
      <c r="R1435" s="58">
        <v>1839400</v>
      </c>
    </row>
    <row r="1436" spans="12:18" x14ac:dyDescent="0.25">
      <c r="L1436" s="26">
        <v>41527</v>
      </c>
      <c r="M1436" s="6">
        <v>60.5</v>
      </c>
      <c r="N1436" s="6">
        <v>60.619999</v>
      </c>
      <c r="O1436" s="6">
        <v>59.34</v>
      </c>
      <c r="P1436" s="6">
        <v>59.459999000000003</v>
      </c>
      <c r="Q1436" s="6">
        <v>50.309792000000002</v>
      </c>
      <c r="R1436" s="58">
        <v>2622900</v>
      </c>
    </row>
    <row r="1437" spans="12:18" x14ac:dyDescent="0.25">
      <c r="L1437" s="26">
        <v>41528</v>
      </c>
      <c r="M1437" s="6">
        <v>59.48</v>
      </c>
      <c r="N1437" s="6">
        <v>60.189999</v>
      </c>
      <c r="O1437" s="6">
        <v>59.470001000000003</v>
      </c>
      <c r="P1437" s="6">
        <v>60.080002</v>
      </c>
      <c r="Q1437" s="6">
        <v>50.834372999999999</v>
      </c>
      <c r="R1437" s="58">
        <v>2829900</v>
      </c>
    </row>
    <row r="1438" spans="12:18" x14ac:dyDescent="0.25">
      <c r="L1438" s="26">
        <v>41529</v>
      </c>
      <c r="M1438" s="6">
        <v>60.060001</v>
      </c>
      <c r="N1438" s="6">
        <v>60.27</v>
      </c>
      <c r="O1438" s="6">
        <v>59.84</v>
      </c>
      <c r="P1438" s="6">
        <v>60.119999</v>
      </c>
      <c r="Q1438" s="6">
        <v>50.868220999999998</v>
      </c>
      <c r="R1438" s="58">
        <v>1426600</v>
      </c>
    </row>
    <row r="1439" spans="12:18" x14ac:dyDescent="0.25">
      <c r="L1439" s="26">
        <v>41530</v>
      </c>
      <c r="M1439" s="6">
        <v>60.290000999999997</v>
      </c>
      <c r="N1439" s="6">
        <v>60.689999</v>
      </c>
      <c r="O1439" s="6">
        <v>60.119999</v>
      </c>
      <c r="P1439" s="6">
        <v>60.639999000000003</v>
      </c>
      <c r="Q1439" s="6">
        <v>51.308197</v>
      </c>
      <c r="R1439" s="58">
        <v>1144000</v>
      </c>
    </row>
    <row r="1440" spans="12:18" x14ac:dyDescent="0.25">
      <c r="L1440" s="26">
        <v>41533</v>
      </c>
      <c r="M1440" s="6">
        <v>61.080002</v>
      </c>
      <c r="N1440" s="6">
        <v>61.34</v>
      </c>
      <c r="O1440" s="6">
        <v>60.84</v>
      </c>
      <c r="P1440" s="6">
        <v>60.98</v>
      </c>
      <c r="Q1440" s="6">
        <v>51.595874999999999</v>
      </c>
      <c r="R1440" s="58">
        <v>1308600</v>
      </c>
    </row>
    <row r="1441" spans="12:18" x14ac:dyDescent="0.25">
      <c r="L1441" s="26">
        <v>41534</v>
      </c>
      <c r="M1441" s="6">
        <v>60.450001</v>
      </c>
      <c r="N1441" s="6">
        <v>60.669998</v>
      </c>
      <c r="O1441" s="6">
        <v>60.110000999999997</v>
      </c>
      <c r="P1441" s="6">
        <v>60.639999000000003</v>
      </c>
      <c r="Q1441" s="6">
        <v>51.308197</v>
      </c>
      <c r="R1441" s="58">
        <v>2221500</v>
      </c>
    </row>
    <row r="1442" spans="12:18" x14ac:dyDescent="0.25">
      <c r="L1442" s="26">
        <v>41535</v>
      </c>
      <c r="M1442" s="6">
        <v>60.57</v>
      </c>
      <c r="N1442" s="6">
        <v>61.43</v>
      </c>
      <c r="O1442" s="6">
        <v>60.290000999999997</v>
      </c>
      <c r="P1442" s="6">
        <v>61.209999000000003</v>
      </c>
      <c r="Q1442" s="6">
        <v>51.790484999999997</v>
      </c>
      <c r="R1442" s="58">
        <v>2243200</v>
      </c>
    </row>
    <row r="1443" spans="12:18" x14ac:dyDescent="0.25">
      <c r="L1443" s="26">
        <v>41536</v>
      </c>
      <c r="M1443" s="6">
        <v>61.169998</v>
      </c>
      <c r="N1443" s="6">
        <v>61.27</v>
      </c>
      <c r="O1443" s="6">
        <v>60.52</v>
      </c>
      <c r="P1443" s="6">
        <v>61.080002</v>
      </c>
      <c r="Q1443" s="6">
        <v>51.680484999999997</v>
      </c>
      <c r="R1443" s="58">
        <v>2646900</v>
      </c>
    </row>
    <row r="1444" spans="12:18" x14ac:dyDescent="0.25">
      <c r="L1444" s="26">
        <v>41537</v>
      </c>
      <c r="M1444" s="6">
        <v>61.080002</v>
      </c>
      <c r="N1444" s="6">
        <v>61.080002</v>
      </c>
      <c r="O1444" s="6">
        <v>60.48</v>
      </c>
      <c r="P1444" s="6">
        <v>60.57</v>
      </c>
      <c r="Q1444" s="6">
        <v>51.248961999999999</v>
      </c>
      <c r="R1444" s="58">
        <v>2196300</v>
      </c>
    </row>
    <row r="1445" spans="12:18" x14ac:dyDescent="0.25">
      <c r="L1445" s="26">
        <v>41540</v>
      </c>
      <c r="M1445" s="6">
        <v>60.389999000000003</v>
      </c>
      <c r="N1445" s="6">
        <v>60.560001</v>
      </c>
      <c r="O1445" s="6">
        <v>60.02</v>
      </c>
      <c r="P1445" s="6">
        <v>60.240001999999997</v>
      </c>
      <c r="Q1445" s="6">
        <v>50.969757000000001</v>
      </c>
      <c r="R1445" s="58">
        <v>1131000</v>
      </c>
    </row>
    <row r="1446" spans="12:18" x14ac:dyDescent="0.25">
      <c r="L1446" s="26">
        <v>41541</v>
      </c>
      <c r="M1446" s="6">
        <v>60.150002000000001</v>
      </c>
      <c r="N1446" s="6">
        <v>60.18</v>
      </c>
      <c r="O1446" s="6">
        <v>59.669998</v>
      </c>
      <c r="P1446" s="6">
        <v>59.959999000000003</v>
      </c>
      <c r="Q1446" s="6">
        <v>50.732833999999997</v>
      </c>
      <c r="R1446" s="58">
        <v>1558200</v>
      </c>
    </row>
    <row r="1447" spans="12:18" x14ac:dyDescent="0.25">
      <c r="L1447" s="26">
        <v>41542</v>
      </c>
      <c r="M1447" s="6">
        <v>59.98</v>
      </c>
      <c r="N1447" s="6">
        <v>60.16</v>
      </c>
      <c r="O1447" s="6">
        <v>59.810001</v>
      </c>
      <c r="P1447" s="6">
        <v>59.880001</v>
      </c>
      <c r="Q1447" s="6">
        <v>50.665154000000001</v>
      </c>
      <c r="R1447" s="58">
        <v>1778800</v>
      </c>
    </row>
    <row r="1448" spans="12:18" x14ac:dyDescent="0.25">
      <c r="L1448" s="26">
        <v>41543</v>
      </c>
      <c r="M1448" s="6">
        <v>59.880001</v>
      </c>
      <c r="N1448" s="6">
        <v>60.09</v>
      </c>
      <c r="O1448" s="6">
        <v>59.630001</v>
      </c>
      <c r="P1448" s="6">
        <v>59.849997999999999</v>
      </c>
      <c r="Q1448" s="6">
        <v>50.639758999999998</v>
      </c>
      <c r="R1448" s="58">
        <v>1675700</v>
      </c>
    </row>
    <row r="1449" spans="12:18" x14ac:dyDescent="0.25">
      <c r="L1449" s="26">
        <v>41544</v>
      </c>
      <c r="M1449" s="6">
        <v>59.700001</v>
      </c>
      <c r="N1449" s="6">
        <v>59.73</v>
      </c>
      <c r="O1449" s="6">
        <v>58.59</v>
      </c>
      <c r="P1449" s="6">
        <v>59.02</v>
      </c>
      <c r="Q1449" s="6">
        <v>49.937496000000003</v>
      </c>
      <c r="R1449" s="58">
        <v>2125000</v>
      </c>
    </row>
    <row r="1450" spans="12:18" x14ac:dyDescent="0.25">
      <c r="L1450" s="26">
        <v>41547</v>
      </c>
      <c r="M1450" s="6">
        <v>58.790000999999997</v>
      </c>
      <c r="N1450" s="6">
        <v>59.07</v>
      </c>
      <c r="O1450" s="6">
        <v>58.59</v>
      </c>
      <c r="P1450" s="6">
        <v>58.73</v>
      </c>
      <c r="Q1450" s="6">
        <v>49.692126999999999</v>
      </c>
      <c r="R1450" s="58">
        <v>1765000</v>
      </c>
    </row>
    <row r="1451" spans="12:18" x14ac:dyDescent="0.25">
      <c r="L1451" s="26">
        <v>41548</v>
      </c>
      <c r="M1451" s="6">
        <v>58.52</v>
      </c>
      <c r="N1451" s="6">
        <v>58.810001</v>
      </c>
      <c r="O1451" s="6">
        <v>58.34</v>
      </c>
      <c r="P1451" s="6">
        <v>58.75</v>
      </c>
      <c r="Q1451" s="6">
        <v>49.709049</v>
      </c>
      <c r="R1451" s="58">
        <v>2176600</v>
      </c>
    </row>
    <row r="1452" spans="12:18" x14ac:dyDescent="0.25">
      <c r="L1452" s="26">
        <v>41549</v>
      </c>
      <c r="M1452" s="6">
        <v>58.580002</v>
      </c>
      <c r="N1452" s="6">
        <v>58.91</v>
      </c>
      <c r="O1452" s="6">
        <v>58.009998000000003</v>
      </c>
      <c r="P1452" s="6">
        <v>58.889999000000003</v>
      </c>
      <c r="Q1452" s="6">
        <v>49.827499000000003</v>
      </c>
      <c r="R1452" s="58">
        <v>1721800</v>
      </c>
    </row>
    <row r="1453" spans="12:18" x14ac:dyDescent="0.25">
      <c r="L1453" s="26">
        <v>41550</v>
      </c>
      <c r="M1453" s="6">
        <v>58.779998999999997</v>
      </c>
      <c r="N1453" s="6">
        <v>59.18</v>
      </c>
      <c r="O1453" s="6">
        <v>58.560001</v>
      </c>
      <c r="P1453" s="6">
        <v>58.889999000000003</v>
      </c>
      <c r="Q1453" s="6">
        <v>49.827499000000003</v>
      </c>
      <c r="R1453" s="58">
        <v>1804900</v>
      </c>
    </row>
    <row r="1454" spans="12:18" x14ac:dyDescent="0.25">
      <c r="L1454" s="26">
        <v>41551</v>
      </c>
      <c r="M1454" s="6">
        <v>58.889999000000003</v>
      </c>
      <c r="N1454" s="6">
        <v>59.43</v>
      </c>
      <c r="O1454" s="6">
        <v>58.66</v>
      </c>
      <c r="P1454" s="6">
        <v>59.360000999999997</v>
      </c>
      <c r="Q1454" s="6">
        <v>50.225178</v>
      </c>
      <c r="R1454" s="58">
        <v>1348600</v>
      </c>
    </row>
    <row r="1455" spans="12:18" x14ac:dyDescent="0.25">
      <c r="L1455" s="26">
        <v>41554</v>
      </c>
      <c r="M1455" s="6">
        <v>59.029998999999997</v>
      </c>
      <c r="N1455" s="6">
        <v>59.779998999999997</v>
      </c>
      <c r="O1455" s="6">
        <v>59.02</v>
      </c>
      <c r="P1455" s="6">
        <v>59.52</v>
      </c>
      <c r="Q1455" s="6">
        <v>50.360557999999997</v>
      </c>
      <c r="R1455" s="58">
        <v>1444900</v>
      </c>
    </row>
    <row r="1456" spans="12:18" x14ac:dyDescent="0.25">
      <c r="L1456" s="26">
        <v>41555</v>
      </c>
      <c r="M1456" s="6">
        <v>59.5</v>
      </c>
      <c r="N1456" s="6">
        <v>60.029998999999997</v>
      </c>
      <c r="O1456" s="6">
        <v>59.139999000000003</v>
      </c>
      <c r="P1456" s="6">
        <v>59.599997999999999</v>
      </c>
      <c r="Q1456" s="6">
        <v>50.428238</v>
      </c>
      <c r="R1456" s="58">
        <v>2683200</v>
      </c>
    </row>
    <row r="1457" spans="12:18" x14ac:dyDescent="0.25">
      <c r="L1457" s="26">
        <v>41556</v>
      </c>
      <c r="M1457" s="6">
        <v>59.759998000000003</v>
      </c>
      <c r="N1457" s="6">
        <v>59.900002000000001</v>
      </c>
      <c r="O1457" s="6">
        <v>58.990001999999997</v>
      </c>
      <c r="P1457" s="6">
        <v>59.610000999999997</v>
      </c>
      <c r="Q1457" s="6">
        <v>50.436703000000001</v>
      </c>
      <c r="R1457" s="58">
        <v>2536600</v>
      </c>
    </row>
    <row r="1458" spans="12:18" x14ac:dyDescent="0.25">
      <c r="L1458" s="26">
        <v>41557</v>
      </c>
      <c r="M1458" s="6">
        <v>60.049999</v>
      </c>
      <c r="N1458" s="6">
        <v>60.66</v>
      </c>
      <c r="O1458" s="6">
        <v>59.84</v>
      </c>
      <c r="P1458" s="6">
        <v>60.66</v>
      </c>
      <c r="Q1458" s="6">
        <v>51.325114999999997</v>
      </c>
      <c r="R1458" s="58">
        <v>1075300</v>
      </c>
    </row>
    <row r="1459" spans="12:18" x14ac:dyDescent="0.25">
      <c r="L1459" s="26">
        <v>41558</v>
      </c>
      <c r="M1459" s="6">
        <v>60.669998</v>
      </c>
      <c r="N1459" s="6">
        <v>60.790000999999997</v>
      </c>
      <c r="O1459" s="6">
        <v>60.369999</v>
      </c>
      <c r="P1459" s="6">
        <v>60.759998000000003</v>
      </c>
      <c r="Q1459" s="6">
        <v>51.409725000000002</v>
      </c>
      <c r="R1459" s="58">
        <v>931400</v>
      </c>
    </row>
    <row r="1460" spans="12:18" x14ac:dyDescent="0.25">
      <c r="L1460" s="26">
        <v>41561</v>
      </c>
      <c r="M1460" s="6">
        <v>60.400002000000001</v>
      </c>
      <c r="N1460" s="6">
        <v>60.490001999999997</v>
      </c>
      <c r="O1460" s="6">
        <v>60.049999</v>
      </c>
      <c r="P1460" s="6">
        <v>60.290000999999997</v>
      </c>
      <c r="Q1460" s="6">
        <v>51.012058000000003</v>
      </c>
      <c r="R1460" s="58">
        <v>1195000</v>
      </c>
    </row>
    <row r="1461" spans="12:18" x14ac:dyDescent="0.25">
      <c r="L1461" s="26">
        <v>41562</v>
      </c>
      <c r="M1461" s="6">
        <v>60.279998999999997</v>
      </c>
      <c r="N1461" s="6">
        <v>60.450001</v>
      </c>
      <c r="O1461" s="6">
        <v>59.919998</v>
      </c>
      <c r="P1461" s="6">
        <v>59.990001999999997</v>
      </c>
      <c r="Q1461" s="6">
        <v>50.758223999999998</v>
      </c>
      <c r="R1461" s="58">
        <v>1005400</v>
      </c>
    </row>
    <row r="1462" spans="12:18" x14ac:dyDescent="0.25">
      <c r="L1462" s="26">
        <v>41563</v>
      </c>
      <c r="M1462" s="6">
        <v>60.34</v>
      </c>
      <c r="N1462" s="6">
        <v>61.080002</v>
      </c>
      <c r="O1462" s="6">
        <v>60.18</v>
      </c>
      <c r="P1462" s="6">
        <v>60.669998</v>
      </c>
      <c r="Q1462" s="6">
        <v>51.333579999999998</v>
      </c>
      <c r="R1462" s="58">
        <v>2181500</v>
      </c>
    </row>
    <row r="1463" spans="12:18" x14ac:dyDescent="0.25">
      <c r="L1463" s="26">
        <v>41564</v>
      </c>
      <c r="M1463" s="6">
        <v>60.52</v>
      </c>
      <c r="N1463" s="6">
        <v>61</v>
      </c>
      <c r="O1463" s="6">
        <v>60.400002000000001</v>
      </c>
      <c r="P1463" s="6">
        <v>60.959999000000003</v>
      </c>
      <c r="Q1463" s="6">
        <v>51.578957000000003</v>
      </c>
      <c r="R1463" s="58">
        <v>1374900</v>
      </c>
    </row>
    <row r="1464" spans="12:18" x14ac:dyDescent="0.25">
      <c r="L1464" s="26">
        <v>41565</v>
      </c>
      <c r="M1464" s="6">
        <v>61.049999</v>
      </c>
      <c r="N1464" s="6">
        <v>61.599997999999999</v>
      </c>
      <c r="O1464" s="6">
        <v>61.02</v>
      </c>
      <c r="P1464" s="6">
        <v>61.450001</v>
      </c>
      <c r="Q1464" s="6">
        <v>51.993549000000002</v>
      </c>
      <c r="R1464" s="58">
        <v>2213000</v>
      </c>
    </row>
    <row r="1465" spans="12:18" x14ac:dyDescent="0.25">
      <c r="L1465" s="26">
        <v>41568</v>
      </c>
      <c r="M1465" s="6">
        <v>60.5</v>
      </c>
      <c r="N1465" s="6">
        <v>61.110000999999997</v>
      </c>
      <c r="O1465" s="6">
        <v>60.25</v>
      </c>
      <c r="P1465" s="6">
        <v>61.049999</v>
      </c>
      <c r="Q1465" s="6">
        <v>51.655098000000002</v>
      </c>
      <c r="R1465" s="58">
        <v>1639200</v>
      </c>
    </row>
    <row r="1466" spans="12:18" x14ac:dyDescent="0.25">
      <c r="L1466" s="26">
        <v>41569</v>
      </c>
      <c r="M1466" s="6">
        <v>61.130001</v>
      </c>
      <c r="N1466" s="6">
        <v>62.060001</v>
      </c>
      <c r="O1466" s="6">
        <v>60.98</v>
      </c>
      <c r="P1466" s="6">
        <v>61.889999000000003</v>
      </c>
      <c r="Q1466" s="6">
        <v>52.365836999999999</v>
      </c>
      <c r="R1466" s="58">
        <v>1415400</v>
      </c>
    </row>
    <row r="1467" spans="12:18" x14ac:dyDescent="0.25">
      <c r="L1467" s="26">
        <v>41570</v>
      </c>
      <c r="M1467" s="6">
        <v>61.82</v>
      </c>
      <c r="N1467" s="6">
        <v>62.5</v>
      </c>
      <c r="O1467" s="6">
        <v>61.75</v>
      </c>
      <c r="P1467" s="6">
        <v>62.32</v>
      </c>
      <c r="Q1467" s="6">
        <v>52.729660000000003</v>
      </c>
      <c r="R1467" s="58">
        <v>1506300</v>
      </c>
    </row>
    <row r="1468" spans="12:18" x14ac:dyDescent="0.25">
      <c r="L1468" s="26">
        <v>41571</v>
      </c>
      <c r="M1468" s="6">
        <v>62.48</v>
      </c>
      <c r="N1468" s="6">
        <v>62.48</v>
      </c>
      <c r="O1468" s="6">
        <v>61.810001</v>
      </c>
      <c r="P1468" s="6">
        <v>62.130001</v>
      </c>
      <c r="Q1468" s="6">
        <v>52.568897</v>
      </c>
      <c r="R1468" s="58">
        <v>1142600</v>
      </c>
    </row>
    <row r="1469" spans="12:18" x14ac:dyDescent="0.25">
      <c r="L1469" s="26">
        <v>41572</v>
      </c>
      <c r="M1469" s="6">
        <v>62.02</v>
      </c>
      <c r="N1469" s="6">
        <v>62.43</v>
      </c>
      <c r="O1469" s="6">
        <v>61.779998999999997</v>
      </c>
      <c r="P1469" s="6">
        <v>62.43</v>
      </c>
      <c r="Q1469" s="6">
        <v>52.822735000000002</v>
      </c>
      <c r="R1469" s="58">
        <v>1108500</v>
      </c>
    </row>
    <row r="1470" spans="12:18" x14ac:dyDescent="0.25">
      <c r="L1470" s="26">
        <v>41575</v>
      </c>
      <c r="M1470" s="6">
        <v>62.419998</v>
      </c>
      <c r="N1470" s="6">
        <v>63.630001</v>
      </c>
      <c r="O1470" s="6">
        <v>62.330002</v>
      </c>
      <c r="P1470" s="6">
        <v>63.450001</v>
      </c>
      <c r="Q1470" s="6">
        <v>53.685780000000001</v>
      </c>
      <c r="R1470" s="58">
        <v>2928400</v>
      </c>
    </row>
    <row r="1471" spans="12:18" x14ac:dyDescent="0.25">
      <c r="L1471" s="26">
        <v>41576</v>
      </c>
      <c r="M1471" s="6">
        <v>63.610000999999997</v>
      </c>
      <c r="N1471" s="6">
        <v>64.400002000000001</v>
      </c>
      <c r="O1471" s="6">
        <v>63.509998000000003</v>
      </c>
      <c r="P1471" s="6">
        <v>64.279999000000004</v>
      </c>
      <c r="Q1471" s="6">
        <v>54.388041999999999</v>
      </c>
      <c r="R1471" s="58">
        <v>2444600</v>
      </c>
    </row>
    <row r="1472" spans="12:18" x14ac:dyDescent="0.25">
      <c r="L1472" s="26">
        <v>41577</v>
      </c>
      <c r="M1472" s="6">
        <v>64.160004000000001</v>
      </c>
      <c r="N1472" s="6">
        <v>64.279999000000004</v>
      </c>
      <c r="O1472" s="6">
        <v>63.66</v>
      </c>
      <c r="P1472" s="6">
        <v>63.790000999999997</v>
      </c>
      <c r="Q1472" s="6">
        <v>53.97345</v>
      </c>
      <c r="R1472" s="58">
        <v>1959700</v>
      </c>
    </row>
    <row r="1473" spans="12:18" x14ac:dyDescent="0.25">
      <c r="L1473" s="26">
        <v>41578</v>
      </c>
      <c r="M1473" s="6">
        <v>63.740001999999997</v>
      </c>
      <c r="N1473" s="6">
        <v>63.84</v>
      </c>
      <c r="O1473" s="6">
        <v>63.18</v>
      </c>
      <c r="P1473" s="6">
        <v>63.25</v>
      </c>
      <c r="Q1473" s="6">
        <v>53.516544000000003</v>
      </c>
      <c r="R1473" s="58">
        <v>1911700</v>
      </c>
    </row>
    <row r="1474" spans="12:18" x14ac:dyDescent="0.25">
      <c r="L1474" s="26">
        <v>41579</v>
      </c>
      <c r="M1474" s="6">
        <v>63.16</v>
      </c>
      <c r="N1474" s="6">
        <v>63.290000999999997</v>
      </c>
      <c r="O1474" s="6">
        <v>62.150002000000001</v>
      </c>
      <c r="P1474" s="6">
        <v>62.290000999999997</v>
      </c>
      <c r="Q1474" s="6">
        <v>52.704281000000002</v>
      </c>
      <c r="R1474" s="58">
        <v>3515300</v>
      </c>
    </row>
    <row r="1475" spans="12:18" x14ac:dyDescent="0.25">
      <c r="L1475" s="26">
        <v>41582</v>
      </c>
      <c r="M1475" s="6">
        <v>63.509998000000003</v>
      </c>
      <c r="N1475" s="6">
        <v>64.919998000000007</v>
      </c>
      <c r="O1475" s="6">
        <v>62.470001000000003</v>
      </c>
      <c r="P1475" s="6">
        <v>62.720001000000003</v>
      </c>
      <c r="Q1475" s="6">
        <v>53.068111000000002</v>
      </c>
      <c r="R1475" s="58">
        <v>6389400</v>
      </c>
    </row>
    <row r="1476" spans="12:18" x14ac:dyDescent="0.25">
      <c r="L1476" s="26">
        <v>41583</v>
      </c>
      <c r="M1476" s="6">
        <v>62.169998</v>
      </c>
      <c r="N1476" s="6">
        <v>63.279998999999997</v>
      </c>
      <c r="O1476" s="6">
        <v>61.82</v>
      </c>
      <c r="P1476" s="6">
        <v>63.09</v>
      </c>
      <c r="Q1476" s="6">
        <v>53.381168000000002</v>
      </c>
      <c r="R1476" s="58">
        <v>2350000</v>
      </c>
    </row>
    <row r="1477" spans="12:18" x14ac:dyDescent="0.25">
      <c r="L1477" s="26">
        <v>41584</v>
      </c>
      <c r="M1477" s="6">
        <v>63.16</v>
      </c>
      <c r="N1477" s="6">
        <v>63.580002</v>
      </c>
      <c r="O1477" s="6">
        <v>62.950001</v>
      </c>
      <c r="P1477" s="6">
        <v>63.349997999999999</v>
      </c>
      <c r="Q1477" s="6">
        <v>53.601157999999998</v>
      </c>
      <c r="R1477" s="58">
        <v>1683700</v>
      </c>
    </row>
    <row r="1478" spans="12:18" x14ac:dyDescent="0.25">
      <c r="L1478" s="26">
        <v>41585</v>
      </c>
      <c r="M1478" s="6">
        <v>63.349997999999999</v>
      </c>
      <c r="N1478" s="6">
        <v>63.5</v>
      </c>
      <c r="O1478" s="6">
        <v>62.040000999999997</v>
      </c>
      <c r="P1478" s="6">
        <v>62.080002</v>
      </c>
      <c r="Q1478" s="6">
        <v>52.526587999999997</v>
      </c>
      <c r="R1478" s="58">
        <v>1495400</v>
      </c>
    </row>
    <row r="1479" spans="12:18" x14ac:dyDescent="0.25">
      <c r="L1479" s="26">
        <v>41586</v>
      </c>
      <c r="M1479" s="6">
        <v>61.919998</v>
      </c>
      <c r="N1479" s="6">
        <v>62.189999</v>
      </c>
      <c r="O1479" s="6">
        <v>61.27</v>
      </c>
      <c r="P1479" s="6">
        <v>62.189999</v>
      </c>
      <c r="Q1479" s="6">
        <v>52.619667</v>
      </c>
      <c r="R1479" s="58">
        <v>1460600</v>
      </c>
    </row>
    <row r="1480" spans="12:18" x14ac:dyDescent="0.25">
      <c r="L1480" s="26">
        <v>41589</v>
      </c>
      <c r="M1480" s="6">
        <v>62.349997999999999</v>
      </c>
      <c r="N1480" s="6">
        <v>62.560001</v>
      </c>
      <c r="O1480" s="6">
        <v>61.700001</v>
      </c>
      <c r="P1480" s="6">
        <v>61.939999</v>
      </c>
      <c r="Q1480" s="6">
        <v>52.408133999999997</v>
      </c>
      <c r="R1480" s="58">
        <v>900300</v>
      </c>
    </row>
    <row r="1481" spans="12:18" x14ac:dyDescent="0.25">
      <c r="L1481" s="26">
        <v>41590</v>
      </c>
      <c r="M1481" s="6">
        <v>61.93</v>
      </c>
      <c r="N1481" s="6">
        <v>62.049999</v>
      </c>
      <c r="O1481" s="6">
        <v>61.580002</v>
      </c>
      <c r="P1481" s="6">
        <v>62.049999</v>
      </c>
      <c r="Q1481" s="6">
        <v>52.501209000000003</v>
      </c>
      <c r="R1481" s="58">
        <v>1175400</v>
      </c>
    </row>
    <row r="1482" spans="12:18" x14ac:dyDescent="0.25">
      <c r="L1482" s="26">
        <v>41591</v>
      </c>
      <c r="M1482" s="6">
        <v>61.639999000000003</v>
      </c>
      <c r="N1482" s="6">
        <v>62.48</v>
      </c>
      <c r="O1482" s="6">
        <v>61.459999000000003</v>
      </c>
      <c r="P1482" s="6">
        <v>62.470001000000003</v>
      </c>
      <c r="Q1482" s="6">
        <v>52.856583000000001</v>
      </c>
      <c r="R1482" s="58">
        <v>1558900</v>
      </c>
    </row>
    <row r="1483" spans="12:18" x14ac:dyDescent="0.25">
      <c r="L1483" s="26">
        <v>41592</v>
      </c>
      <c r="M1483" s="6">
        <v>62.73</v>
      </c>
      <c r="N1483" s="6">
        <v>63.32</v>
      </c>
      <c r="O1483" s="6">
        <v>62.540000999999997</v>
      </c>
      <c r="P1483" s="6">
        <v>63.299999</v>
      </c>
      <c r="Q1483" s="6">
        <v>53.558857000000003</v>
      </c>
      <c r="R1483" s="58">
        <v>1659700</v>
      </c>
    </row>
    <row r="1484" spans="12:18" x14ac:dyDescent="0.25">
      <c r="L1484" s="26">
        <v>41593</v>
      </c>
      <c r="M1484" s="6">
        <v>63</v>
      </c>
      <c r="N1484" s="6">
        <v>63.099997999999999</v>
      </c>
      <c r="O1484" s="6">
        <v>62.330002</v>
      </c>
      <c r="P1484" s="6">
        <v>62.610000999999997</v>
      </c>
      <c r="Q1484" s="6">
        <v>52.975037</v>
      </c>
      <c r="R1484" s="58">
        <v>1665500</v>
      </c>
    </row>
    <row r="1485" spans="12:18" x14ac:dyDescent="0.25">
      <c r="L1485" s="26">
        <v>41596</v>
      </c>
      <c r="M1485" s="6">
        <v>62.860000999999997</v>
      </c>
      <c r="N1485" s="6">
        <v>62.860000999999997</v>
      </c>
      <c r="O1485" s="6">
        <v>62</v>
      </c>
      <c r="P1485" s="6">
        <v>62.369999</v>
      </c>
      <c r="Q1485" s="6">
        <v>52.771965000000002</v>
      </c>
      <c r="R1485" s="58">
        <v>1233200</v>
      </c>
    </row>
    <row r="1486" spans="12:18" x14ac:dyDescent="0.25">
      <c r="L1486" s="26">
        <v>41597</v>
      </c>
      <c r="M1486" s="6">
        <v>62.139999000000003</v>
      </c>
      <c r="N1486" s="6">
        <v>62.25</v>
      </c>
      <c r="O1486" s="6">
        <v>61.669998</v>
      </c>
      <c r="P1486" s="6">
        <v>61.709999000000003</v>
      </c>
      <c r="Q1486" s="6">
        <v>52.213531000000003</v>
      </c>
      <c r="R1486" s="58">
        <v>1850500</v>
      </c>
    </row>
    <row r="1487" spans="12:18" x14ac:dyDescent="0.25">
      <c r="L1487" s="26">
        <v>41598</v>
      </c>
      <c r="M1487" s="6">
        <v>61.639999000000003</v>
      </c>
      <c r="N1487" s="6">
        <v>61.950001</v>
      </c>
      <c r="O1487" s="6">
        <v>61.029998999999997</v>
      </c>
      <c r="P1487" s="6">
        <v>61.139999000000003</v>
      </c>
      <c r="Q1487" s="6">
        <v>51.731247000000003</v>
      </c>
      <c r="R1487" s="58">
        <v>1792300</v>
      </c>
    </row>
    <row r="1488" spans="12:18" x14ac:dyDescent="0.25">
      <c r="L1488" s="26">
        <v>41599</v>
      </c>
      <c r="M1488" s="6">
        <v>61.450001</v>
      </c>
      <c r="N1488" s="6">
        <v>61.990001999999997</v>
      </c>
      <c r="O1488" s="6">
        <v>61.279998999999997</v>
      </c>
      <c r="P1488" s="6">
        <v>61.740001999999997</v>
      </c>
      <c r="Q1488" s="6">
        <v>52.238922000000002</v>
      </c>
      <c r="R1488" s="58">
        <v>4853800</v>
      </c>
    </row>
    <row r="1489" spans="12:18" x14ac:dyDescent="0.25">
      <c r="L1489" s="26">
        <v>41600</v>
      </c>
      <c r="M1489" s="6">
        <v>61.830002</v>
      </c>
      <c r="N1489" s="6">
        <v>62.509998000000003</v>
      </c>
      <c r="O1489" s="6">
        <v>61.549999</v>
      </c>
      <c r="P1489" s="6">
        <v>62.470001000000003</v>
      </c>
      <c r="Q1489" s="6">
        <v>52.856583000000001</v>
      </c>
      <c r="R1489" s="58">
        <v>5072500</v>
      </c>
    </row>
    <row r="1490" spans="12:18" x14ac:dyDescent="0.25">
      <c r="L1490" s="26">
        <v>41603</v>
      </c>
      <c r="M1490" s="6">
        <v>62.709999000000003</v>
      </c>
      <c r="N1490" s="6">
        <v>62.75</v>
      </c>
      <c r="O1490" s="6">
        <v>62.009998000000003</v>
      </c>
      <c r="P1490" s="6">
        <v>62.130001</v>
      </c>
      <c r="Q1490" s="6">
        <v>52.568897</v>
      </c>
      <c r="R1490" s="58">
        <v>1173400</v>
      </c>
    </row>
    <row r="1491" spans="12:18" x14ac:dyDescent="0.25">
      <c r="L1491" s="26">
        <v>41604</v>
      </c>
      <c r="M1491" s="6">
        <v>62.009998000000003</v>
      </c>
      <c r="N1491" s="6">
        <v>62.169998</v>
      </c>
      <c r="O1491" s="6">
        <v>61.380001</v>
      </c>
      <c r="P1491" s="6">
        <v>61.73</v>
      </c>
      <c r="Q1491" s="6">
        <v>52.230465000000002</v>
      </c>
      <c r="R1491" s="58">
        <v>2366700</v>
      </c>
    </row>
    <row r="1492" spans="12:18" x14ac:dyDescent="0.25">
      <c r="L1492" s="26">
        <v>41605</v>
      </c>
      <c r="M1492" s="6">
        <v>61.34</v>
      </c>
      <c r="N1492" s="6">
        <v>61.52</v>
      </c>
      <c r="O1492" s="6">
        <v>60.860000999999997</v>
      </c>
      <c r="P1492" s="6">
        <v>60.880001</v>
      </c>
      <c r="Q1492" s="6">
        <v>51.898003000000003</v>
      </c>
      <c r="R1492" s="58">
        <v>1632700</v>
      </c>
    </row>
    <row r="1493" spans="12:18" x14ac:dyDescent="0.25">
      <c r="L1493" s="26">
        <v>41607</v>
      </c>
      <c r="M1493" s="6">
        <v>60.93</v>
      </c>
      <c r="N1493" s="6">
        <v>61</v>
      </c>
      <c r="O1493" s="6">
        <v>60.59</v>
      </c>
      <c r="P1493" s="6">
        <v>60.639999000000003</v>
      </c>
      <c r="Q1493" s="6">
        <v>51.693409000000003</v>
      </c>
      <c r="R1493" s="58">
        <v>1071000</v>
      </c>
    </row>
    <row r="1494" spans="12:18" x14ac:dyDescent="0.25">
      <c r="L1494" s="26">
        <v>41610</v>
      </c>
      <c r="M1494" s="6">
        <v>60.639999000000003</v>
      </c>
      <c r="N1494" s="6">
        <v>60.880001</v>
      </c>
      <c r="O1494" s="6">
        <v>60.23</v>
      </c>
      <c r="P1494" s="6">
        <v>60.59</v>
      </c>
      <c r="Q1494" s="6">
        <v>51.650790999999998</v>
      </c>
      <c r="R1494" s="58">
        <v>1912000</v>
      </c>
    </row>
    <row r="1495" spans="12:18" x14ac:dyDescent="0.25">
      <c r="L1495" s="26">
        <v>41611</v>
      </c>
      <c r="M1495" s="6">
        <v>60.419998</v>
      </c>
      <c r="N1495" s="6">
        <v>61.259998000000003</v>
      </c>
      <c r="O1495" s="6">
        <v>60.419998</v>
      </c>
      <c r="P1495" s="6">
        <v>61.130001</v>
      </c>
      <c r="Q1495" s="6">
        <v>52.111111000000001</v>
      </c>
      <c r="R1495" s="58">
        <v>2826700</v>
      </c>
    </row>
    <row r="1496" spans="12:18" x14ac:dyDescent="0.25">
      <c r="L1496" s="26">
        <v>41612</v>
      </c>
      <c r="M1496" s="6">
        <v>60.91</v>
      </c>
      <c r="N1496" s="6">
        <v>61.16</v>
      </c>
      <c r="O1496" s="6">
        <v>60.630001</v>
      </c>
      <c r="P1496" s="6">
        <v>60.900002000000001</v>
      </c>
      <c r="Q1496" s="6">
        <v>51.915050999999998</v>
      </c>
      <c r="R1496" s="58">
        <v>1596000</v>
      </c>
    </row>
    <row r="1497" spans="12:18" x14ac:dyDescent="0.25">
      <c r="L1497" s="26">
        <v>41613</v>
      </c>
      <c r="M1497" s="6">
        <v>60.810001</v>
      </c>
      <c r="N1497" s="6">
        <v>60.889999000000003</v>
      </c>
      <c r="O1497" s="6">
        <v>60.5</v>
      </c>
      <c r="P1497" s="6">
        <v>60.580002</v>
      </c>
      <c r="Q1497" s="6">
        <v>51.642257999999998</v>
      </c>
      <c r="R1497" s="58">
        <v>1161600</v>
      </c>
    </row>
    <row r="1498" spans="12:18" x14ac:dyDescent="0.25">
      <c r="L1498" s="26">
        <v>41614</v>
      </c>
      <c r="M1498" s="6">
        <v>60.990001999999997</v>
      </c>
      <c r="N1498" s="6">
        <v>61.709999000000003</v>
      </c>
      <c r="O1498" s="6">
        <v>60.98</v>
      </c>
      <c r="P1498" s="6">
        <v>61.639999000000003</v>
      </c>
      <c r="Q1498" s="6">
        <v>52.545878999999999</v>
      </c>
      <c r="R1498" s="58">
        <v>1530400</v>
      </c>
    </row>
    <row r="1499" spans="12:18" x14ac:dyDescent="0.25">
      <c r="L1499" s="26">
        <v>41617</v>
      </c>
      <c r="M1499" s="6">
        <v>61.709999000000003</v>
      </c>
      <c r="N1499" s="6">
        <v>62.310001</v>
      </c>
      <c r="O1499" s="6">
        <v>61.709999000000003</v>
      </c>
      <c r="P1499" s="6">
        <v>61.939999</v>
      </c>
      <c r="Q1499" s="6">
        <v>52.801605000000002</v>
      </c>
      <c r="R1499" s="58">
        <v>1722800</v>
      </c>
    </row>
    <row r="1500" spans="12:18" x14ac:dyDescent="0.25">
      <c r="L1500" s="26">
        <v>41618</v>
      </c>
      <c r="M1500" s="6">
        <v>61.759998000000003</v>
      </c>
      <c r="N1500" s="6">
        <v>61.880001</v>
      </c>
      <c r="O1500" s="6">
        <v>60.970001000000003</v>
      </c>
      <c r="P1500" s="6">
        <v>61.09</v>
      </c>
      <c r="Q1500" s="6">
        <v>52.077019</v>
      </c>
      <c r="R1500" s="58">
        <v>1398500</v>
      </c>
    </row>
    <row r="1501" spans="12:18" x14ac:dyDescent="0.25">
      <c r="L1501" s="26">
        <v>41619</v>
      </c>
      <c r="M1501" s="6">
        <v>61.25</v>
      </c>
      <c r="N1501" s="6">
        <v>61.52</v>
      </c>
      <c r="O1501" s="6">
        <v>60.970001000000003</v>
      </c>
      <c r="P1501" s="6">
        <v>61.040000999999997</v>
      </c>
      <c r="Q1501" s="6">
        <v>52.034396999999998</v>
      </c>
      <c r="R1501" s="58">
        <v>2012100</v>
      </c>
    </row>
    <row r="1502" spans="12:18" x14ac:dyDescent="0.25">
      <c r="L1502" s="26">
        <v>41620</v>
      </c>
      <c r="M1502" s="6">
        <v>61.119999</v>
      </c>
      <c r="N1502" s="6">
        <v>61.200001</v>
      </c>
      <c r="O1502" s="6">
        <v>60.59</v>
      </c>
      <c r="P1502" s="6">
        <v>60.639999000000003</v>
      </c>
      <c r="Q1502" s="6">
        <v>51.693409000000003</v>
      </c>
      <c r="R1502" s="58">
        <v>1620400</v>
      </c>
    </row>
    <row r="1503" spans="12:18" x14ac:dyDescent="0.25">
      <c r="L1503" s="26">
        <v>41621</v>
      </c>
      <c r="M1503" s="6">
        <v>60.849997999999999</v>
      </c>
      <c r="N1503" s="6">
        <v>60.869999</v>
      </c>
      <c r="O1503" s="6">
        <v>60.259998000000003</v>
      </c>
      <c r="P1503" s="6">
        <v>60.5</v>
      </c>
      <c r="Q1503" s="6">
        <v>51.574066000000002</v>
      </c>
      <c r="R1503" s="58">
        <v>1308000</v>
      </c>
    </row>
    <row r="1504" spans="12:18" x14ac:dyDescent="0.25">
      <c r="L1504" s="26">
        <v>41624</v>
      </c>
      <c r="M1504" s="6">
        <v>60.830002</v>
      </c>
      <c r="N1504" s="6">
        <v>60.950001</v>
      </c>
      <c r="O1504" s="6">
        <v>60.259998000000003</v>
      </c>
      <c r="P1504" s="6">
        <v>60.43</v>
      </c>
      <c r="Q1504" s="6">
        <v>51.514392999999998</v>
      </c>
      <c r="R1504" s="58">
        <v>1426100</v>
      </c>
    </row>
    <row r="1505" spans="12:18" x14ac:dyDescent="0.25">
      <c r="L1505" s="26">
        <v>41625</v>
      </c>
      <c r="M1505" s="6">
        <v>60.5</v>
      </c>
      <c r="N1505" s="6">
        <v>60.529998999999997</v>
      </c>
      <c r="O1505" s="6">
        <v>59.900002000000001</v>
      </c>
      <c r="P1505" s="6">
        <v>60.34</v>
      </c>
      <c r="Q1505" s="6">
        <v>51.437668000000002</v>
      </c>
      <c r="R1505" s="58">
        <v>1328300</v>
      </c>
    </row>
    <row r="1506" spans="12:18" x14ac:dyDescent="0.25">
      <c r="L1506" s="26">
        <v>41626</v>
      </c>
      <c r="M1506" s="6">
        <v>59.919998</v>
      </c>
      <c r="N1506" s="6">
        <v>60.57</v>
      </c>
      <c r="O1506" s="6">
        <v>59.580002</v>
      </c>
      <c r="P1506" s="6">
        <v>60.529998999999997</v>
      </c>
      <c r="Q1506" s="6">
        <v>51.599632</v>
      </c>
      <c r="R1506" s="58">
        <v>2530300</v>
      </c>
    </row>
    <row r="1507" spans="12:18" x14ac:dyDescent="0.25">
      <c r="L1507" s="26">
        <v>41627</v>
      </c>
      <c r="M1507" s="6">
        <v>60.439999</v>
      </c>
      <c r="N1507" s="6">
        <v>60.689999</v>
      </c>
      <c r="O1507" s="6">
        <v>60.040000999999997</v>
      </c>
      <c r="P1507" s="6">
        <v>60.599997999999999</v>
      </c>
      <c r="Q1507" s="6">
        <v>51.659301999999997</v>
      </c>
      <c r="R1507" s="58">
        <v>1412700</v>
      </c>
    </row>
    <row r="1508" spans="12:18" x14ac:dyDescent="0.25">
      <c r="L1508" s="26">
        <v>41628</v>
      </c>
      <c r="M1508" s="6">
        <v>60.59</v>
      </c>
      <c r="N1508" s="6">
        <v>61.130001</v>
      </c>
      <c r="O1508" s="6">
        <v>60.43</v>
      </c>
      <c r="P1508" s="6">
        <v>60.52</v>
      </c>
      <c r="Q1508" s="6">
        <v>51.591113999999997</v>
      </c>
      <c r="R1508" s="58">
        <v>1848800</v>
      </c>
    </row>
    <row r="1509" spans="12:18" x14ac:dyDescent="0.25">
      <c r="L1509" s="26">
        <v>41631</v>
      </c>
      <c r="M1509" s="6">
        <v>60.18</v>
      </c>
      <c r="N1509" s="6">
        <v>60.470001000000003</v>
      </c>
      <c r="O1509" s="6">
        <v>59.869999</v>
      </c>
      <c r="P1509" s="6">
        <v>60.34</v>
      </c>
      <c r="Q1509" s="6">
        <v>51.437668000000002</v>
      </c>
      <c r="R1509" s="58">
        <v>1766500</v>
      </c>
    </row>
    <row r="1510" spans="12:18" x14ac:dyDescent="0.25">
      <c r="L1510" s="26">
        <v>41632</v>
      </c>
      <c r="M1510" s="6">
        <v>60.43</v>
      </c>
      <c r="N1510" s="6">
        <v>60.52</v>
      </c>
      <c r="O1510" s="6">
        <v>60.200001</v>
      </c>
      <c r="P1510" s="6">
        <v>60.25</v>
      </c>
      <c r="Q1510" s="6">
        <v>51.360954</v>
      </c>
      <c r="R1510" s="58">
        <v>771500</v>
      </c>
    </row>
    <row r="1511" spans="12:18" x14ac:dyDescent="0.25">
      <c r="L1511" s="26">
        <v>41634</v>
      </c>
      <c r="M1511" s="6">
        <v>60.43</v>
      </c>
      <c r="N1511" s="6">
        <v>60.830002</v>
      </c>
      <c r="O1511" s="6">
        <v>60.279998999999997</v>
      </c>
      <c r="P1511" s="6">
        <v>60.720001000000003</v>
      </c>
      <c r="Q1511" s="6">
        <v>51.761603999999998</v>
      </c>
      <c r="R1511" s="58">
        <v>944300</v>
      </c>
    </row>
    <row r="1512" spans="12:18" x14ac:dyDescent="0.25">
      <c r="L1512" s="26">
        <v>41635</v>
      </c>
      <c r="M1512" s="6">
        <v>60.720001000000003</v>
      </c>
      <c r="N1512" s="6">
        <v>61.18</v>
      </c>
      <c r="O1512" s="6">
        <v>60.689999</v>
      </c>
      <c r="P1512" s="6">
        <v>60.98</v>
      </c>
      <c r="Q1512" s="6">
        <v>51.983252999999998</v>
      </c>
      <c r="R1512" s="58">
        <v>1026400</v>
      </c>
    </row>
    <row r="1513" spans="12:18" x14ac:dyDescent="0.25">
      <c r="L1513" s="26">
        <v>41638</v>
      </c>
      <c r="M1513" s="6">
        <v>60.970001000000003</v>
      </c>
      <c r="N1513" s="6">
        <v>61.389999000000003</v>
      </c>
      <c r="O1513" s="6">
        <v>60.959999000000003</v>
      </c>
      <c r="P1513" s="6">
        <v>61.259998000000003</v>
      </c>
      <c r="Q1513" s="6">
        <v>52.221938999999999</v>
      </c>
      <c r="R1513" s="58">
        <v>1593100</v>
      </c>
    </row>
    <row r="1514" spans="12:18" x14ac:dyDescent="0.25">
      <c r="L1514" s="26">
        <v>41639</v>
      </c>
      <c r="M1514" s="6">
        <v>61.279998999999997</v>
      </c>
      <c r="N1514" s="6">
        <v>61.580002</v>
      </c>
      <c r="O1514" s="6">
        <v>60.919998</v>
      </c>
      <c r="P1514" s="6">
        <v>61.07</v>
      </c>
      <c r="Q1514" s="6">
        <v>52.059975000000001</v>
      </c>
      <c r="R1514" s="58">
        <v>1526300</v>
      </c>
    </row>
    <row r="1515" spans="12:18" x14ac:dyDescent="0.25">
      <c r="L1515" s="26">
        <v>41641</v>
      </c>
      <c r="M1515" s="6">
        <v>60.98</v>
      </c>
      <c r="N1515" s="6">
        <v>61.240001999999997</v>
      </c>
      <c r="O1515" s="6">
        <v>60.549999</v>
      </c>
      <c r="P1515" s="6">
        <v>60.810001</v>
      </c>
      <c r="Q1515" s="6">
        <v>51.838329000000002</v>
      </c>
      <c r="R1515" s="58">
        <v>1830500</v>
      </c>
    </row>
    <row r="1516" spans="12:18" x14ac:dyDescent="0.25">
      <c r="L1516" s="26">
        <v>41642</v>
      </c>
      <c r="M1516" s="6">
        <v>60.990001999999997</v>
      </c>
      <c r="N1516" s="6">
        <v>61.080002</v>
      </c>
      <c r="O1516" s="6">
        <v>60.540000999999997</v>
      </c>
      <c r="P1516" s="6">
        <v>60.580002</v>
      </c>
      <c r="Q1516" s="6">
        <v>51.642257999999998</v>
      </c>
      <c r="R1516" s="58">
        <v>1413700</v>
      </c>
    </row>
    <row r="1517" spans="12:18" x14ac:dyDescent="0.25">
      <c r="L1517" s="26">
        <v>41645</v>
      </c>
      <c r="M1517" s="6">
        <v>60.790000999999997</v>
      </c>
      <c r="N1517" s="6">
        <v>60.790000999999997</v>
      </c>
      <c r="O1517" s="6">
        <v>59.880001</v>
      </c>
      <c r="P1517" s="6">
        <v>60.25</v>
      </c>
      <c r="Q1517" s="6">
        <v>51.360954</v>
      </c>
      <c r="R1517" s="58">
        <v>1989200</v>
      </c>
    </row>
    <row r="1518" spans="12:18" x14ac:dyDescent="0.25">
      <c r="L1518" s="26">
        <v>41646</v>
      </c>
      <c r="M1518" s="6">
        <v>60.619999</v>
      </c>
      <c r="N1518" s="6">
        <v>60.98</v>
      </c>
      <c r="O1518" s="6">
        <v>60.380001</v>
      </c>
      <c r="P1518" s="6">
        <v>60.799999</v>
      </c>
      <c r="Q1518" s="6">
        <v>51.829796000000002</v>
      </c>
      <c r="R1518" s="58">
        <v>1762000</v>
      </c>
    </row>
    <row r="1519" spans="12:18" x14ac:dyDescent="0.25">
      <c r="L1519" s="26">
        <v>41647</v>
      </c>
      <c r="M1519" s="6">
        <v>60.77</v>
      </c>
      <c r="N1519" s="6">
        <v>60.77</v>
      </c>
      <c r="O1519" s="6">
        <v>60.029998999999997</v>
      </c>
      <c r="P1519" s="6">
        <v>60.18</v>
      </c>
      <c r="Q1519" s="6">
        <v>51.301276999999999</v>
      </c>
      <c r="R1519" s="58">
        <v>2058700</v>
      </c>
    </row>
    <row r="1520" spans="12:18" x14ac:dyDescent="0.25">
      <c r="L1520" s="26">
        <v>41648</v>
      </c>
      <c r="M1520" s="6">
        <v>60.220001000000003</v>
      </c>
      <c r="N1520" s="6">
        <v>60.470001000000003</v>
      </c>
      <c r="O1520" s="6">
        <v>59.84</v>
      </c>
      <c r="P1520" s="6">
        <v>60.279998999999997</v>
      </c>
      <c r="Q1520" s="6">
        <v>51.386519999999997</v>
      </c>
      <c r="R1520" s="58">
        <v>1525800</v>
      </c>
    </row>
    <row r="1521" spans="12:18" x14ac:dyDescent="0.25">
      <c r="L1521" s="26">
        <v>41649</v>
      </c>
      <c r="M1521" s="6">
        <v>60.389999000000003</v>
      </c>
      <c r="N1521" s="6">
        <v>60.84</v>
      </c>
      <c r="O1521" s="6">
        <v>60.389999000000003</v>
      </c>
      <c r="P1521" s="6">
        <v>60.779998999999997</v>
      </c>
      <c r="Q1521" s="6">
        <v>51.812752000000003</v>
      </c>
      <c r="R1521" s="58">
        <v>1046600</v>
      </c>
    </row>
    <row r="1522" spans="12:18" x14ac:dyDescent="0.25">
      <c r="L1522" s="26">
        <v>41652</v>
      </c>
      <c r="M1522" s="6">
        <v>60.650002000000001</v>
      </c>
      <c r="N1522" s="6">
        <v>61.259998000000003</v>
      </c>
      <c r="O1522" s="6">
        <v>60.380001</v>
      </c>
      <c r="P1522" s="6">
        <v>60.43</v>
      </c>
      <c r="Q1522" s="6">
        <v>51.514392999999998</v>
      </c>
      <c r="R1522" s="58">
        <v>1732500</v>
      </c>
    </row>
    <row r="1523" spans="12:18" x14ac:dyDescent="0.25">
      <c r="L1523" s="26">
        <v>41653</v>
      </c>
      <c r="M1523" s="6">
        <v>60.549999</v>
      </c>
      <c r="N1523" s="6">
        <v>61.220001000000003</v>
      </c>
      <c r="O1523" s="6">
        <v>60.509998000000003</v>
      </c>
      <c r="P1523" s="6">
        <v>60.889999000000003</v>
      </c>
      <c r="Q1523" s="6">
        <v>51.906512999999997</v>
      </c>
      <c r="R1523" s="58">
        <v>1845600</v>
      </c>
    </row>
    <row r="1524" spans="12:18" x14ac:dyDescent="0.25">
      <c r="L1524" s="26">
        <v>41654</v>
      </c>
      <c r="M1524" s="6">
        <v>61.02</v>
      </c>
      <c r="N1524" s="6">
        <v>61.360000999999997</v>
      </c>
      <c r="O1524" s="6">
        <v>60.580002</v>
      </c>
      <c r="P1524" s="6">
        <v>61.099997999999999</v>
      </c>
      <c r="Q1524" s="6">
        <v>52.085537000000002</v>
      </c>
      <c r="R1524" s="58">
        <v>1447000</v>
      </c>
    </row>
    <row r="1525" spans="12:18" x14ac:dyDescent="0.25">
      <c r="L1525" s="26">
        <v>41655</v>
      </c>
      <c r="M1525" s="6">
        <v>60.849997999999999</v>
      </c>
      <c r="N1525" s="6">
        <v>61.299999</v>
      </c>
      <c r="O1525" s="6">
        <v>60.77</v>
      </c>
      <c r="P1525" s="6">
        <v>61.290000999999997</v>
      </c>
      <c r="Q1525" s="6">
        <v>52.247512999999998</v>
      </c>
      <c r="R1525" s="58">
        <v>1522100</v>
      </c>
    </row>
    <row r="1526" spans="12:18" x14ac:dyDescent="0.25">
      <c r="L1526" s="26">
        <v>41656</v>
      </c>
      <c r="M1526" s="6">
        <v>61.27</v>
      </c>
      <c r="N1526" s="6">
        <v>61.27</v>
      </c>
      <c r="O1526" s="6">
        <v>60.380001</v>
      </c>
      <c r="P1526" s="6">
        <v>60.470001000000003</v>
      </c>
      <c r="Q1526" s="6">
        <v>51.548488999999996</v>
      </c>
      <c r="R1526" s="58">
        <v>2113500</v>
      </c>
    </row>
    <row r="1527" spans="12:18" x14ac:dyDescent="0.25">
      <c r="L1527" s="26">
        <v>41660</v>
      </c>
      <c r="M1527" s="6">
        <v>60.959999000000003</v>
      </c>
      <c r="N1527" s="6">
        <v>61.110000999999997</v>
      </c>
      <c r="O1527" s="6">
        <v>60.560001</v>
      </c>
      <c r="P1527" s="6">
        <v>60.759998000000003</v>
      </c>
      <c r="Q1527" s="6">
        <v>51.795707999999998</v>
      </c>
      <c r="R1527" s="58">
        <v>1143400</v>
      </c>
    </row>
    <row r="1528" spans="12:18" x14ac:dyDescent="0.25">
      <c r="L1528" s="26">
        <v>41661</v>
      </c>
      <c r="M1528" s="6">
        <v>60.759998000000003</v>
      </c>
      <c r="N1528" s="6">
        <v>61.110000999999997</v>
      </c>
      <c r="O1528" s="6">
        <v>60.27</v>
      </c>
      <c r="P1528" s="6">
        <v>61.009998000000003</v>
      </c>
      <c r="Q1528" s="6">
        <v>52.00882</v>
      </c>
      <c r="R1528" s="58">
        <v>1519300</v>
      </c>
    </row>
    <row r="1529" spans="12:18" x14ac:dyDescent="0.25">
      <c r="L1529" s="26">
        <v>41662</v>
      </c>
      <c r="M1529" s="6">
        <v>60.779998999999997</v>
      </c>
      <c r="N1529" s="6">
        <v>60.830002</v>
      </c>
      <c r="O1529" s="6">
        <v>60.25</v>
      </c>
      <c r="P1529" s="6">
        <v>60.5</v>
      </c>
      <c r="Q1529" s="6">
        <v>51.574066000000002</v>
      </c>
      <c r="R1529" s="58">
        <v>1026100</v>
      </c>
    </row>
    <row r="1530" spans="12:18" x14ac:dyDescent="0.25">
      <c r="L1530" s="26">
        <v>41663</v>
      </c>
      <c r="M1530" s="6">
        <v>60.360000999999997</v>
      </c>
      <c r="N1530" s="6">
        <v>60.580002</v>
      </c>
      <c r="O1530" s="6">
        <v>59.830002</v>
      </c>
      <c r="P1530" s="6">
        <v>59.830002</v>
      </c>
      <c r="Q1530" s="6">
        <v>51.002907</v>
      </c>
      <c r="R1530" s="58">
        <v>1939500</v>
      </c>
    </row>
    <row r="1531" spans="12:18" x14ac:dyDescent="0.25">
      <c r="L1531" s="26">
        <v>41666</v>
      </c>
      <c r="M1531" s="6">
        <v>59.830002</v>
      </c>
      <c r="N1531" s="6">
        <v>60.25</v>
      </c>
      <c r="O1531" s="6">
        <v>59.75</v>
      </c>
      <c r="P1531" s="6">
        <v>59.860000999999997</v>
      </c>
      <c r="Q1531" s="6">
        <v>51.028483999999999</v>
      </c>
      <c r="R1531" s="58">
        <v>1399800</v>
      </c>
    </row>
    <row r="1532" spans="12:18" x14ac:dyDescent="0.25">
      <c r="L1532" s="26">
        <v>41667</v>
      </c>
      <c r="M1532" s="6">
        <v>59.990001999999997</v>
      </c>
      <c r="N1532" s="6">
        <v>60.389999000000003</v>
      </c>
      <c r="O1532" s="6">
        <v>59.720001000000003</v>
      </c>
      <c r="P1532" s="6">
        <v>60.029998999999997</v>
      </c>
      <c r="Q1532" s="6">
        <v>51.173400999999998</v>
      </c>
      <c r="R1532" s="58">
        <v>1909700</v>
      </c>
    </row>
    <row r="1533" spans="12:18" x14ac:dyDescent="0.25">
      <c r="L1533" s="26">
        <v>41668</v>
      </c>
      <c r="M1533" s="6">
        <v>59.880001</v>
      </c>
      <c r="N1533" s="6">
        <v>59.880001</v>
      </c>
      <c r="O1533" s="6">
        <v>58.119999</v>
      </c>
      <c r="P1533" s="6">
        <v>58.369999</v>
      </c>
      <c r="Q1533" s="6">
        <v>49.758324000000002</v>
      </c>
      <c r="R1533" s="58">
        <v>3133200</v>
      </c>
    </row>
    <row r="1534" spans="12:18" x14ac:dyDescent="0.25">
      <c r="L1534" s="26">
        <v>41669</v>
      </c>
      <c r="M1534" s="6">
        <v>58.689999</v>
      </c>
      <c r="N1534" s="6">
        <v>58.849997999999999</v>
      </c>
      <c r="O1534" s="6">
        <v>57.939999</v>
      </c>
      <c r="P1534" s="6">
        <v>58.130001</v>
      </c>
      <c r="Q1534" s="6">
        <v>49.553719000000001</v>
      </c>
      <c r="R1534" s="58">
        <v>2840800</v>
      </c>
    </row>
    <row r="1535" spans="12:18" x14ac:dyDescent="0.25">
      <c r="L1535" s="26">
        <v>41670</v>
      </c>
      <c r="M1535" s="6">
        <v>57.650002000000001</v>
      </c>
      <c r="N1535" s="6">
        <v>58.389999000000003</v>
      </c>
      <c r="O1535" s="6">
        <v>57.509998000000003</v>
      </c>
      <c r="P1535" s="6">
        <v>57.98</v>
      </c>
      <c r="Q1535" s="6">
        <v>49.425849999999997</v>
      </c>
      <c r="R1535" s="58">
        <v>2376800</v>
      </c>
    </row>
    <row r="1536" spans="12:18" x14ac:dyDescent="0.25">
      <c r="L1536" s="26">
        <v>41673</v>
      </c>
      <c r="M1536" s="6">
        <v>58.009998000000003</v>
      </c>
      <c r="N1536" s="6">
        <v>58.150002000000001</v>
      </c>
      <c r="O1536" s="6">
        <v>56.810001</v>
      </c>
      <c r="P1536" s="6">
        <v>56.900002000000001</v>
      </c>
      <c r="Q1536" s="6">
        <v>48.505187999999997</v>
      </c>
      <c r="R1536" s="58">
        <v>2548100</v>
      </c>
    </row>
    <row r="1537" spans="12:18" x14ac:dyDescent="0.25">
      <c r="L1537" s="26">
        <v>41674</v>
      </c>
      <c r="M1537" s="6">
        <v>57.110000999999997</v>
      </c>
      <c r="N1537" s="6">
        <v>57.43</v>
      </c>
      <c r="O1537" s="6">
        <v>56.880001</v>
      </c>
      <c r="P1537" s="6">
        <v>57.259998000000003</v>
      </c>
      <c r="Q1537" s="6">
        <v>48.812077000000002</v>
      </c>
      <c r="R1537" s="58">
        <v>2468900</v>
      </c>
    </row>
    <row r="1538" spans="12:18" x14ac:dyDescent="0.25">
      <c r="L1538" s="26">
        <v>41675</v>
      </c>
      <c r="M1538" s="6">
        <v>57.200001</v>
      </c>
      <c r="N1538" s="6">
        <v>57.75</v>
      </c>
      <c r="O1538" s="6">
        <v>57</v>
      </c>
      <c r="P1538" s="6">
        <v>57.369999</v>
      </c>
      <c r="Q1538" s="6">
        <v>48.905849000000003</v>
      </c>
      <c r="R1538" s="58">
        <v>3137000</v>
      </c>
    </row>
    <row r="1539" spans="12:18" x14ac:dyDescent="0.25">
      <c r="L1539" s="26">
        <v>41676</v>
      </c>
      <c r="M1539" s="6">
        <v>57</v>
      </c>
      <c r="N1539" s="6">
        <v>57.82</v>
      </c>
      <c r="O1539" s="6">
        <v>55.689999</v>
      </c>
      <c r="P1539" s="6">
        <v>57.740001999999997</v>
      </c>
      <c r="Q1539" s="6">
        <v>49.221255999999997</v>
      </c>
      <c r="R1539" s="58">
        <v>6284700</v>
      </c>
    </row>
    <row r="1540" spans="12:18" x14ac:dyDescent="0.25">
      <c r="L1540" s="26">
        <v>41677</v>
      </c>
      <c r="M1540" s="6">
        <v>58</v>
      </c>
      <c r="N1540" s="6">
        <v>58.57</v>
      </c>
      <c r="O1540" s="6">
        <v>57.75</v>
      </c>
      <c r="P1540" s="6">
        <v>58.360000999999997</v>
      </c>
      <c r="Q1540" s="6">
        <v>49.749789999999997</v>
      </c>
      <c r="R1540" s="58">
        <v>3129700</v>
      </c>
    </row>
    <row r="1541" spans="12:18" x14ac:dyDescent="0.25">
      <c r="L1541" s="26">
        <v>41680</v>
      </c>
      <c r="M1541" s="6">
        <v>58.360000999999997</v>
      </c>
      <c r="N1541" s="6">
        <v>59.349997999999999</v>
      </c>
      <c r="O1541" s="6">
        <v>58.34</v>
      </c>
      <c r="P1541" s="6">
        <v>59.330002</v>
      </c>
      <c r="Q1541" s="6">
        <v>50.576678999999999</v>
      </c>
      <c r="R1541" s="58">
        <v>3306600</v>
      </c>
    </row>
    <row r="1542" spans="12:18" x14ac:dyDescent="0.25">
      <c r="L1542" s="26">
        <v>41681</v>
      </c>
      <c r="M1542" s="6">
        <v>58.849997999999999</v>
      </c>
      <c r="N1542" s="6">
        <v>59.919998</v>
      </c>
      <c r="O1542" s="6">
        <v>58.849997999999999</v>
      </c>
      <c r="P1542" s="6">
        <v>59.869999</v>
      </c>
      <c r="Q1542" s="6">
        <v>51.037010000000002</v>
      </c>
      <c r="R1542" s="58">
        <v>3487900</v>
      </c>
    </row>
    <row r="1543" spans="12:18" x14ac:dyDescent="0.25">
      <c r="L1543" s="26">
        <v>41682</v>
      </c>
      <c r="M1543" s="6">
        <v>59.77</v>
      </c>
      <c r="N1543" s="6">
        <v>60.110000999999997</v>
      </c>
      <c r="O1543" s="6">
        <v>59.189999</v>
      </c>
      <c r="P1543" s="6">
        <v>59.41</v>
      </c>
      <c r="Q1543" s="6">
        <v>50.644886</v>
      </c>
      <c r="R1543" s="58">
        <v>2793200</v>
      </c>
    </row>
    <row r="1544" spans="12:18" x14ac:dyDescent="0.25">
      <c r="L1544" s="26">
        <v>41683</v>
      </c>
      <c r="M1544" s="6">
        <v>59.23</v>
      </c>
      <c r="N1544" s="6">
        <v>59.509998000000003</v>
      </c>
      <c r="O1544" s="6">
        <v>59.099997999999999</v>
      </c>
      <c r="P1544" s="6">
        <v>59.48</v>
      </c>
      <c r="Q1544" s="6">
        <v>50.704548000000003</v>
      </c>
      <c r="R1544" s="58">
        <v>2656900</v>
      </c>
    </row>
    <row r="1545" spans="12:18" x14ac:dyDescent="0.25">
      <c r="L1545" s="26">
        <v>41684</v>
      </c>
      <c r="M1545" s="6">
        <v>59.709999000000003</v>
      </c>
      <c r="N1545" s="6">
        <v>60.259998000000003</v>
      </c>
      <c r="O1545" s="6">
        <v>59.549999</v>
      </c>
      <c r="P1545" s="6">
        <v>60.189999</v>
      </c>
      <c r="Q1545" s="6">
        <v>51.309795000000001</v>
      </c>
      <c r="R1545" s="58">
        <v>1629100</v>
      </c>
    </row>
    <row r="1546" spans="12:18" x14ac:dyDescent="0.25">
      <c r="L1546" s="26">
        <v>41688</v>
      </c>
      <c r="M1546" s="6">
        <v>60.189999</v>
      </c>
      <c r="N1546" s="6">
        <v>60.279998999999997</v>
      </c>
      <c r="O1546" s="6">
        <v>59.720001000000003</v>
      </c>
      <c r="P1546" s="6">
        <v>60.119999</v>
      </c>
      <c r="Q1546" s="6">
        <v>51.250134000000003</v>
      </c>
      <c r="R1546" s="58">
        <v>1359900</v>
      </c>
    </row>
    <row r="1547" spans="12:18" x14ac:dyDescent="0.25">
      <c r="L1547" s="26">
        <v>41689</v>
      </c>
      <c r="M1547" s="6">
        <v>60.16</v>
      </c>
      <c r="N1547" s="6">
        <v>60.27</v>
      </c>
      <c r="O1547" s="6">
        <v>59.639999000000003</v>
      </c>
      <c r="P1547" s="6">
        <v>59.73</v>
      </c>
      <c r="Q1547" s="6">
        <v>50.917670999999999</v>
      </c>
      <c r="R1547" s="58">
        <v>2415700</v>
      </c>
    </row>
    <row r="1548" spans="12:18" x14ac:dyDescent="0.25">
      <c r="L1548" s="26">
        <v>41690</v>
      </c>
      <c r="M1548" s="6">
        <v>59.619999</v>
      </c>
      <c r="N1548" s="6">
        <v>60.330002</v>
      </c>
      <c r="O1548" s="6">
        <v>59.439999</v>
      </c>
      <c r="P1548" s="6">
        <v>60.240001999999997</v>
      </c>
      <c r="Q1548" s="6">
        <v>51.352428000000003</v>
      </c>
      <c r="R1548" s="58">
        <v>1787800</v>
      </c>
    </row>
    <row r="1549" spans="12:18" x14ac:dyDescent="0.25">
      <c r="L1549" s="26">
        <v>41691</v>
      </c>
      <c r="M1549" s="6">
        <v>60.139999000000003</v>
      </c>
      <c r="N1549" s="6">
        <v>60.43</v>
      </c>
      <c r="O1549" s="6">
        <v>59.93</v>
      </c>
      <c r="P1549" s="6">
        <v>59.950001</v>
      </c>
      <c r="Q1549" s="6">
        <v>51.105209000000002</v>
      </c>
      <c r="R1549" s="58">
        <v>1293500</v>
      </c>
    </row>
    <row r="1550" spans="12:18" x14ac:dyDescent="0.25">
      <c r="L1550" s="26">
        <v>41694</v>
      </c>
      <c r="M1550" s="6">
        <v>60.490001999999997</v>
      </c>
      <c r="N1550" s="6">
        <v>60.93</v>
      </c>
      <c r="O1550" s="6">
        <v>60.139999000000003</v>
      </c>
      <c r="P1550" s="6">
        <v>60.709999000000003</v>
      </c>
      <c r="Q1550" s="6">
        <v>51.753070999999998</v>
      </c>
      <c r="R1550" s="58">
        <v>2025900</v>
      </c>
    </row>
    <row r="1551" spans="12:18" x14ac:dyDescent="0.25">
      <c r="L1551" s="26">
        <v>41695</v>
      </c>
      <c r="M1551" s="6">
        <v>60.77</v>
      </c>
      <c r="N1551" s="6">
        <v>61.259998000000003</v>
      </c>
      <c r="O1551" s="6">
        <v>60.66</v>
      </c>
      <c r="P1551" s="6">
        <v>60.82</v>
      </c>
      <c r="Q1551" s="6">
        <v>51.846848000000001</v>
      </c>
      <c r="R1551" s="58">
        <v>2653500</v>
      </c>
    </row>
    <row r="1552" spans="12:18" x14ac:dyDescent="0.25">
      <c r="L1552" s="26">
        <v>41696</v>
      </c>
      <c r="M1552" s="6">
        <v>60.869999</v>
      </c>
      <c r="N1552" s="6">
        <v>61.110000999999997</v>
      </c>
      <c r="O1552" s="6">
        <v>60.310001</v>
      </c>
      <c r="P1552" s="6">
        <v>60.330002</v>
      </c>
      <c r="Q1552" s="6">
        <v>51.42915</v>
      </c>
      <c r="R1552" s="58">
        <v>2113900</v>
      </c>
    </row>
    <row r="1553" spans="12:18" x14ac:dyDescent="0.25">
      <c r="L1553" s="26">
        <v>41697</v>
      </c>
      <c r="M1553" s="6">
        <v>60.130001</v>
      </c>
      <c r="N1553" s="6">
        <v>60.400002000000001</v>
      </c>
      <c r="O1553" s="6">
        <v>59.790000999999997</v>
      </c>
      <c r="P1553" s="6">
        <v>60.16</v>
      </c>
      <c r="Q1553" s="6">
        <v>51.284222</v>
      </c>
      <c r="R1553" s="58">
        <v>2152600</v>
      </c>
    </row>
    <row r="1554" spans="12:18" x14ac:dyDescent="0.25">
      <c r="L1554" s="26">
        <v>41698</v>
      </c>
      <c r="M1554" s="6">
        <v>60.259998000000003</v>
      </c>
      <c r="N1554" s="6">
        <v>60.98</v>
      </c>
      <c r="O1554" s="6">
        <v>60.16</v>
      </c>
      <c r="P1554" s="6">
        <v>60.689999</v>
      </c>
      <c r="Q1554" s="6">
        <v>51.736038000000001</v>
      </c>
      <c r="R1554" s="58">
        <v>1872600</v>
      </c>
    </row>
    <row r="1555" spans="12:18" x14ac:dyDescent="0.25">
      <c r="L1555" s="26">
        <v>41701</v>
      </c>
      <c r="M1555" s="6">
        <v>60.34</v>
      </c>
      <c r="N1555" s="6">
        <v>60.759998000000003</v>
      </c>
      <c r="O1555" s="6">
        <v>60.099997999999999</v>
      </c>
      <c r="P1555" s="6">
        <v>60.669998</v>
      </c>
      <c r="Q1555" s="6">
        <v>51.718983000000001</v>
      </c>
      <c r="R1555" s="58">
        <v>2009200</v>
      </c>
    </row>
    <row r="1556" spans="12:18" x14ac:dyDescent="0.25">
      <c r="L1556" s="26">
        <v>41702</v>
      </c>
      <c r="M1556" s="6">
        <v>60.540000999999997</v>
      </c>
      <c r="N1556" s="6">
        <v>61.330002</v>
      </c>
      <c r="O1556" s="6">
        <v>60.509998000000003</v>
      </c>
      <c r="P1556" s="6">
        <v>61.259998000000003</v>
      </c>
      <c r="Q1556" s="6">
        <v>52.620913999999999</v>
      </c>
      <c r="R1556" s="58">
        <v>2508100</v>
      </c>
    </row>
    <row r="1557" spans="12:18" x14ac:dyDescent="0.25">
      <c r="L1557" s="26">
        <v>41703</v>
      </c>
      <c r="M1557" s="6">
        <v>61.279998999999997</v>
      </c>
      <c r="N1557" s="6">
        <v>61.450001</v>
      </c>
      <c r="O1557" s="6">
        <v>60.919998</v>
      </c>
      <c r="P1557" s="6">
        <v>61.279998999999997</v>
      </c>
      <c r="Q1557" s="6">
        <v>52.638083999999999</v>
      </c>
      <c r="R1557" s="58">
        <v>2132300</v>
      </c>
    </row>
    <row r="1558" spans="12:18" x14ac:dyDescent="0.25">
      <c r="L1558" s="26">
        <v>41704</v>
      </c>
      <c r="M1558" s="6">
        <v>61.290000999999997</v>
      </c>
      <c r="N1558" s="6">
        <v>61.490001999999997</v>
      </c>
      <c r="O1558" s="6">
        <v>61.07</v>
      </c>
      <c r="P1558" s="6">
        <v>61.43</v>
      </c>
      <c r="Q1558" s="6">
        <v>52.766936999999999</v>
      </c>
      <c r="R1558" s="58">
        <v>2137500</v>
      </c>
    </row>
    <row r="1559" spans="12:18" x14ac:dyDescent="0.25">
      <c r="L1559" s="26">
        <v>41705</v>
      </c>
      <c r="M1559" s="6">
        <v>61.470001000000003</v>
      </c>
      <c r="N1559" s="6">
        <v>61.599997999999999</v>
      </c>
      <c r="O1559" s="6">
        <v>61.209999000000003</v>
      </c>
      <c r="P1559" s="6">
        <v>61.599997999999999</v>
      </c>
      <c r="Q1559" s="6">
        <v>52.912951999999997</v>
      </c>
      <c r="R1559" s="58">
        <v>1629500</v>
      </c>
    </row>
    <row r="1560" spans="12:18" x14ac:dyDescent="0.25">
      <c r="L1560" s="26">
        <v>41708</v>
      </c>
      <c r="M1560" s="6">
        <v>61.599997999999999</v>
      </c>
      <c r="N1560" s="6">
        <v>61.779998999999997</v>
      </c>
      <c r="O1560" s="6">
        <v>61.299999</v>
      </c>
      <c r="P1560" s="6">
        <v>61.68</v>
      </c>
      <c r="Q1560" s="6">
        <v>52.981678000000002</v>
      </c>
      <c r="R1560" s="58">
        <v>1331100</v>
      </c>
    </row>
    <row r="1561" spans="12:18" x14ac:dyDescent="0.25">
      <c r="L1561" s="26">
        <v>41709</v>
      </c>
      <c r="M1561" s="6">
        <v>61.650002000000001</v>
      </c>
      <c r="N1561" s="6">
        <v>61.939999</v>
      </c>
      <c r="O1561" s="6">
        <v>61.529998999999997</v>
      </c>
      <c r="P1561" s="6">
        <v>61.700001</v>
      </c>
      <c r="Q1561" s="6">
        <v>52.998856000000004</v>
      </c>
      <c r="R1561" s="58">
        <v>1437300</v>
      </c>
    </row>
    <row r="1562" spans="12:18" x14ac:dyDescent="0.25">
      <c r="L1562" s="26">
        <v>41710</v>
      </c>
      <c r="M1562" s="6">
        <v>61.5</v>
      </c>
      <c r="N1562" s="6">
        <v>62.110000999999997</v>
      </c>
      <c r="O1562" s="6">
        <v>61.369999</v>
      </c>
      <c r="P1562" s="6">
        <v>62.07</v>
      </c>
      <c r="Q1562" s="6">
        <v>53.316676999999999</v>
      </c>
      <c r="R1562" s="58">
        <v>1365800</v>
      </c>
    </row>
    <row r="1563" spans="12:18" x14ac:dyDescent="0.25">
      <c r="L1563" s="26">
        <v>41711</v>
      </c>
      <c r="M1563" s="6">
        <v>62.189999</v>
      </c>
      <c r="N1563" s="6">
        <v>62.25</v>
      </c>
      <c r="O1563" s="6">
        <v>61.73</v>
      </c>
      <c r="P1563" s="6">
        <v>61.98</v>
      </c>
      <c r="Q1563" s="6">
        <v>53.239367999999999</v>
      </c>
      <c r="R1563" s="58">
        <v>1563200</v>
      </c>
    </row>
    <row r="1564" spans="12:18" x14ac:dyDescent="0.25">
      <c r="L1564" s="26">
        <v>41712</v>
      </c>
      <c r="M1564" s="6">
        <v>61.59</v>
      </c>
      <c r="N1564" s="6">
        <v>61.779998999999997</v>
      </c>
      <c r="O1564" s="6">
        <v>60.860000999999997</v>
      </c>
      <c r="P1564" s="6">
        <v>60.900002000000001</v>
      </c>
      <c r="Q1564" s="6">
        <v>52.311684</v>
      </c>
      <c r="R1564" s="58">
        <v>2356500</v>
      </c>
    </row>
    <row r="1565" spans="12:18" x14ac:dyDescent="0.25">
      <c r="L1565" s="26">
        <v>41715</v>
      </c>
      <c r="M1565" s="6">
        <v>61.259998000000003</v>
      </c>
      <c r="N1565" s="6">
        <v>61.48</v>
      </c>
      <c r="O1565" s="6">
        <v>60.82</v>
      </c>
      <c r="P1565" s="6">
        <v>60.849997999999999</v>
      </c>
      <c r="Q1565" s="6">
        <v>52.268726000000001</v>
      </c>
      <c r="R1565" s="58">
        <v>1799100</v>
      </c>
    </row>
    <row r="1566" spans="12:18" x14ac:dyDescent="0.25">
      <c r="L1566" s="26">
        <v>41716</v>
      </c>
      <c r="M1566" s="6">
        <v>61.07</v>
      </c>
      <c r="N1566" s="6">
        <v>62.009998000000003</v>
      </c>
      <c r="O1566" s="6">
        <v>60.900002000000001</v>
      </c>
      <c r="P1566" s="6">
        <v>61.849997999999999</v>
      </c>
      <c r="Q1566" s="6">
        <v>53.127701000000002</v>
      </c>
      <c r="R1566" s="58">
        <v>2682400</v>
      </c>
    </row>
    <row r="1567" spans="12:18" x14ac:dyDescent="0.25">
      <c r="L1567" s="26">
        <v>41717</v>
      </c>
      <c r="M1567" s="6">
        <v>61.849997999999999</v>
      </c>
      <c r="N1567" s="6">
        <v>62.32</v>
      </c>
      <c r="O1567" s="6">
        <v>61.580002</v>
      </c>
      <c r="P1567" s="6">
        <v>61.73</v>
      </c>
      <c r="Q1567" s="6">
        <v>53.024639000000001</v>
      </c>
      <c r="R1567" s="58">
        <v>3380900</v>
      </c>
    </row>
    <row r="1568" spans="12:18" x14ac:dyDescent="0.25">
      <c r="L1568" s="26">
        <v>41718</v>
      </c>
      <c r="M1568" s="6">
        <v>61.639999000000003</v>
      </c>
      <c r="N1568" s="6">
        <v>62</v>
      </c>
      <c r="O1568" s="6">
        <v>61.52</v>
      </c>
      <c r="P1568" s="6">
        <v>61.880001</v>
      </c>
      <c r="Q1568" s="6">
        <v>53.153477000000002</v>
      </c>
      <c r="R1568" s="58">
        <v>1268800</v>
      </c>
    </row>
    <row r="1569" spans="12:18" x14ac:dyDescent="0.25">
      <c r="L1569" s="26">
        <v>41719</v>
      </c>
      <c r="M1569" s="6">
        <v>62.330002</v>
      </c>
      <c r="N1569" s="6">
        <v>62.43</v>
      </c>
      <c r="O1569" s="6">
        <v>61.560001</v>
      </c>
      <c r="P1569" s="6">
        <v>61.580002</v>
      </c>
      <c r="Q1569" s="6">
        <v>52.895781999999997</v>
      </c>
      <c r="R1569" s="58">
        <v>1747100</v>
      </c>
    </row>
    <row r="1570" spans="12:18" x14ac:dyDescent="0.25">
      <c r="L1570" s="26">
        <v>41722</v>
      </c>
      <c r="M1570" s="6">
        <v>61.68</v>
      </c>
      <c r="N1570" s="6">
        <v>61.93</v>
      </c>
      <c r="O1570" s="6">
        <v>61.380001</v>
      </c>
      <c r="P1570" s="6">
        <v>61.400002000000001</v>
      </c>
      <c r="Q1570" s="6">
        <v>52.741160999999998</v>
      </c>
      <c r="R1570" s="58">
        <v>1109500</v>
      </c>
    </row>
    <row r="1571" spans="12:18" x14ac:dyDescent="0.25">
      <c r="L1571" s="26">
        <v>41723</v>
      </c>
      <c r="M1571" s="6">
        <v>61.709999000000003</v>
      </c>
      <c r="N1571" s="6">
        <v>61.990001999999997</v>
      </c>
      <c r="O1571" s="6">
        <v>61.09</v>
      </c>
      <c r="P1571" s="6">
        <v>61.630001</v>
      </c>
      <c r="Q1571" s="6">
        <v>52.938727999999998</v>
      </c>
      <c r="R1571" s="58">
        <v>1063400</v>
      </c>
    </row>
    <row r="1572" spans="12:18" x14ac:dyDescent="0.25">
      <c r="L1572" s="26">
        <v>41724</v>
      </c>
      <c r="M1572" s="6">
        <v>62.09</v>
      </c>
      <c r="N1572" s="6">
        <v>62.09</v>
      </c>
      <c r="O1572" s="6">
        <v>61.599997999999999</v>
      </c>
      <c r="P1572" s="6">
        <v>61.689999</v>
      </c>
      <c r="Q1572" s="6">
        <v>52.990268999999998</v>
      </c>
      <c r="R1572" s="58">
        <v>856000</v>
      </c>
    </row>
    <row r="1573" spans="12:18" x14ac:dyDescent="0.25">
      <c r="L1573" s="26">
        <v>41725</v>
      </c>
      <c r="M1573" s="6">
        <v>61.91</v>
      </c>
      <c r="N1573" s="6">
        <v>62.029998999999997</v>
      </c>
      <c r="O1573" s="6">
        <v>61.669998</v>
      </c>
      <c r="P1573" s="6">
        <v>61.759998000000003</v>
      </c>
      <c r="Q1573" s="6">
        <v>53.050384999999999</v>
      </c>
      <c r="R1573" s="58">
        <v>885600</v>
      </c>
    </row>
    <row r="1574" spans="12:18" x14ac:dyDescent="0.25">
      <c r="L1574" s="26">
        <v>41726</v>
      </c>
      <c r="M1574" s="6">
        <v>62</v>
      </c>
      <c r="N1574" s="6">
        <v>62.25</v>
      </c>
      <c r="O1574" s="6">
        <v>61.849997999999999</v>
      </c>
      <c r="P1574" s="6">
        <v>62.130001</v>
      </c>
      <c r="Q1574" s="6">
        <v>53.368214000000002</v>
      </c>
      <c r="R1574" s="58">
        <v>925000</v>
      </c>
    </row>
    <row r="1575" spans="12:18" x14ac:dyDescent="0.25">
      <c r="L1575" s="26">
        <v>41729</v>
      </c>
      <c r="M1575" s="6">
        <v>62.360000999999997</v>
      </c>
      <c r="N1575" s="6">
        <v>62.75</v>
      </c>
      <c r="O1575" s="6">
        <v>62.18</v>
      </c>
      <c r="P1575" s="6">
        <v>62.709999000000003</v>
      </c>
      <c r="Q1575" s="6">
        <v>53.866427999999999</v>
      </c>
      <c r="R1575" s="58">
        <v>1377800</v>
      </c>
    </row>
    <row r="1576" spans="12:18" x14ac:dyDescent="0.25">
      <c r="L1576" s="26">
        <v>41730</v>
      </c>
      <c r="M1576" s="6">
        <v>62.470001000000003</v>
      </c>
      <c r="N1576" s="6">
        <v>62.759998000000003</v>
      </c>
      <c r="O1576" s="6">
        <v>62.310001</v>
      </c>
      <c r="P1576" s="6">
        <v>62.619999</v>
      </c>
      <c r="Q1576" s="6">
        <v>53.789119999999997</v>
      </c>
      <c r="R1576" s="58">
        <v>1555500</v>
      </c>
    </row>
    <row r="1577" spans="12:18" x14ac:dyDescent="0.25">
      <c r="L1577" s="26">
        <v>41731</v>
      </c>
      <c r="M1577" s="6">
        <v>62.490001999999997</v>
      </c>
      <c r="N1577" s="6">
        <v>62.810001</v>
      </c>
      <c r="O1577" s="6">
        <v>62.439999</v>
      </c>
      <c r="P1577" s="6">
        <v>62.650002000000001</v>
      </c>
      <c r="Q1577" s="6">
        <v>53.814895999999997</v>
      </c>
      <c r="R1577" s="58">
        <v>1240700</v>
      </c>
    </row>
    <row r="1578" spans="12:18" x14ac:dyDescent="0.25">
      <c r="L1578" s="26">
        <v>41732</v>
      </c>
      <c r="M1578" s="6">
        <v>62.860000999999997</v>
      </c>
      <c r="N1578" s="6">
        <v>66.769997000000004</v>
      </c>
      <c r="O1578" s="6">
        <v>62.720001000000003</v>
      </c>
      <c r="P1578" s="6">
        <v>66.389999000000003</v>
      </c>
      <c r="Q1578" s="6">
        <v>57.027447000000002</v>
      </c>
      <c r="R1578" s="58">
        <v>8017100</v>
      </c>
    </row>
    <row r="1579" spans="12:18" x14ac:dyDescent="0.25">
      <c r="L1579" s="26">
        <v>41733</v>
      </c>
      <c r="M1579" s="6">
        <v>65.930000000000007</v>
      </c>
      <c r="N1579" s="6">
        <v>66.699996999999996</v>
      </c>
      <c r="O1579" s="6">
        <v>63.59</v>
      </c>
      <c r="P1579" s="6">
        <v>63.77</v>
      </c>
      <c r="Q1579" s="6">
        <v>54.776938999999999</v>
      </c>
      <c r="R1579" s="58">
        <v>6775800</v>
      </c>
    </row>
    <row r="1580" spans="12:18" x14ac:dyDescent="0.25">
      <c r="L1580" s="26">
        <v>41736</v>
      </c>
      <c r="M1580" s="6">
        <v>63.790000999999997</v>
      </c>
      <c r="N1580" s="6">
        <v>65.819999999999993</v>
      </c>
      <c r="O1580" s="6">
        <v>63.68</v>
      </c>
      <c r="P1580" s="6">
        <v>65.059997999999993</v>
      </c>
      <c r="Q1580" s="6">
        <v>55.885013999999998</v>
      </c>
      <c r="R1580" s="58">
        <v>3712300</v>
      </c>
    </row>
    <row r="1581" spans="12:18" x14ac:dyDescent="0.25">
      <c r="L1581" s="26">
        <v>41737</v>
      </c>
      <c r="M1581" s="6">
        <v>65.339995999999999</v>
      </c>
      <c r="N1581" s="6">
        <v>65.449996999999996</v>
      </c>
      <c r="O1581" s="6">
        <v>63.970001000000003</v>
      </c>
      <c r="P1581" s="6">
        <v>64.360000999999997</v>
      </c>
      <c r="Q1581" s="6">
        <v>55.283732999999998</v>
      </c>
      <c r="R1581" s="58">
        <v>2692300</v>
      </c>
    </row>
    <row r="1582" spans="12:18" x14ac:dyDescent="0.25">
      <c r="L1582" s="26">
        <v>41738</v>
      </c>
      <c r="M1582" s="6">
        <v>65.190002000000007</v>
      </c>
      <c r="N1582" s="6">
        <v>66.120002999999997</v>
      </c>
      <c r="O1582" s="6">
        <v>65.099997999999999</v>
      </c>
      <c r="P1582" s="6">
        <v>66.099997999999999</v>
      </c>
      <c r="Q1582" s="6">
        <v>56.778357999999997</v>
      </c>
      <c r="R1582" s="58">
        <v>4040900</v>
      </c>
    </row>
    <row r="1583" spans="12:18" x14ac:dyDescent="0.25">
      <c r="L1583" s="26">
        <v>41739</v>
      </c>
      <c r="M1583" s="6">
        <v>66</v>
      </c>
      <c r="N1583" s="6">
        <v>66.519997000000004</v>
      </c>
      <c r="O1583" s="6">
        <v>65.319999999999993</v>
      </c>
      <c r="P1583" s="6">
        <v>65.610000999999997</v>
      </c>
      <c r="Q1583" s="6">
        <v>56.357452000000002</v>
      </c>
      <c r="R1583" s="58">
        <v>2855400</v>
      </c>
    </row>
    <row r="1584" spans="12:18" x14ac:dyDescent="0.25">
      <c r="L1584" s="26">
        <v>41740</v>
      </c>
      <c r="M1584" s="6">
        <v>65.419998000000007</v>
      </c>
      <c r="N1584" s="6">
        <v>66.150002000000001</v>
      </c>
      <c r="O1584" s="6">
        <v>65.190002000000007</v>
      </c>
      <c r="P1584" s="6">
        <v>65.680000000000007</v>
      </c>
      <c r="Q1584" s="6">
        <v>56.417580000000001</v>
      </c>
      <c r="R1584" s="58">
        <v>2078300</v>
      </c>
    </row>
    <row r="1585" spans="12:18" x14ac:dyDescent="0.25">
      <c r="L1585" s="26">
        <v>41743</v>
      </c>
      <c r="M1585" s="6">
        <v>66.019997000000004</v>
      </c>
      <c r="N1585" s="6">
        <v>66.019997000000004</v>
      </c>
      <c r="O1585" s="6">
        <v>65.25</v>
      </c>
      <c r="P1585" s="6">
        <v>65.540001000000004</v>
      </c>
      <c r="Q1585" s="6">
        <v>56.297336999999999</v>
      </c>
      <c r="R1585" s="58">
        <v>2167200</v>
      </c>
    </row>
    <row r="1586" spans="12:18" x14ac:dyDescent="0.25">
      <c r="L1586" s="26">
        <v>41744</v>
      </c>
      <c r="M1586" s="6">
        <v>65.629997000000003</v>
      </c>
      <c r="N1586" s="6">
        <v>65.760002</v>
      </c>
      <c r="O1586" s="6">
        <v>64.930000000000007</v>
      </c>
      <c r="P1586" s="6">
        <v>65.209998999999996</v>
      </c>
      <c r="Q1586" s="6">
        <v>56.013855</v>
      </c>
      <c r="R1586" s="58">
        <v>1904200</v>
      </c>
    </row>
    <row r="1587" spans="12:18" x14ac:dyDescent="0.25">
      <c r="L1587" s="26">
        <v>41745</v>
      </c>
      <c r="M1587" s="6">
        <v>65.5</v>
      </c>
      <c r="N1587" s="6">
        <v>66.019997000000004</v>
      </c>
      <c r="O1587" s="6">
        <v>65.459998999999996</v>
      </c>
      <c r="P1587" s="6">
        <v>65.980002999999996</v>
      </c>
      <c r="Q1587" s="6">
        <v>56.675277999999999</v>
      </c>
      <c r="R1587" s="58">
        <v>3209700</v>
      </c>
    </row>
    <row r="1588" spans="12:18" x14ac:dyDescent="0.25">
      <c r="L1588" s="26">
        <v>41746</v>
      </c>
      <c r="M1588" s="6">
        <v>65.900002000000001</v>
      </c>
      <c r="N1588" s="6">
        <v>66.379997000000003</v>
      </c>
      <c r="O1588" s="6">
        <v>65.889999000000003</v>
      </c>
      <c r="P1588" s="6">
        <v>66.339995999999999</v>
      </c>
      <c r="Q1588" s="6">
        <v>56.984504999999999</v>
      </c>
      <c r="R1588" s="58">
        <v>1859400</v>
      </c>
    </row>
    <row r="1589" spans="12:18" x14ac:dyDescent="0.25">
      <c r="L1589" s="26">
        <v>41750</v>
      </c>
      <c r="M1589" s="6">
        <v>66</v>
      </c>
      <c r="N1589" s="6">
        <v>66.220000999999996</v>
      </c>
      <c r="O1589" s="6">
        <v>65.529999000000004</v>
      </c>
      <c r="P1589" s="6">
        <v>65.980002999999996</v>
      </c>
      <c r="Q1589" s="6">
        <v>56.675277999999999</v>
      </c>
      <c r="R1589" s="58">
        <v>1631500</v>
      </c>
    </row>
    <row r="1590" spans="12:18" x14ac:dyDescent="0.25">
      <c r="L1590" s="26">
        <v>41751</v>
      </c>
      <c r="M1590" s="6">
        <v>65.989998</v>
      </c>
      <c r="N1590" s="6">
        <v>66.379997000000003</v>
      </c>
      <c r="O1590" s="6">
        <v>65.680000000000007</v>
      </c>
      <c r="P1590" s="6">
        <v>66.279999000000004</v>
      </c>
      <c r="Q1590" s="6">
        <v>56.932971999999999</v>
      </c>
      <c r="R1590" s="58">
        <v>2401800</v>
      </c>
    </row>
    <row r="1591" spans="12:18" x14ac:dyDescent="0.25">
      <c r="L1591" s="26">
        <v>41752</v>
      </c>
      <c r="M1591" s="6">
        <v>66.209998999999996</v>
      </c>
      <c r="N1591" s="6">
        <v>66.650002000000001</v>
      </c>
      <c r="O1591" s="6">
        <v>66.209998999999996</v>
      </c>
      <c r="P1591" s="6">
        <v>66.540001000000004</v>
      </c>
      <c r="Q1591" s="6">
        <v>57.156303000000001</v>
      </c>
      <c r="R1591" s="58">
        <v>2017800</v>
      </c>
    </row>
    <row r="1592" spans="12:18" x14ac:dyDescent="0.25">
      <c r="L1592" s="26">
        <v>41753</v>
      </c>
      <c r="M1592" s="6">
        <v>66.379997000000003</v>
      </c>
      <c r="N1592" s="6">
        <v>66.569999999999993</v>
      </c>
      <c r="O1592" s="6">
        <v>65.879997000000003</v>
      </c>
      <c r="P1592" s="6">
        <v>66.529999000000004</v>
      </c>
      <c r="Q1592" s="6">
        <v>57.147713000000003</v>
      </c>
      <c r="R1592" s="58">
        <v>1198400</v>
      </c>
    </row>
    <row r="1593" spans="12:18" x14ac:dyDescent="0.25">
      <c r="L1593" s="26">
        <v>41754</v>
      </c>
      <c r="M1593" s="6">
        <v>66.290001000000004</v>
      </c>
      <c r="N1593" s="6">
        <v>66.75</v>
      </c>
      <c r="O1593" s="6">
        <v>66.120002999999997</v>
      </c>
      <c r="P1593" s="6">
        <v>66.709998999999996</v>
      </c>
      <c r="Q1593" s="6">
        <v>57.302329999999998</v>
      </c>
      <c r="R1593" s="58">
        <v>1231600</v>
      </c>
    </row>
    <row r="1594" spans="12:18" x14ac:dyDescent="0.25">
      <c r="L1594" s="26">
        <v>41757</v>
      </c>
      <c r="M1594" s="6">
        <v>66.919998000000007</v>
      </c>
      <c r="N1594" s="6">
        <v>67.489998</v>
      </c>
      <c r="O1594" s="6">
        <v>66.779999000000004</v>
      </c>
      <c r="P1594" s="6">
        <v>67.290001000000004</v>
      </c>
      <c r="Q1594" s="6">
        <v>57.800536999999998</v>
      </c>
      <c r="R1594" s="58">
        <v>1743800</v>
      </c>
    </row>
    <row r="1595" spans="12:18" x14ac:dyDescent="0.25">
      <c r="L1595" s="26">
        <v>41758</v>
      </c>
      <c r="M1595" s="6">
        <v>67.029999000000004</v>
      </c>
      <c r="N1595" s="6">
        <v>67.489998</v>
      </c>
      <c r="O1595" s="6">
        <v>66.940002000000007</v>
      </c>
      <c r="P1595" s="6">
        <v>67.019997000000004</v>
      </c>
      <c r="Q1595" s="6">
        <v>57.568618999999998</v>
      </c>
      <c r="R1595" s="58">
        <v>1553300</v>
      </c>
    </row>
    <row r="1596" spans="12:18" x14ac:dyDescent="0.25">
      <c r="L1596" s="26">
        <v>41759</v>
      </c>
      <c r="M1596" s="6">
        <v>66.680000000000007</v>
      </c>
      <c r="N1596" s="6">
        <v>67.029999000000004</v>
      </c>
      <c r="O1596" s="6">
        <v>66.260002</v>
      </c>
      <c r="P1596" s="6">
        <v>66.830001999999993</v>
      </c>
      <c r="Q1596" s="6">
        <v>57.405406999999997</v>
      </c>
      <c r="R1596" s="58">
        <v>2940100</v>
      </c>
    </row>
    <row r="1597" spans="12:18" x14ac:dyDescent="0.25">
      <c r="L1597" s="26">
        <v>41760</v>
      </c>
      <c r="M1597" s="6">
        <v>66.940002000000007</v>
      </c>
      <c r="N1597" s="6">
        <v>67.239998</v>
      </c>
      <c r="O1597" s="6">
        <v>65.019997000000004</v>
      </c>
      <c r="P1597" s="6">
        <v>65.370002999999997</v>
      </c>
      <c r="Q1597" s="6">
        <v>56.151299000000002</v>
      </c>
      <c r="R1597" s="58">
        <v>3984900</v>
      </c>
    </row>
    <row r="1598" spans="12:18" x14ac:dyDescent="0.25">
      <c r="L1598" s="26">
        <v>41761</v>
      </c>
      <c r="M1598" s="6">
        <v>65.370002999999997</v>
      </c>
      <c r="N1598" s="6">
        <v>65.620002999999997</v>
      </c>
      <c r="O1598" s="6">
        <v>64.910004000000001</v>
      </c>
      <c r="P1598" s="6">
        <v>65.599997999999999</v>
      </c>
      <c r="Q1598" s="6">
        <v>56.348866000000001</v>
      </c>
      <c r="R1598" s="58">
        <v>3002700</v>
      </c>
    </row>
    <row r="1599" spans="12:18" x14ac:dyDescent="0.25">
      <c r="L1599" s="26">
        <v>41764</v>
      </c>
      <c r="M1599" s="6">
        <v>65.5</v>
      </c>
      <c r="N1599" s="6">
        <v>65.540001000000004</v>
      </c>
      <c r="O1599" s="6">
        <v>64.800003000000004</v>
      </c>
      <c r="P1599" s="6">
        <v>65.050003000000004</v>
      </c>
      <c r="Q1599" s="6">
        <v>55.876430999999997</v>
      </c>
      <c r="R1599" s="58">
        <v>2209600</v>
      </c>
    </row>
    <row r="1600" spans="12:18" x14ac:dyDescent="0.25">
      <c r="L1600" s="26">
        <v>41765</v>
      </c>
      <c r="M1600" s="6">
        <v>65.239998</v>
      </c>
      <c r="N1600" s="6">
        <v>65.720000999999996</v>
      </c>
      <c r="O1600" s="6">
        <v>65.110000999999997</v>
      </c>
      <c r="P1600" s="6">
        <v>65.339995999999999</v>
      </c>
      <c r="Q1600" s="6">
        <v>56.125529999999998</v>
      </c>
      <c r="R1600" s="58">
        <v>2645000</v>
      </c>
    </row>
    <row r="1601" spans="12:18" x14ac:dyDescent="0.25">
      <c r="L1601" s="26">
        <v>41766</v>
      </c>
      <c r="M1601" s="6">
        <v>65.540001000000004</v>
      </c>
      <c r="N1601" s="6">
        <v>66.150002000000001</v>
      </c>
      <c r="O1601" s="6">
        <v>65.489998</v>
      </c>
      <c r="P1601" s="6">
        <v>66.069999999999993</v>
      </c>
      <c r="Q1601" s="6">
        <v>56.752578999999997</v>
      </c>
      <c r="R1601" s="58">
        <v>2340000</v>
      </c>
    </row>
    <row r="1602" spans="12:18" x14ac:dyDescent="0.25">
      <c r="L1602" s="26">
        <v>41767</v>
      </c>
      <c r="M1602" s="6">
        <v>65.989998</v>
      </c>
      <c r="N1602" s="6">
        <v>66.260002</v>
      </c>
      <c r="O1602" s="6">
        <v>65.809997999999993</v>
      </c>
      <c r="P1602" s="6">
        <v>66.029999000000004</v>
      </c>
      <c r="Q1602" s="6">
        <v>56.718220000000002</v>
      </c>
      <c r="R1602" s="58">
        <v>1170100</v>
      </c>
    </row>
    <row r="1603" spans="12:18" x14ac:dyDescent="0.25">
      <c r="L1603" s="26">
        <v>41768</v>
      </c>
      <c r="M1603" s="6">
        <v>66.260002</v>
      </c>
      <c r="N1603" s="6">
        <v>67.220000999999996</v>
      </c>
      <c r="O1603" s="6">
        <v>65.959998999999996</v>
      </c>
      <c r="P1603" s="6">
        <v>67.209998999999996</v>
      </c>
      <c r="Q1603" s="6">
        <v>57.731814999999997</v>
      </c>
      <c r="R1603" s="58">
        <v>2325500</v>
      </c>
    </row>
    <row r="1604" spans="12:18" x14ac:dyDescent="0.25">
      <c r="L1604" s="26">
        <v>41771</v>
      </c>
      <c r="M1604" s="6">
        <v>67.410004000000001</v>
      </c>
      <c r="N1604" s="6">
        <v>68.800003000000004</v>
      </c>
      <c r="O1604" s="6">
        <v>67.360000999999997</v>
      </c>
      <c r="P1604" s="6">
        <v>68.419998000000007</v>
      </c>
      <c r="Q1604" s="6">
        <v>58.771183000000001</v>
      </c>
      <c r="R1604" s="58">
        <v>4235900</v>
      </c>
    </row>
    <row r="1605" spans="12:18" x14ac:dyDescent="0.25">
      <c r="L1605" s="26">
        <v>41772</v>
      </c>
      <c r="M1605" s="6">
        <v>68.150002000000001</v>
      </c>
      <c r="N1605" s="6">
        <v>68.360000999999997</v>
      </c>
      <c r="O1605" s="6">
        <v>67.669998000000007</v>
      </c>
      <c r="P1605" s="6">
        <v>68.110000999999997</v>
      </c>
      <c r="Q1605" s="6">
        <v>58.504897999999997</v>
      </c>
      <c r="R1605" s="58">
        <v>3030800</v>
      </c>
    </row>
    <row r="1606" spans="12:18" x14ac:dyDescent="0.25">
      <c r="L1606" s="26">
        <v>41773</v>
      </c>
      <c r="M1606" s="6">
        <v>68.099997999999999</v>
      </c>
      <c r="N1606" s="6">
        <v>68.099997999999999</v>
      </c>
      <c r="O1606" s="6">
        <v>67.540001000000004</v>
      </c>
      <c r="P1606" s="6">
        <v>67.580001999999993</v>
      </c>
      <c r="Q1606" s="6">
        <v>58.049647999999998</v>
      </c>
      <c r="R1606" s="58">
        <v>1066600</v>
      </c>
    </row>
    <row r="1607" spans="12:18" x14ac:dyDescent="0.25">
      <c r="L1607" s="26">
        <v>41774</v>
      </c>
      <c r="M1607" s="6">
        <v>68.169998000000007</v>
      </c>
      <c r="N1607" s="6">
        <v>68.419998000000007</v>
      </c>
      <c r="O1607" s="6">
        <v>67.080001999999993</v>
      </c>
      <c r="P1607" s="6">
        <v>67.230002999999996</v>
      </c>
      <c r="Q1607" s="6">
        <v>57.749001</v>
      </c>
      <c r="R1607" s="58">
        <v>1449800</v>
      </c>
    </row>
    <row r="1608" spans="12:18" x14ac:dyDescent="0.25">
      <c r="L1608" s="26">
        <v>41775</v>
      </c>
      <c r="M1608" s="6">
        <v>66.989998</v>
      </c>
      <c r="N1608" s="6">
        <v>67.569999999999993</v>
      </c>
      <c r="O1608" s="6">
        <v>66.980002999999996</v>
      </c>
      <c r="P1608" s="6">
        <v>67.540001000000004</v>
      </c>
      <c r="Q1608" s="6">
        <v>58.015273999999998</v>
      </c>
      <c r="R1608" s="58">
        <v>1690400</v>
      </c>
    </row>
    <row r="1609" spans="12:18" x14ac:dyDescent="0.25">
      <c r="L1609" s="26">
        <v>41778</v>
      </c>
      <c r="M1609" s="6">
        <v>67.360000999999997</v>
      </c>
      <c r="N1609" s="6">
        <v>67.629997000000003</v>
      </c>
      <c r="O1609" s="6">
        <v>67</v>
      </c>
      <c r="P1609" s="6">
        <v>67.599997999999999</v>
      </c>
      <c r="Q1609" s="6">
        <v>58.066817999999998</v>
      </c>
      <c r="R1609" s="58">
        <v>1570700</v>
      </c>
    </row>
    <row r="1610" spans="12:18" x14ac:dyDescent="0.25">
      <c r="L1610" s="26">
        <v>41779</v>
      </c>
      <c r="M1610" s="6">
        <v>67.550003000000004</v>
      </c>
      <c r="N1610" s="6">
        <v>67.879997000000003</v>
      </c>
      <c r="O1610" s="6">
        <v>67.050003000000004</v>
      </c>
      <c r="P1610" s="6">
        <v>67.790001000000004</v>
      </c>
      <c r="Q1610" s="6">
        <v>58.230015000000002</v>
      </c>
      <c r="R1610" s="58">
        <v>1907100</v>
      </c>
    </row>
    <row r="1611" spans="12:18" x14ac:dyDescent="0.25">
      <c r="L1611" s="26">
        <v>41780</v>
      </c>
      <c r="M1611" s="6">
        <v>67.919998000000007</v>
      </c>
      <c r="N1611" s="6">
        <v>67.919998000000007</v>
      </c>
      <c r="O1611" s="6">
        <v>67.239998</v>
      </c>
      <c r="P1611" s="6">
        <v>67.790001000000004</v>
      </c>
      <c r="Q1611" s="6">
        <v>58.230015000000002</v>
      </c>
      <c r="R1611" s="58">
        <v>1056500</v>
      </c>
    </row>
    <row r="1612" spans="12:18" x14ac:dyDescent="0.25">
      <c r="L1612" s="26">
        <v>41781</v>
      </c>
      <c r="M1612" s="6">
        <v>67.639999000000003</v>
      </c>
      <c r="N1612" s="6">
        <v>67.75</v>
      </c>
      <c r="O1612" s="6">
        <v>67.319999999999993</v>
      </c>
      <c r="P1612" s="6">
        <v>67.650002000000001</v>
      </c>
      <c r="Q1612" s="6">
        <v>58.109772</v>
      </c>
      <c r="R1612" s="58">
        <v>755100</v>
      </c>
    </row>
    <row r="1613" spans="12:18" x14ac:dyDescent="0.25">
      <c r="L1613" s="26">
        <v>41782</v>
      </c>
      <c r="M1613" s="6">
        <v>67.849997999999999</v>
      </c>
      <c r="N1613" s="6">
        <v>67.849997999999999</v>
      </c>
      <c r="O1613" s="6">
        <v>67.300003000000004</v>
      </c>
      <c r="P1613" s="6">
        <v>67.559997999999993</v>
      </c>
      <c r="Q1613" s="6">
        <v>58.032440000000001</v>
      </c>
      <c r="R1613" s="58">
        <v>799900</v>
      </c>
    </row>
    <row r="1614" spans="12:18" x14ac:dyDescent="0.25">
      <c r="L1614" s="26">
        <v>41786</v>
      </c>
      <c r="M1614" s="6">
        <v>67.980002999999996</v>
      </c>
      <c r="N1614" s="6">
        <v>68.199996999999996</v>
      </c>
      <c r="O1614" s="6">
        <v>67.709998999999996</v>
      </c>
      <c r="P1614" s="6">
        <v>67.980002999999996</v>
      </c>
      <c r="Q1614" s="6">
        <v>58.393230000000003</v>
      </c>
      <c r="R1614" s="58">
        <v>1506000</v>
      </c>
    </row>
    <row r="1615" spans="12:18" x14ac:dyDescent="0.25">
      <c r="L1615" s="26">
        <v>41787</v>
      </c>
      <c r="M1615" s="6">
        <v>68</v>
      </c>
      <c r="N1615" s="6">
        <v>68.180000000000007</v>
      </c>
      <c r="O1615" s="6">
        <v>67.819999999999993</v>
      </c>
      <c r="P1615" s="6">
        <v>68.019997000000004</v>
      </c>
      <c r="Q1615" s="6">
        <v>58.427585999999998</v>
      </c>
      <c r="R1615" s="58">
        <v>1066000</v>
      </c>
    </row>
    <row r="1616" spans="12:18" x14ac:dyDescent="0.25">
      <c r="L1616" s="26">
        <v>41788</v>
      </c>
      <c r="M1616" s="6">
        <v>67.669998000000007</v>
      </c>
      <c r="N1616" s="6">
        <v>68.870002999999997</v>
      </c>
      <c r="O1616" s="6">
        <v>67.540001000000004</v>
      </c>
      <c r="P1616" s="6">
        <v>68.730002999999996</v>
      </c>
      <c r="Q1616" s="6">
        <v>59.439425999999997</v>
      </c>
      <c r="R1616" s="58">
        <v>1851200</v>
      </c>
    </row>
    <row r="1617" spans="12:18" x14ac:dyDescent="0.25">
      <c r="L1617" s="26">
        <v>41789</v>
      </c>
      <c r="M1617" s="6">
        <v>68.769997000000004</v>
      </c>
      <c r="N1617" s="6">
        <v>69</v>
      </c>
      <c r="O1617" s="6">
        <v>68.279999000000004</v>
      </c>
      <c r="P1617" s="6">
        <v>68.980002999999996</v>
      </c>
      <c r="Q1617" s="6">
        <v>59.655642999999998</v>
      </c>
      <c r="R1617" s="58">
        <v>2160700</v>
      </c>
    </row>
    <row r="1618" spans="12:18" x14ac:dyDescent="0.25">
      <c r="L1618" s="26">
        <v>41792</v>
      </c>
      <c r="M1618" s="6">
        <v>69</v>
      </c>
      <c r="N1618" s="6">
        <v>69.370002999999997</v>
      </c>
      <c r="O1618" s="6">
        <v>69</v>
      </c>
      <c r="P1618" s="6">
        <v>69.120002999999997</v>
      </c>
      <c r="Q1618" s="6">
        <v>59.776718000000002</v>
      </c>
      <c r="R1618" s="58">
        <v>1778100</v>
      </c>
    </row>
    <row r="1619" spans="12:18" x14ac:dyDescent="0.25">
      <c r="L1619" s="26">
        <v>41793</v>
      </c>
      <c r="M1619" s="6">
        <v>68.779999000000004</v>
      </c>
      <c r="N1619" s="6">
        <v>69.110000999999997</v>
      </c>
      <c r="O1619" s="6">
        <v>68.669998000000007</v>
      </c>
      <c r="P1619" s="6">
        <v>69.080001999999993</v>
      </c>
      <c r="Q1619" s="6">
        <v>59.742130000000003</v>
      </c>
      <c r="R1619" s="58">
        <v>2798400</v>
      </c>
    </row>
    <row r="1620" spans="12:18" x14ac:dyDescent="0.25">
      <c r="L1620" s="26">
        <v>41794</v>
      </c>
      <c r="M1620" s="6">
        <v>68.959998999999996</v>
      </c>
      <c r="N1620" s="6">
        <v>69.400002000000001</v>
      </c>
      <c r="O1620" s="6">
        <v>68.940002000000007</v>
      </c>
      <c r="P1620" s="6">
        <v>69.389999000000003</v>
      </c>
      <c r="Q1620" s="6">
        <v>60.010230999999997</v>
      </c>
      <c r="R1620" s="58">
        <v>1428200</v>
      </c>
    </row>
    <row r="1621" spans="12:18" x14ac:dyDescent="0.25">
      <c r="L1621" s="26">
        <v>41795</v>
      </c>
      <c r="M1621" s="6">
        <v>69.5</v>
      </c>
      <c r="N1621" s="6">
        <v>69.5</v>
      </c>
      <c r="O1621" s="6">
        <v>68.769997000000004</v>
      </c>
      <c r="P1621" s="6">
        <v>68.839995999999999</v>
      </c>
      <c r="Q1621" s="6">
        <v>59.534565000000001</v>
      </c>
      <c r="R1621" s="58">
        <v>1250300</v>
      </c>
    </row>
    <row r="1622" spans="12:18" x14ac:dyDescent="0.25">
      <c r="L1622" s="26">
        <v>41796</v>
      </c>
      <c r="M1622" s="6">
        <v>68.769997000000004</v>
      </c>
      <c r="N1622" s="6">
        <v>68.970000999999996</v>
      </c>
      <c r="O1622" s="6">
        <v>68.430000000000007</v>
      </c>
      <c r="P1622" s="6">
        <v>68.910004000000001</v>
      </c>
      <c r="Q1622" s="6">
        <v>59.595115999999997</v>
      </c>
      <c r="R1622" s="58">
        <v>1459900</v>
      </c>
    </row>
    <row r="1623" spans="12:18" x14ac:dyDescent="0.25">
      <c r="L1623" s="26">
        <v>41799</v>
      </c>
      <c r="M1623" s="6">
        <v>68.599997999999999</v>
      </c>
      <c r="N1623" s="6">
        <v>68.889999000000003</v>
      </c>
      <c r="O1623" s="6">
        <v>68.019997000000004</v>
      </c>
      <c r="P1623" s="6">
        <v>68.120002999999997</v>
      </c>
      <c r="Q1623" s="6">
        <v>58.911884000000001</v>
      </c>
      <c r="R1623" s="58">
        <v>1599700</v>
      </c>
    </row>
    <row r="1624" spans="12:18" x14ac:dyDescent="0.25">
      <c r="L1624" s="26">
        <v>41800</v>
      </c>
      <c r="M1624" s="6">
        <v>67.889999000000003</v>
      </c>
      <c r="N1624" s="6">
        <v>68.449996999999996</v>
      </c>
      <c r="O1624" s="6">
        <v>67.889999000000003</v>
      </c>
      <c r="P1624" s="6">
        <v>68.059997999999993</v>
      </c>
      <c r="Q1624" s="6">
        <v>58.860004000000004</v>
      </c>
      <c r="R1624" s="58">
        <v>1398300</v>
      </c>
    </row>
    <row r="1625" spans="12:18" x14ac:dyDescent="0.25">
      <c r="L1625" s="26">
        <v>41801</v>
      </c>
      <c r="M1625" s="6">
        <v>68.059997999999993</v>
      </c>
      <c r="N1625" s="6">
        <v>68.319999999999993</v>
      </c>
      <c r="O1625" s="6">
        <v>67.389999000000003</v>
      </c>
      <c r="P1625" s="6">
        <v>67.610000999999997</v>
      </c>
      <c r="Q1625" s="6">
        <v>58.470832999999999</v>
      </c>
      <c r="R1625" s="58">
        <v>1471800</v>
      </c>
    </row>
    <row r="1626" spans="12:18" x14ac:dyDescent="0.25">
      <c r="L1626" s="26">
        <v>41802</v>
      </c>
      <c r="M1626" s="6">
        <v>67.739998</v>
      </c>
      <c r="N1626" s="6">
        <v>68</v>
      </c>
      <c r="O1626" s="6">
        <v>67.059997999999993</v>
      </c>
      <c r="P1626" s="6">
        <v>67.230002999999996</v>
      </c>
      <c r="Q1626" s="6">
        <v>58.142192999999999</v>
      </c>
      <c r="R1626" s="58">
        <v>1116800</v>
      </c>
    </row>
    <row r="1627" spans="12:18" x14ac:dyDescent="0.25">
      <c r="L1627" s="26">
        <v>41803</v>
      </c>
      <c r="M1627" s="6">
        <v>67.169998000000007</v>
      </c>
      <c r="N1627" s="6">
        <v>67.389999000000003</v>
      </c>
      <c r="O1627" s="6">
        <v>66.870002999999997</v>
      </c>
      <c r="P1627" s="6">
        <v>67.209998999999996</v>
      </c>
      <c r="Q1627" s="6">
        <v>58.124889000000003</v>
      </c>
      <c r="R1627" s="58">
        <v>1083900</v>
      </c>
    </row>
    <row r="1628" spans="12:18" x14ac:dyDescent="0.25">
      <c r="L1628" s="26">
        <v>41806</v>
      </c>
      <c r="M1628" s="6">
        <v>67.339995999999999</v>
      </c>
      <c r="N1628" s="6">
        <v>67.540001000000004</v>
      </c>
      <c r="O1628" s="6">
        <v>67.089995999999999</v>
      </c>
      <c r="P1628" s="6">
        <v>67.440002000000007</v>
      </c>
      <c r="Q1628" s="6">
        <v>58.323810999999999</v>
      </c>
      <c r="R1628" s="58">
        <v>1115400</v>
      </c>
    </row>
    <row r="1629" spans="12:18" x14ac:dyDescent="0.25">
      <c r="L1629" s="26">
        <v>41807</v>
      </c>
      <c r="M1629" s="6">
        <v>67.449996999999996</v>
      </c>
      <c r="N1629" s="6">
        <v>67.569999999999993</v>
      </c>
      <c r="O1629" s="6">
        <v>66.629997000000003</v>
      </c>
      <c r="P1629" s="6">
        <v>66.699996999999996</v>
      </c>
      <c r="Q1629" s="6">
        <v>57.683849000000002</v>
      </c>
      <c r="R1629" s="58">
        <v>1792400</v>
      </c>
    </row>
    <row r="1630" spans="12:18" x14ac:dyDescent="0.25">
      <c r="L1630" s="26">
        <v>41808</v>
      </c>
      <c r="M1630" s="6">
        <v>66.290001000000004</v>
      </c>
      <c r="N1630" s="6">
        <v>66.870002999999997</v>
      </c>
      <c r="O1630" s="6">
        <v>65.720000999999996</v>
      </c>
      <c r="P1630" s="6">
        <v>66.839995999999999</v>
      </c>
      <c r="Q1630" s="6">
        <v>57.804915999999999</v>
      </c>
      <c r="R1630" s="58">
        <v>2872400</v>
      </c>
    </row>
    <row r="1631" spans="12:18" x14ac:dyDescent="0.25">
      <c r="L1631" s="26">
        <v>41809</v>
      </c>
      <c r="M1631" s="6">
        <v>66.970000999999996</v>
      </c>
      <c r="N1631" s="6">
        <v>67.290001000000004</v>
      </c>
      <c r="O1631" s="6">
        <v>66.720000999999996</v>
      </c>
      <c r="P1631" s="6">
        <v>66.930000000000007</v>
      </c>
      <c r="Q1631" s="6">
        <v>57.882755000000003</v>
      </c>
      <c r="R1631" s="58">
        <v>1156000</v>
      </c>
    </row>
    <row r="1632" spans="12:18" x14ac:dyDescent="0.25">
      <c r="L1632" s="26">
        <v>41810</v>
      </c>
      <c r="M1632" s="6">
        <v>67.080001999999993</v>
      </c>
      <c r="N1632" s="6">
        <v>67.430000000000007</v>
      </c>
      <c r="O1632" s="6">
        <v>66.940002000000007</v>
      </c>
      <c r="P1632" s="6">
        <v>67.239998</v>
      </c>
      <c r="Q1632" s="6">
        <v>58.150855999999997</v>
      </c>
      <c r="R1632" s="58">
        <v>2401900</v>
      </c>
    </row>
    <row r="1633" spans="12:18" x14ac:dyDescent="0.25">
      <c r="L1633" s="26">
        <v>41813</v>
      </c>
      <c r="M1633" s="6">
        <v>67.169998000000007</v>
      </c>
      <c r="N1633" s="6">
        <v>67.190002000000007</v>
      </c>
      <c r="O1633" s="6">
        <v>66.089995999999999</v>
      </c>
      <c r="P1633" s="6">
        <v>66.430000000000007</v>
      </c>
      <c r="Q1633" s="6">
        <v>57.450339999999997</v>
      </c>
      <c r="R1633" s="58">
        <v>1746000</v>
      </c>
    </row>
    <row r="1634" spans="12:18" x14ac:dyDescent="0.25">
      <c r="L1634" s="26">
        <v>41814</v>
      </c>
      <c r="M1634" s="6">
        <v>66.400002000000001</v>
      </c>
      <c r="N1634" s="6">
        <v>66.400002000000001</v>
      </c>
      <c r="O1634" s="6">
        <v>65.849997999999999</v>
      </c>
      <c r="P1634" s="6">
        <v>65.870002999999997</v>
      </c>
      <c r="Q1634" s="6">
        <v>56.966042000000002</v>
      </c>
      <c r="R1634" s="58">
        <v>1088800</v>
      </c>
    </row>
    <row r="1635" spans="12:18" x14ac:dyDescent="0.25">
      <c r="L1635" s="26">
        <v>41815</v>
      </c>
      <c r="M1635" s="6">
        <v>65.480002999999996</v>
      </c>
      <c r="N1635" s="6">
        <v>65.480002999999996</v>
      </c>
      <c r="O1635" s="6">
        <v>64.5</v>
      </c>
      <c r="P1635" s="6">
        <v>64.900002000000001</v>
      </c>
      <c r="Q1635" s="6">
        <v>56.127163000000003</v>
      </c>
      <c r="R1635" s="58">
        <v>2201700</v>
      </c>
    </row>
    <row r="1636" spans="12:18" x14ac:dyDescent="0.25">
      <c r="L1636" s="26">
        <v>41816</v>
      </c>
      <c r="M1636" s="6">
        <v>64.989998</v>
      </c>
      <c r="N1636" s="6">
        <v>65.099997999999999</v>
      </c>
      <c r="O1636" s="6">
        <v>64.470000999999996</v>
      </c>
      <c r="P1636" s="6">
        <v>64.819999999999993</v>
      </c>
      <c r="Q1636" s="6">
        <v>56.057971999999999</v>
      </c>
      <c r="R1636" s="58">
        <v>1751500</v>
      </c>
    </row>
    <row r="1637" spans="12:18" x14ac:dyDescent="0.25">
      <c r="L1637" s="26">
        <v>41817</v>
      </c>
      <c r="M1637" s="6">
        <v>64.779999000000004</v>
      </c>
      <c r="N1637" s="6">
        <v>65.010002</v>
      </c>
      <c r="O1637" s="6">
        <v>64.589995999999999</v>
      </c>
      <c r="P1637" s="6">
        <v>64.959998999999996</v>
      </c>
      <c r="Q1637" s="6">
        <v>56.179046999999997</v>
      </c>
      <c r="R1637" s="58">
        <v>1340600</v>
      </c>
    </row>
    <row r="1638" spans="12:18" x14ac:dyDescent="0.25">
      <c r="L1638" s="26">
        <v>41820</v>
      </c>
      <c r="M1638" s="6">
        <v>65.199996999999996</v>
      </c>
      <c r="N1638" s="6">
        <v>65.730002999999996</v>
      </c>
      <c r="O1638" s="6">
        <v>64.830001999999993</v>
      </c>
      <c r="P1638" s="6">
        <v>65.699996999999996</v>
      </c>
      <c r="Q1638" s="6">
        <v>56.819018999999997</v>
      </c>
      <c r="R1638" s="58">
        <v>2392200</v>
      </c>
    </row>
    <row r="1639" spans="12:18" x14ac:dyDescent="0.25">
      <c r="L1639" s="26">
        <v>41821</v>
      </c>
      <c r="M1639" s="6">
        <v>65.480002999999996</v>
      </c>
      <c r="N1639" s="6">
        <v>65.980002999999996</v>
      </c>
      <c r="O1639" s="6">
        <v>65.139999000000003</v>
      </c>
      <c r="P1639" s="6">
        <v>65.860000999999997</v>
      </c>
      <c r="Q1639" s="6">
        <v>56.957394000000001</v>
      </c>
      <c r="R1639" s="58">
        <v>2132500</v>
      </c>
    </row>
    <row r="1640" spans="12:18" x14ac:dyDescent="0.25">
      <c r="L1640" s="26">
        <v>41822</v>
      </c>
      <c r="M1640" s="6">
        <v>65.800003000000004</v>
      </c>
      <c r="N1640" s="6">
        <v>66.169998000000007</v>
      </c>
      <c r="O1640" s="6">
        <v>65.760002</v>
      </c>
      <c r="P1640" s="6">
        <v>66.050003000000004</v>
      </c>
      <c r="Q1640" s="6">
        <v>57.121699999999997</v>
      </c>
      <c r="R1640" s="58">
        <v>1300800</v>
      </c>
    </row>
    <row r="1641" spans="12:18" x14ac:dyDescent="0.25">
      <c r="L1641" s="26">
        <v>41823</v>
      </c>
      <c r="M1641" s="6">
        <v>66.370002999999997</v>
      </c>
      <c r="N1641" s="6">
        <v>66.730002999999996</v>
      </c>
      <c r="O1641" s="6">
        <v>66.190002000000007</v>
      </c>
      <c r="P1641" s="6">
        <v>66.410004000000001</v>
      </c>
      <c r="Q1641" s="6">
        <v>57.433036999999999</v>
      </c>
      <c r="R1641" s="58">
        <v>1236700</v>
      </c>
    </row>
    <row r="1642" spans="12:18" x14ac:dyDescent="0.25">
      <c r="L1642" s="26">
        <v>41827</v>
      </c>
      <c r="M1642" s="6">
        <v>66.339995999999999</v>
      </c>
      <c r="N1642" s="6">
        <v>66.470000999999996</v>
      </c>
      <c r="O1642" s="6">
        <v>65.739998</v>
      </c>
      <c r="P1642" s="6">
        <v>65.860000999999997</v>
      </c>
      <c r="Q1642" s="6">
        <v>56.957394000000001</v>
      </c>
      <c r="R1642" s="58">
        <v>1798500</v>
      </c>
    </row>
    <row r="1643" spans="12:18" x14ac:dyDescent="0.25">
      <c r="L1643" s="26">
        <v>41828</v>
      </c>
      <c r="M1643" s="6">
        <v>65.889999000000003</v>
      </c>
      <c r="N1643" s="6">
        <v>66.309997999999993</v>
      </c>
      <c r="O1643" s="6">
        <v>65.709998999999996</v>
      </c>
      <c r="P1643" s="6">
        <v>66.059997999999993</v>
      </c>
      <c r="Q1643" s="6">
        <v>57.130352000000002</v>
      </c>
      <c r="R1643" s="58">
        <v>1779900</v>
      </c>
    </row>
    <row r="1644" spans="12:18" x14ac:dyDescent="0.25">
      <c r="L1644" s="26">
        <v>41829</v>
      </c>
      <c r="M1644" s="6">
        <v>66.169998000000007</v>
      </c>
      <c r="N1644" s="6">
        <v>66.459998999999996</v>
      </c>
      <c r="O1644" s="6">
        <v>65.849997999999999</v>
      </c>
      <c r="P1644" s="6">
        <v>66.099997999999999</v>
      </c>
      <c r="Q1644" s="6">
        <v>57.164943999999998</v>
      </c>
      <c r="R1644" s="58">
        <v>1415100</v>
      </c>
    </row>
    <row r="1645" spans="12:18" x14ac:dyDescent="0.25">
      <c r="L1645" s="26">
        <v>41830</v>
      </c>
      <c r="M1645" s="6">
        <v>65.610000999999997</v>
      </c>
      <c r="N1645" s="6">
        <v>65.989998</v>
      </c>
      <c r="O1645" s="6">
        <v>65.580001999999993</v>
      </c>
      <c r="P1645" s="6">
        <v>65.879997000000003</v>
      </c>
      <c r="Q1645" s="6">
        <v>56.974688999999998</v>
      </c>
      <c r="R1645" s="58">
        <v>1201900</v>
      </c>
    </row>
    <row r="1646" spans="12:18" x14ac:dyDescent="0.25">
      <c r="L1646" s="26">
        <v>41831</v>
      </c>
      <c r="M1646" s="6">
        <v>65.900002000000001</v>
      </c>
      <c r="N1646" s="6">
        <v>66.050003000000004</v>
      </c>
      <c r="O1646" s="6">
        <v>65.529999000000004</v>
      </c>
      <c r="P1646" s="6">
        <v>65.949996999999996</v>
      </c>
      <c r="Q1646" s="6">
        <v>57.035217000000003</v>
      </c>
      <c r="R1646" s="58">
        <v>1069600</v>
      </c>
    </row>
    <row r="1647" spans="12:18" x14ac:dyDescent="0.25">
      <c r="L1647" s="26">
        <v>41834</v>
      </c>
      <c r="M1647" s="6">
        <v>66.279999000000004</v>
      </c>
      <c r="N1647" s="6">
        <v>66.449996999999996</v>
      </c>
      <c r="O1647" s="6">
        <v>66</v>
      </c>
      <c r="P1647" s="6">
        <v>66.199996999999996</v>
      </c>
      <c r="Q1647" s="6">
        <v>57.251427</v>
      </c>
      <c r="R1647" s="58">
        <v>1011900</v>
      </c>
    </row>
    <row r="1648" spans="12:18" x14ac:dyDescent="0.25">
      <c r="L1648" s="26">
        <v>41835</v>
      </c>
      <c r="M1648" s="6">
        <v>65.330001999999993</v>
      </c>
      <c r="N1648" s="6">
        <v>65.720000999999996</v>
      </c>
      <c r="O1648" s="6">
        <v>65.139999000000003</v>
      </c>
      <c r="P1648" s="6">
        <v>65.559997999999993</v>
      </c>
      <c r="Q1648" s="6">
        <v>56.697944999999997</v>
      </c>
      <c r="R1648" s="58">
        <v>3098400</v>
      </c>
    </row>
    <row r="1649" spans="12:18" x14ac:dyDescent="0.25">
      <c r="L1649" s="26">
        <v>41836</v>
      </c>
      <c r="M1649" s="6">
        <v>65.75</v>
      </c>
      <c r="N1649" s="6">
        <v>66.019997000000004</v>
      </c>
      <c r="O1649" s="6">
        <v>65.449996999999996</v>
      </c>
      <c r="P1649" s="6">
        <v>66.019997000000004</v>
      </c>
      <c r="Q1649" s="6">
        <v>57.095753000000002</v>
      </c>
      <c r="R1649" s="58">
        <v>1290300</v>
      </c>
    </row>
    <row r="1650" spans="12:18" x14ac:dyDescent="0.25">
      <c r="L1650" s="26">
        <v>41837</v>
      </c>
      <c r="M1650" s="6">
        <v>65.949996999999996</v>
      </c>
      <c r="N1650" s="6">
        <v>66.160004000000001</v>
      </c>
      <c r="O1650" s="6">
        <v>65.709998999999996</v>
      </c>
      <c r="P1650" s="6">
        <v>65.910004000000001</v>
      </c>
      <c r="Q1650" s="6">
        <v>57.000636999999998</v>
      </c>
      <c r="R1650" s="58">
        <v>1487300</v>
      </c>
    </row>
    <row r="1651" spans="12:18" x14ac:dyDescent="0.25">
      <c r="L1651" s="26">
        <v>41838</v>
      </c>
      <c r="M1651" s="6">
        <v>66.040001000000004</v>
      </c>
      <c r="N1651" s="6">
        <v>66.349997999999999</v>
      </c>
      <c r="O1651" s="6">
        <v>65.790001000000004</v>
      </c>
      <c r="P1651" s="6">
        <v>66.169998000000007</v>
      </c>
      <c r="Q1651" s="6">
        <v>57.225482999999997</v>
      </c>
      <c r="R1651" s="58">
        <v>1365200</v>
      </c>
    </row>
    <row r="1652" spans="12:18" x14ac:dyDescent="0.25">
      <c r="L1652" s="26">
        <v>41841</v>
      </c>
      <c r="M1652" s="6">
        <v>65.790001000000004</v>
      </c>
      <c r="N1652" s="6">
        <v>66.230002999999996</v>
      </c>
      <c r="O1652" s="6">
        <v>65.769997000000004</v>
      </c>
      <c r="P1652" s="6">
        <v>66.099997999999999</v>
      </c>
      <c r="Q1652" s="6">
        <v>57.164943999999998</v>
      </c>
      <c r="R1652" s="58">
        <v>940300</v>
      </c>
    </row>
    <row r="1653" spans="12:18" x14ac:dyDescent="0.25">
      <c r="L1653" s="26">
        <v>41842</v>
      </c>
      <c r="M1653" s="6">
        <v>66.150002000000001</v>
      </c>
      <c r="N1653" s="6">
        <v>66.5</v>
      </c>
      <c r="O1653" s="6">
        <v>66.059997999999993</v>
      </c>
      <c r="P1653" s="6">
        <v>66.269997000000004</v>
      </c>
      <c r="Q1653" s="6">
        <v>57.311962000000001</v>
      </c>
      <c r="R1653" s="58">
        <v>1081300</v>
      </c>
    </row>
    <row r="1654" spans="12:18" x14ac:dyDescent="0.25">
      <c r="L1654" s="26">
        <v>41843</v>
      </c>
      <c r="M1654" s="6">
        <v>66.389999000000003</v>
      </c>
      <c r="N1654" s="6">
        <v>66.430000000000007</v>
      </c>
      <c r="O1654" s="6">
        <v>65.360000999999997</v>
      </c>
      <c r="P1654" s="6">
        <v>65.440002000000007</v>
      </c>
      <c r="Q1654" s="6">
        <v>56.594169999999998</v>
      </c>
      <c r="R1654" s="58">
        <v>1399300</v>
      </c>
    </row>
    <row r="1655" spans="12:18" x14ac:dyDescent="0.25">
      <c r="L1655" s="26">
        <v>41844</v>
      </c>
      <c r="M1655" s="6">
        <v>65.580001999999993</v>
      </c>
      <c r="N1655" s="6">
        <v>65.830001999999993</v>
      </c>
      <c r="O1655" s="6">
        <v>65.470000999999996</v>
      </c>
      <c r="P1655" s="6">
        <v>65.680000000000007</v>
      </c>
      <c r="Q1655" s="6">
        <v>56.801715999999999</v>
      </c>
      <c r="R1655" s="58">
        <v>885600</v>
      </c>
    </row>
    <row r="1656" spans="12:18" x14ac:dyDescent="0.25">
      <c r="L1656" s="26">
        <v>41845</v>
      </c>
      <c r="M1656" s="6">
        <v>65.580001999999993</v>
      </c>
      <c r="N1656" s="6">
        <v>65.709998999999996</v>
      </c>
      <c r="O1656" s="6">
        <v>65.190002000000007</v>
      </c>
      <c r="P1656" s="6">
        <v>65.370002999999997</v>
      </c>
      <c r="Q1656" s="6">
        <v>56.533627000000003</v>
      </c>
      <c r="R1656" s="58">
        <v>725300</v>
      </c>
    </row>
    <row r="1657" spans="12:18" x14ac:dyDescent="0.25">
      <c r="L1657" s="26">
        <v>41848</v>
      </c>
      <c r="M1657" s="6">
        <v>65.419998000000007</v>
      </c>
      <c r="N1657" s="6">
        <v>65.559997999999993</v>
      </c>
      <c r="O1657" s="6">
        <v>65.120002999999997</v>
      </c>
      <c r="P1657" s="6">
        <v>65.440002000000007</v>
      </c>
      <c r="Q1657" s="6">
        <v>56.594169999999998</v>
      </c>
      <c r="R1657" s="58">
        <v>1192300</v>
      </c>
    </row>
    <row r="1658" spans="12:18" x14ac:dyDescent="0.25">
      <c r="L1658" s="26">
        <v>41849</v>
      </c>
      <c r="M1658" s="6">
        <v>65.639999000000003</v>
      </c>
      <c r="N1658" s="6">
        <v>65.730002999999996</v>
      </c>
      <c r="O1658" s="6">
        <v>64.889999000000003</v>
      </c>
      <c r="P1658" s="6">
        <v>64.889999000000003</v>
      </c>
      <c r="Q1658" s="6">
        <v>56.118499999999997</v>
      </c>
      <c r="R1658" s="58">
        <v>1119200</v>
      </c>
    </row>
    <row r="1659" spans="12:18" x14ac:dyDescent="0.25">
      <c r="L1659" s="26">
        <v>41850</v>
      </c>
      <c r="M1659" s="6">
        <v>65.190002000000007</v>
      </c>
      <c r="N1659" s="6">
        <v>65.279999000000004</v>
      </c>
      <c r="O1659" s="6">
        <v>63.439999</v>
      </c>
      <c r="P1659" s="6">
        <v>63.73</v>
      </c>
      <c r="Q1659" s="6">
        <v>55.115313999999998</v>
      </c>
      <c r="R1659" s="58">
        <v>2557700</v>
      </c>
    </row>
    <row r="1660" spans="12:18" x14ac:dyDescent="0.25">
      <c r="L1660" s="26">
        <v>41851</v>
      </c>
      <c r="M1660" s="6">
        <v>62.990001999999997</v>
      </c>
      <c r="N1660" s="6">
        <v>63.099997999999999</v>
      </c>
      <c r="O1660" s="6">
        <v>59.779998999999997</v>
      </c>
      <c r="P1660" s="6">
        <v>59.830002</v>
      </c>
      <c r="Q1660" s="6">
        <v>51.742485000000002</v>
      </c>
      <c r="R1660" s="58">
        <v>8993800</v>
      </c>
    </row>
    <row r="1661" spans="12:18" x14ac:dyDescent="0.25">
      <c r="L1661" s="26">
        <v>41852</v>
      </c>
      <c r="M1661" s="6">
        <v>59.66</v>
      </c>
      <c r="N1661" s="6">
        <v>61.740001999999997</v>
      </c>
      <c r="O1661" s="6">
        <v>59.650002000000001</v>
      </c>
      <c r="P1661" s="6">
        <v>61.439999</v>
      </c>
      <c r="Q1661" s="6">
        <v>53.134861000000001</v>
      </c>
      <c r="R1661" s="58">
        <v>5133900</v>
      </c>
    </row>
    <row r="1662" spans="12:18" x14ac:dyDescent="0.25">
      <c r="L1662" s="26">
        <v>41855</v>
      </c>
      <c r="M1662" s="6">
        <v>61.48</v>
      </c>
      <c r="N1662" s="6">
        <v>62.07</v>
      </c>
      <c r="O1662" s="6">
        <v>61.200001</v>
      </c>
      <c r="P1662" s="6">
        <v>62.060001</v>
      </c>
      <c r="Q1662" s="6">
        <v>53.671055000000003</v>
      </c>
      <c r="R1662" s="58">
        <v>2614100</v>
      </c>
    </row>
    <row r="1663" spans="12:18" x14ac:dyDescent="0.25">
      <c r="L1663" s="26">
        <v>41856</v>
      </c>
      <c r="M1663" s="6">
        <v>61.68</v>
      </c>
      <c r="N1663" s="6">
        <v>61.990001999999997</v>
      </c>
      <c r="O1663" s="6">
        <v>61.290000999999997</v>
      </c>
      <c r="P1663" s="6">
        <v>61.400002000000001</v>
      </c>
      <c r="Q1663" s="6">
        <v>53.100262000000001</v>
      </c>
      <c r="R1663" s="58">
        <v>1653300</v>
      </c>
    </row>
    <row r="1664" spans="12:18" x14ac:dyDescent="0.25">
      <c r="L1664" s="26">
        <v>41857</v>
      </c>
      <c r="M1664" s="6">
        <v>61.27</v>
      </c>
      <c r="N1664" s="6">
        <v>62.959999000000003</v>
      </c>
      <c r="O1664" s="6">
        <v>61.27</v>
      </c>
      <c r="P1664" s="6">
        <v>62.779998999999997</v>
      </c>
      <c r="Q1664" s="6">
        <v>54.293723999999997</v>
      </c>
      <c r="R1664" s="58">
        <v>4225900</v>
      </c>
    </row>
    <row r="1665" spans="12:18" x14ac:dyDescent="0.25">
      <c r="L1665" s="26">
        <v>41858</v>
      </c>
      <c r="M1665" s="6">
        <v>62.91</v>
      </c>
      <c r="N1665" s="6">
        <v>63.110000999999997</v>
      </c>
      <c r="O1665" s="6">
        <v>61.970001000000003</v>
      </c>
      <c r="P1665" s="6">
        <v>62.380001</v>
      </c>
      <c r="Q1665" s="6">
        <v>53.947803</v>
      </c>
      <c r="R1665" s="58">
        <v>1768000</v>
      </c>
    </row>
    <row r="1666" spans="12:18" x14ac:dyDescent="0.25">
      <c r="L1666" s="26">
        <v>41859</v>
      </c>
      <c r="M1666" s="6">
        <v>62.349997999999999</v>
      </c>
      <c r="N1666" s="6">
        <v>63.279998999999997</v>
      </c>
      <c r="O1666" s="6">
        <v>61.860000999999997</v>
      </c>
      <c r="P1666" s="6">
        <v>63.240001999999997</v>
      </c>
      <c r="Q1666" s="6">
        <v>54.691547</v>
      </c>
      <c r="R1666" s="58">
        <v>1606200</v>
      </c>
    </row>
    <row r="1667" spans="12:18" x14ac:dyDescent="0.25">
      <c r="L1667" s="26">
        <v>41862</v>
      </c>
      <c r="M1667" s="6">
        <v>63.290000999999997</v>
      </c>
      <c r="N1667" s="6">
        <v>64.110000999999997</v>
      </c>
      <c r="O1667" s="6">
        <v>63.27</v>
      </c>
      <c r="P1667" s="6">
        <v>63.810001</v>
      </c>
      <c r="Q1667" s="6">
        <v>55.184497999999998</v>
      </c>
      <c r="R1667" s="58">
        <v>1879100</v>
      </c>
    </row>
    <row r="1668" spans="12:18" x14ac:dyDescent="0.25">
      <c r="L1668" s="26">
        <v>41863</v>
      </c>
      <c r="M1668" s="6">
        <v>63.450001</v>
      </c>
      <c r="N1668" s="6">
        <v>63.639999000000003</v>
      </c>
      <c r="O1668" s="6">
        <v>63.110000999999997</v>
      </c>
      <c r="P1668" s="6">
        <v>63.450001</v>
      </c>
      <c r="Q1668" s="6">
        <v>54.873154</v>
      </c>
      <c r="R1668" s="58">
        <v>1407400</v>
      </c>
    </row>
    <row r="1669" spans="12:18" x14ac:dyDescent="0.25">
      <c r="L1669" s="26">
        <v>41864</v>
      </c>
      <c r="M1669" s="6">
        <v>63.610000999999997</v>
      </c>
      <c r="N1669" s="6">
        <v>64</v>
      </c>
      <c r="O1669" s="6">
        <v>63.450001</v>
      </c>
      <c r="P1669" s="6">
        <v>63.98</v>
      </c>
      <c r="Q1669" s="6">
        <v>55.331519999999998</v>
      </c>
      <c r="R1669" s="58">
        <v>1289200</v>
      </c>
    </row>
    <row r="1670" spans="12:18" x14ac:dyDescent="0.25">
      <c r="L1670" s="26">
        <v>41865</v>
      </c>
      <c r="M1670" s="6">
        <v>64</v>
      </c>
      <c r="N1670" s="6">
        <v>64.050003000000004</v>
      </c>
      <c r="O1670" s="6">
        <v>63.709999000000003</v>
      </c>
      <c r="P1670" s="6">
        <v>64</v>
      </c>
      <c r="Q1670" s="6">
        <v>55.348815999999999</v>
      </c>
      <c r="R1670" s="58">
        <v>1079200</v>
      </c>
    </row>
    <row r="1671" spans="12:18" x14ac:dyDescent="0.25">
      <c r="L1671" s="26">
        <v>41866</v>
      </c>
      <c r="M1671" s="6">
        <v>64.069999999999993</v>
      </c>
      <c r="N1671" s="6">
        <v>64.470000999999996</v>
      </c>
      <c r="O1671" s="6">
        <v>64</v>
      </c>
      <c r="P1671" s="6">
        <v>64.279999000000004</v>
      </c>
      <c r="Q1671" s="6">
        <v>55.590969000000001</v>
      </c>
      <c r="R1671" s="58">
        <v>2040000</v>
      </c>
    </row>
    <row r="1672" spans="12:18" x14ac:dyDescent="0.25">
      <c r="L1672" s="26">
        <v>41869</v>
      </c>
      <c r="M1672" s="6">
        <v>64.449996999999996</v>
      </c>
      <c r="N1672" s="6">
        <v>64.540001000000004</v>
      </c>
      <c r="O1672" s="6">
        <v>64.160004000000001</v>
      </c>
      <c r="P1672" s="6">
        <v>64.300003000000004</v>
      </c>
      <c r="Q1672" s="6">
        <v>55.608265000000003</v>
      </c>
      <c r="R1672" s="58">
        <v>1433800</v>
      </c>
    </row>
    <row r="1673" spans="12:18" x14ac:dyDescent="0.25">
      <c r="L1673" s="26">
        <v>41870</v>
      </c>
      <c r="M1673" s="6">
        <v>64.349997999999999</v>
      </c>
      <c r="N1673" s="6">
        <v>64.819999999999993</v>
      </c>
      <c r="O1673" s="6">
        <v>64.279999000000004</v>
      </c>
      <c r="P1673" s="6">
        <v>64.470000999999996</v>
      </c>
      <c r="Q1673" s="6">
        <v>55.755276000000002</v>
      </c>
      <c r="R1673" s="58">
        <v>987900</v>
      </c>
    </row>
    <row r="1674" spans="12:18" x14ac:dyDescent="0.25">
      <c r="L1674" s="26">
        <v>41871</v>
      </c>
      <c r="M1674" s="6">
        <v>64.370002999999997</v>
      </c>
      <c r="N1674" s="6">
        <v>65.190002000000007</v>
      </c>
      <c r="O1674" s="6">
        <v>63.970001000000003</v>
      </c>
      <c r="P1674" s="6">
        <v>64.819999999999993</v>
      </c>
      <c r="Q1674" s="6">
        <v>56.057971999999999</v>
      </c>
      <c r="R1674" s="58">
        <v>1797600</v>
      </c>
    </row>
    <row r="1675" spans="12:18" x14ac:dyDescent="0.25">
      <c r="L1675" s="26">
        <v>41872</v>
      </c>
      <c r="M1675" s="6">
        <v>64.959998999999996</v>
      </c>
      <c r="N1675" s="6">
        <v>65.230002999999996</v>
      </c>
      <c r="O1675" s="6">
        <v>64.860000999999997</v>
      </c>
      <c r="P1675" s="6">
        <v>64.879997000000003</v>
      </c>
      <c r="Q1675" s="6">
        <v>56.109859</v>
      </c>
      <c r="R1675" s="58">
        <v>913600</v>
      </c>
    </row>
    <row r="1676" spans="12:18" x14ac:dyDescent="0.25">
      <c r="L1676" s="26">
        <v>41873</v>
      </c>
      <c r="M1676" s="6">
        <v>65.029999000000004</v>
      </c>
      <c r="N1676" s="6">
        <v>65.089995999999999</v>
      </c>
      <c r="O1676" s="6">
        <v>64.230002999999996</v>
      </c>
      <c r="P1676" s="6">
        <v>64.300003000000004</v>
      </c>
      <c r="Q1676" s="6">
        <v>55.608265000000003</v>
      </c>
      <c r="R1676" s="58">
        <v>1647400</v>
      </c>
    </row>
    <row r="1677" spans="12:18" x14ac:dyDescent="0.25">
      <c r="L1677" s="26">
        <v>41876</v>
      </c>
      <c r="M1677" s="6">
        <v>64.720000999999996</v>
      </c>
      <c r="N1677" s="6">
        <v>65.069999999999993</v>
      </c>
      <c r="O1677" s="6">
        <v>64.639999000000003</v>
      </c>
      <c r="P1677" s="6">
        <v>64.849997999999999</v>
      </c>
      <c r="Q1677" s="6">
        <v>56.083916000000002</v>
      </c>
      <c r="R1677" s="58">
        <v>1185200</v>
      </c>
    </row>
    <row r="1678" spans="12:18" x14ac:dyDescent="0.25">
      <c r="L1678" s="26">
        <v>41877</v>
      </c>
      <c r="M1678" s="6">
        <v>64.900002000000001</v>
      </c>
      <c r="N1678" s="6">
        <v>65.379997000000003</v>
      </c>
      <c r="O1678" s="6">
        <v>64.660004000000001</v>
      </c>
      <c r="P1678" s="6">
        <v>64.75</v>
      </c>
      <c r="Q1678" s="6">
        <v>55.997436999999998</v>
      </c>
      <c r="R1678" s="58">
        <v>1592100</v>
      </c>
    </row>
    <row r="1679" spans="12:18" x14ac:dyDescent="0.25">
      <c r="L1679" s="26">
        <v>41878</v>
      </c>
      <c r="M1679" s="6">
        <v>64.739998</v>
      </c>
      <c r="N1679" s="6">
        <v>65.300003000000004</v>
      </c>
      <c r="O1679" s="6">
        <v>64.580001999999993</v>
      </c>
      <c r="P1679" s="6">
        <v>65.279999000000004</v>
      </c>
      <c r="Q1679" s="6">
        <v>56.455790999999998</v>
      </c>
      <c r="R1679" s="58">
        <v>1593400</v>
      </c>
    </row>
    <row r="1680" spans="12:18" x14ac:dyDescent="0.25">
      <c r="L1680" s="26">
        <v>41879</v>
      </c>
      <c r="M1680" s="6">
        <v>64.400002000000001</v>
      </c>
      <c r="N1680" s="6">
        <v>64.900002000000001</v>
      </c>
      <c r="O1680" s="6">
        <v>64.260002</v>
      </c>
      <c r="P1680" s="6">
        <v>64.75</v>
      </c>
      <c r="Q1680" s="6">
        <v>56.420940000000002</v>
      </c>
      <c r="R1680" s="58">
        <v>1351700</v>
      </c>
    </row>
    <row r="1681" spans="12:18" x14ac:dyDescent="0.25">
      <c r="L1681" s="26">
        <v>41880</v>
      </c>
      <c r="M1681" s="6">
        <v>64.730002999999996</v>
      </c>
      <c r="N1681" s="6">
        <v>65.150002000000001</v>
      </c>
      <c r="O1681" s="6">
        <v>64.599997999999999</v>
      </c>
      <c r="P1681" s="6">
        <v>64.970000999999996</v>
      </c>
      <c r="Q1681" s="6">
        <v>56.612639999999999</v>
      </c>
      <c r="R1681" s="58">
        <v>1188900</v>
      </c>
    </row>
    <row r="1682" spans="12:18" x14ac:dyDescent="0.25">
      <c r="L1682" s="26">
        <v>41884</v>
      </c>
      <c r="M1682" s="6">
        <v>64.930000000000007</v>
      </c>
      <c r="N1682" s="6">
        <v>65.290001000000004</v>
      </c>
      <c r="O1682" s="6">
        <v>64.680000000000007</v>
      </c>
      <c r="P1682" s="6">
        <v>64.790001000000004</v>
      </c>
      <c r="Q1682" s="6">
        <v>56.455787999999998</v>
      </c>
      <c r="R1682" s="58">
        <v>1369100</v>
      </c>
    </row>
    <row r="1683" spans="12:18" x14ac:dyDescent="0.25">
      <c r="L1683" s="26">
        <v>41885</v>
      </c>
      <c r="M1683" s="6">
        <v>65.029999000000004</v>
      </c>
      <c r="N1683" s="6">
        <v>65.279999000000004</v>
      </c>
      <c r="O1683" s="6">
        <v>64.769997000000004</v>
      </c>
      <c r="P1683" s="6">
        <v>64.790001000000004</v>
      </c>
      <c r="Q1683" s="6">
        <v>56.455787999999998</v>
      </c>
      <c r="R1683" s="58">
        <v>1197200</v>
      </c>
    </row>
    <row r="1684" spans="12:18" x14ac:dyDescent="0.25">
      <c r="L1684" s="26">
        <v>41886</v>
      </c>
      <c r="M1684" s="6">
        <v>64.830001999999993</v>
      </c>
      <c r="N1684" s="6">
        <v>65.379997000000003</v>
      </c>
      <c r="O1684" s="6">
        <v>64.760002</v>
      </c>
      <c r="P1684" s="6">
        <v>64.930000000000007</v>
      </c>
      <c r="Q1684" s="6">
        <v>56.577784999999999</v>
      </c>
      <c r="R1684" s="58">
        <v>1517400</v>
      </c>
    </row>
    <row r="1685" spans="12:18" x14ac:dyDescent="0.25">
      <c r="L1685" s="26">
        <v>41887</v>
      </c>
      <c r="M1685" s="6">
        <v>64.779999000000004</v>
      </c>
      <c r="N1685" s="6">
        <v>65.209998999999996</v>
      </c>
      <c r="O1685" s="6">
        <v>64.510002</v>
      </c>
      <c r="P1685" s="6">
        <v>65.199996999999996</v>
      </c>
      <c r="Q1685" s="6">
        <v>56.813052999999996</v>
      </c>
      <c r="R1685" s="58">
        <v>898200</v>
      </c>
    </row>
    <row r="1686" spans="12:18" x14ac:dyDescent="0.25">
      <c r="L1686" s="26">
        <v>41890</v>
      </c>
      <c r="M1686" s="6">
        <v>64.930000000000007</v>
      </c>
      <c r="N1686" s="6">
        <v>65.150002000000001</v>
      </c>
      <c r="O1686" s="6">
        <v>64.360000999999997</v>
      </c>
      <c r="P1686" s="6">
        <v>64.440002000000007</v>
      </c>
      <c r="Q1686" s="6">
        <v>56.150818000000001</v>
      </c>
      <c r="R1686" s="58">
        <v>1322000</v>
      </c>
    </row>
    <row r="1687" spans="12:18" x14ac:dyDescent="0.25">
      <c r="L1687" s="26">
        <v>41891</v>
      </c>
      <c r="M1687" s="6">
        <v>64.419998000000007</v>
      </c>
      <c r="N1687" s="6">
        <v>64.680000000000007</v>
      </c>
      <c r="O1687" s="6">
        <v>64.110000999999997</v>
      </c>
      <c r="P1687" s="6">
        <v>64.319999999999993</v>
      </c>
      <c r="Q1687" s="6">
        <v>56.046253</v>
      </c>
      <c r="R1687" s="58">
        <v>1420000</v>
      </c>
    </row>
    <row r="1688" spans="12:18" x14ac:dyDescent="0.25">
      <c r="L1688" s="26">
        <v>41892</v>
      </c>
      <c r="M1688" s="6">
        <v>64.319999999999993</v>
      </c>
      <c r="N1688" s="6">
        <v>64.459998999999996</v>
      </c>
      <c r="O1688" s="6">
        <v>64.010002</v>
      </c>
      <c r="P1688" s="6">
        <v>64.440002000000007</v>
      </c>
      <c r="Q1688" s="6">
        <v>56.150818000000001</v>
      </c>
      <c r="R1688" s="58">
        <v>1363100</v>
      </c>
    </row>
    <row r="1689" spans="12:18" x14ac:dyDescent="0.25">
      <c r="L1689" s="26">
        <v>41893</v>
      </c>
      <c r="M1689" s="6">
        <v>64.220000999999996</v>
      </c>
      <c r="N1689" s="6">
        <v>64.779999000000004</v>
      </c>
      <c r="O1689" s="6">
        <v>64.160004000000001</v>
      </c>
      <c r="P1689" s="6">
        <v>64.690002000000007</v>
      </c>
      <c r="Q1689" s="6">
        <v>56.368648999999998</v>
      </c>
      <c r="R1689" s="58">
        <v>1041800</v>
      </c>
    </row>
    <row r="1690" spans="12:18" x14ac:dyDescent="0.25">
      <c r="L1690" s="26">
        <v>41894</v>
      </c>
      <c r="M1690" s="6">
        <v>64.550003000000004</v>
      </c>
      <c r="N1690" s="6">
        <v>64.699996999999996</v>
      </c>
      <c r="O1690" s="6">
        <v>63.830002</v>
      </c>
      <c r="P1690" s="6">
        <v>63.889999000000003</v>
      </c>
      <c r="Q1690" s="6">
        <v>55.671557999999997</v>
      </c>
      <c r="R1690" s="58">
        <v>1996800</v>
      </c>
    </row>
    <row r="1691" spans="12:18" x14ac:dyDescent="0.25">
      <c r="L1691" s="26">
        <v>41897</v>
      </c>
      <c r="M1691" s="6">
        <v>64</v>
      </c>
      <c r="N1691" s="6">
        <v>64.040001000000004</v>
      </c>
      <c r="O1691" s="6">
        <v>63.580002</v>
      </c>
      <c r="P1691" s="6">
        <v>63.73</v>
      </c>
      <c r="Q1691" s="6">
        <v>55.532145999999997</v>
      </c>
      <c r="R1691" s="58">
        <v>1731600</v>
      </c>
    </row>
    <row r="1692" spans="12:18" x14ac:dyDescent="0.25">
      <c r="L1692" s="26">
        <v>41898</v>
      </c>
      <c r="M1692" s="6">
        <v>63.549999</v>
      </c>
      <c r="N1692" s="6">
        <v>64.269997000000004</v>
      </c>
      <c r="O1692" s="6">
        <v>63.529998999999997</v>
      </c>
      <c r="P1692" s="6">
        <v>63.869999</v>
      </c>
      <c r="Q1692" s="6">
        <v>55.654133000000002</v>
      </c>
      <c r="R1692" s="58">
        <v>2104500</v>
      </c>
    </row>
    <row r="1693" spans="12:18" x14ac:dyDescent="0.25">
      <c r="L1693" s="26">
        <v>41899</v>
      </c>
      <c r="M1693" s="6">
        <v>63.16</v>
      </c>
      <c r="N1693" s="6">
        <v>63.540000999999997</v>
      </c>
      <c r="O1693" s="6">
        <v>62.529998999999997</v>
      </c>
      <c r="P1693" s="6">
        <v>62.799999</v>
      </c>
      <c r="Q1693" s="6">
        <v>54.721775000000001</v>
      </c>
      <c r="R1693" s="58">
        <v>3065800</v>
      </c>
    </row>
    <row r="1694" spans="12:18" x14ac:dyDescent="0.25">
      <c r="L1694" s="26">
        <v>41900</v>
      </c>
      <c r="M1694" s="6">
        <v>63.060001</v>
      </c>
      <c r="N1694" s="6">
        <v>63.07</v>
      </c>
      <c r="O1694" s="6">
        <v>62.48</v>
      </c>
      <c r="P1694" s="6">
        <v>62.889999000000003</v>
      </c>
      <c r="Q1694" s="6">
        <v>54.800201000000001</v>
      </c>
      <c r="R1694" s="58">
        <v>2021500</v>
      </c>
    </row>
    <row r="1695" spans="12:18" x14ac:dyDescent="0.25">
      <c r="L1695" s="26">
        <v>41901</v>
      </c>
      <c r="M1695" s="6">
        <v>63.119999</v>
      </c>
      <c r="N1695" s="6">
        <v>63.27</v>
      </c>
      <c r="O1695" s="6">
        <v>62.630001</v>
      </c>
      <c r="P1695" s="6">
        <v>62.66</v>
      </c>
      <c r="Q1695" s="6">
        <v>54.599781</v>
      </c>
      <c r="R1695" s="58">
        <v>2513700</v>
      </c>
    </row>
    <row r="1696" spans="12:18" x14ac:dyDescent="0.25">
      <c r="L1696" s="26">
        <v>41904</v>
      </c>
      <c r="M1696" s="6">
        <v>62.66</v>
      </c>
      <c r="N1696" s="6">
        <v>62.779998999999997</v>
      </c>
      <c r="O1696" s="6">
        <v>62.259998000000003</v>
      </c>
      <c r="P1696" s="6">
        <v>62.290000999999997</v>
      </c>
      <c r="Q1696" s="6">
        <v>54.277374000000002</v>
      </c>
      <c r="R1696" s="58">
        <v>1479700</v>
      </c>
    </row>
    <row r="1697" spans="12:18" x14ac:dyDescent="0.25">
      <c r="L1697" s="26">
        <v>41905</v>
      </c>
      <c r="M1697" s="6">
        <v>62.220001000000003</v>
      </c>
      <c r="N1697" s="6">
        <v>62.400002000000001</v>
      </c>
      <c r="O1697" s="6">
        <v>61.610000999999997</v>
      </c>
      <c r="P1697" s="6">
        <v>61.619999</v>
      </c>
      <c r="Q1697" s="6">
        <v>53.693562</v>
      </c>
      <c r="R1697" s="58">
        <v>1566400</v>
      </c>
    </row>
    <row r="1698" spans="12:18" x14ac:dyDescent="0.25">
      <c r="L1698" s="26">
        <v>41906</v>
      </c>
      <c r="M1698" s="6">
        <v>61.700001</v>
      </c>
      <c r="N1698" s="6">
        <v>62.439999</v>
      </c>
      <c r="O1698" s="6">
        <v>61.700001</v>
      </c>
      <c r="P1698" s="6">
        <v>62.349997999999999</v>
      </c>
      <c r="Q1698" s="6">
        <v>54.329655000000002</v>
      </c>
      <c r="R1698" s="58">
        <v>1549300</v>
      </c>
    </row>
    <row r="1699" spans="12:18" x14ac:dyDescent="0.25">
      <c r="L1699" s="26">
        <v>41907</v>
      </c>
      <c r="M1699" s="6">
        <v>62.029998999999997</v>
      </c>
      <c r="N1699" s="6">
        <v>62.220001000000003</v>
      </c>
      <c r="O1699" s="6">
        <v>61.529998999999997</v>
      </c>
      <c r="P1699" s="6">
        <v>61.68</v>
      </c>
      <c r="Q1699" s="6">
        <v>53.745842000000003</v>
      </c>
      <c r="R1699" s="58">
        <v>1260900</v>
      </c>
    </row>
    <row r="1700" spans="12:18" x14ac:dyDescent="0.25">
      <c r="L1700" s="26">
        <v>41908</v>
      </c>
      <c r="M1700" s="6">
        <v>61.700001</v>
      </c>
      <c r="N1700" s="6">
        <v>61.900002000000001</v>
      </c>
      <c r="O1700" s="6">
        <v>61.330002</v>
      </c>
      <c r="P1700" s="6">
        <v>61.75</v>
      </c>
      <c r="Q1700" s="6">
        <v>53.806835</v>
      </c>
      <c r="R1700" s="58">
        <v>943200</v>
      </c>
    </row>
    <row r="1701" spans="12:18" x14ac:dyDescent="0.25">
      <c r="L1701" s="26">
        <v>41911</v>
      </c>
      <c r="M1701" s="6">
        <v>61.380001</v>
      </c>
      <c r="N1701" s="6">
        <v>61.919998</v>
      </c>
      <c r="O1701" s="6">
        <v>61.32</v>
      </c>
      <c r="P1701" s="6">
        <v>61.810001</v>
      </c>
      <c r="Q1701" s="6">
        <v>53.859130999999998</v>
      </c>
      <c r="R1701" s="58">
        <v>1363000</v>
      </c>
    </row>
    <row r="1702" spans="12:18" x14ac:dyDescent="0.25">
      <c r="L1702" s="26">
        <v>41912</v>
      </c>
      <c r="M1702" s="6">
        <v>60.849997999999999</v>
      </c>
      <c r="N1702" s="6">
        <v>61.889999000000003</v>
      </c>
      <c r="O1702" s="6">
        <v>60.540000999999997</v>
      </c>
      <c r="P1702" s="6">
        <v>61.599997999999999</v>
      </c>
      <c r="Q1702" s="6">
        <v>53.676136</v>
      </c>
      <c r="R1702" s="58">
        <v>3193000</v>
      </c>
    </row>
    <row r="1703" spans="12:18" x14ac:dyDescent="0.25">
      <c r="L1703" s="26">
        <v>41913</v>
      </c>
      <c r="M1703" s="6">
        <v>60.5</v>
      </c>
      <c r="N1703" s="6">
        <v>61.060001</v>
      </c>
      <c r="O1703" s="6">
        <v>60.43</v>
      </c>
      <c r="P1703" s="6">
        <v>60.650002000000001</v>
      </c>
      <c r="Q1703" s="6">
        <v>52.848334999999999</v>
      </c>
      <c r="R1703" s="58">
        <v>2274800</v>
      </c>
    </row>
    <row r="1704" spans="12:18" x14ac:dyDescent="0.25">
      <c r="L1704" s="26">
        <v>41914</v>
      </c>
      <c r="M1704" s="6">
        <v>60.810001</v>
      </c>
      <c r="N1704" s="6">
        <v>60.93</v>
      </c>
      <c r="O1704" s="6">
        <v>60.110000999999997</v>
      </c>
      <c r="P1704" s="6">
        <v>60.720001000000003</v>
      </c>
      <c r="Q1704" s="6">
        <v>52.909331999999999</v>
      </c>
      <c r="R1704" s="58">
        <v>2003100</v>
      </c>
    </row>
    <row r="1705" spans="12:18" x14ac:dyDescent="0.25">
      <c r="L1705" s="26">
        <v>41915</v>
      </c>
      <c r="M1705" s="6">
        <v>61</v>
      </c>
      <c r="N1705" s="6">
        <v>61.529998999999997</v>
      </c>
      <c r="O1705" s="6">
        <v>60.880001</v>
      </c>
      <c r="P1705" s="6">
        <v>61.189999</v>
      </c>
      <c r="Q1705" s="6">
        <v>53.318877999999998</v>
      </c>
      <c r="R1705" s="58">
        <v>1488200</v>
      </c>
    </row>
    <row r="1706" spans="12:18" x14ac:dyDescent="0.25">
      <c r="L1706" s="26">
        <v>41918</v>
      </c>
      <c r="M1706" s="6">
        <v>61.439999</v>
      </c>
      <c r="N1706" s="6">
        <v>61.580002</v>
      </c>
      <c r="O1706" s="6">
        <v>60.790000999999997</v>
      </c>
      <c r="P1706" s="6">
        <v>60.950001</v>
      </c>
      <c r="Q1706" s="6">
        <v>53.109752999999998</v>
      </c>
      <c r="R1706" s="58">
        <v>1399400</v>
      </c>
    </row>
    <row r="1707" spans="12:18" x14ac:dyDescent="0.25">
      <c r="L1707" s="26">
        <v>41919</v>
      </c>
      <c r="M1707" s="6">
        <v>60.75</v>
      </c>
      <c r="N1707" s="6">
        <v>61.09</v>
      </c>
      <c r="O1707" s="6">
        <v>60.169998</v>
      </c>
      <c r="P1707" s="6">
        <v>60.18</v>
      </c>
      <c r="Q1707" s="6">
        <v>52.438786</v>
      </c>
      <c r="R1707" s="58">
        <v>1632400</v>
      </c>
    </row>
    <row r="1708" spans="12:18" x14ac:dyDescent="0.25">
      <c r="L1708" s="26">
        <v>41920</v>
      </c>
      <c r="M1708" s="6">
        <v>60.18</v>
      </c>
      <c r="N1708" s="6">
        <v>61.169998</v>
      </c>
      <c r="O1708" s="6">
        <v>60.130001</v>
      </c>
      <c r="P1708" s="6">
        <v>61.119999</v>
      </c>
      <c r="Q1708" s="6">
        <v>53.257877000000001</v>
      </c>
      <c r="R1708" s="58">
        <v>1810100</v>
      </c>
    </row>
    <row r="1709" spans="12:18" x14ac:dyDescent="0.25">
      <c r="L1709" s="26">
        <v>41921</v>
      </c>
      <c r="M1709" s="6">
        <v>61.099997999999999</v>
      </c>
      <c r="N1709" s="6">
        <v>61.52</v>
      </c>
      <c r="O1709" s="6">
        <v>60.43</v>
      </c>
      <c r="P1709" s="6">
        <v>60.669998</v>
      </c>
      <c r="Q1709" s="6">
        <v>52.865765000000003</v>
      </c>
      <c r="R1709" s="58">
        <v>2005900</v>
      </c>
    </row>
    <row r="1710" spans="12:18" x14ac:dyDescent="0.25">
      <c r="L1710" s="26">
        <v>41922</v>
      </c>
      <c r="M1710" s="6">
        <v>60.799999</v>
      </c>
      <c r="N1710" s="6">
        <v>61.25</v>
      </c>
      <c r="O1710" s="6">
        <v>60.27</v>
      </c>
      <c r="P1710" s="6">
        <v>60.299999</v>
      </c>
      <c r="Q1710" s="6">
        <v>52.543357999999998</v>
      </c>
      <c r="R1710" s="58">
        <v>2106000</v>
      </c>
    </row>
    <row r="1711" spans="12:18" x14ac:dyDescent="0.25">
      <c r="L1711" s="26">
        <v>41925</v>
      </c>
      <c r="M1711" s="6">
        <v>60.330002</v>
      </c>
      <c r="N1711" s="6">
        <v>60.59</v>
      </c>
      <c r="O1711" s="6">
        <v>59.700001</v>
      </c>
      <c r="P1711" s="6">
        <v>59.700001</v>
      </c>
      <c r="Q1711" s="6">
        <v>52.020535000000002</v>
      </c>
      <c r="R1711" s="58">
        <v>1853500</v>
      </c>
    </row>
    <row r="1712" spans="12:18" x14ac:dyDescent="0.25">
      <c r="L1712" s="26">
        <v>41926</v>
      </c>
      <c r="M1712" s="6">
        <v>59.959999000000003</v>
      </c>
      <c r="N1712" s="6">
        <v>60.75</v>
      </c>
      <c r="O1712" s="6">
        <v>59.84</v>
      </c>
      <c r="P1712" s="6">
        <v>60.189999</v>
      </c>
      <c r="Q1712" s="6">
        <v>52.447502</v>
      </c>
      <c r="R1712" s="58">
        <v>1106700</v>
      </c>
    </row>
    <row r="1713" spans="12:18" x14ac:dyDescent="0.25">
      <c r="L1713" s="26">
        <v>41927</v>
      </c>
      <c r="M1713" s="6">
        <v>59.599997999999999</v>
      </c>
      <c r="N1713" s="6">
        <v>60.09</v>
      </c>
      <c r="O1713" s="6">
        <v>59.09</v>
      </c>
      <c r="P1713" s="6">
        <v>59.91</v>
      </c>
      <c r="Q1713" s="6">
        <v>52.203525999999997</v>
      </c>
      <c r="R1713" s="58">
        <v>2376800</v>
      </c>
    </row>
    <row r="1714" spans="12:18" x14ac:dyDescent="0.25">
      <c r="L1714" s="26">
        <v>41928</v>
      </c>
      <c r="M1714" s="6">
        <v>59.099997999999999</v>
      </c>
      <c r="N1714" s="6">
        <v>60.060001</v>
      </c>
      <c r="O1714" s="6">
        <v>58.830002</v>
      </c>
      <c r="P1714" s="6">
        <v>59.75</v>
      </c>
      <c r="Q1714" s="6">
        <v>52.064106000000002</v>
      </c>
      <c r="R1714" s="58">
        <v>1698500</v>
      </c>
    </row>
    <row r="1715" spans="12:18" x14ac:dyDescent="0.25">
      <c r="L1715" s="26">
        <v>41929</v>
      </c>
      <c r="M1715" s="6">
        <v>60.169998</v>
      </c>
      <c r="N1715" s="6">
        <v>61.139999000000003</v>
      </c>
      <c r="O1715" s="6">
        <v>59.830002</v>
      </c>
      <c r="P1715" s="6">
        <v>60.919998</v>
      </c>
      <c r="Q1715" s="6">
        <v>53.083599</v>
      </c>
      <c r="R1715" s="58">
        <v>1836200</v>
      </c>
    </row>
    <row r="1716" spans="12:18" x14ac:dyDescent="0.25">
      <c r="L1716" s="26">
        <v>41932</v>
      </c>
      <c r="M1716" s="6">
        <v>60.450001</v>
      </c>
      <c r="N1716" s="6">
        <v>61.77</v>
      </c>
      <c r="O1716" s="6">
        <v>60.450001</v>
      </c>
      <c r="P1716" s="6">
        <v>61.759998000000003</v>
      </c>
      <c r="Q1716" s="6">
        <v>53.815551999999997</v>
      </c>
      <c r="R1716" s="58">
        <v>2130400</v>
      </c>
    </row>
    <row r="1717" spans="12:18" x14ac:dyDescent="0.25">
      <c r="L1717" s="26">
        <v>41933</v>
      </c>
      <c r="M1717" s="6">
        <v>61.779998999999997</v>
      </c>
      <c r="N1717" s="6">
        <v>61.889999000000003</v>
      </c>
      <c r="O1717" s="6">
        <v>61.560001</v>
      </c>
      <c r="P1717" s="6">
        <v>61.700001</v>
      </c>
      <c r="Q1717" s="6">
        <v>53.763267999999997</v>
      </c>
      <c r="R1717" s="58">
        <v>2436900</v>
      </c>
    </row>
    <row r="1718" spans="12:18" x14ac:dyDescent="0.25">
      <c r="L1718" s="26">
        <v>41934</v>
      </c>
      <c r="M1718" s="6">
        <v>62.34</v>
      </c>
      <c r="N1718" s="6">
        <v>62.5</v>
      </c>
      <c r="O1718" s="6">
        <v>61.790000999999997</v>
      </c>
      <c r="P1718" s="6">
        <v>62.040000999999997</v>
      </c>
      <c r="Q1718" s="6">
        <v>54.059528</v>
      </c>
      <c r="R1718" s="58">
        <v>1447200</v>
      </c>
    </row>
    <row r="1719" spans="12:18" x14ac:dyDescent="0.25">
      <c r="L1719" s="26">
        <v>41935</v>
      </c>
      <c r="M1719" s="6">
        <v>62.41</v>
      </c>
      <c r="N1719" s="6">
        <v>62.470001000000003</v>
      </c>
      <c r="O1719" s="6">
        <v>61.630001</v>
      </c>
      <c r="P1719" s="6">
        <v>61.740001999999997</v>
      </c>
      <c r="Q1719" s="6">
        <v>53.798119</v>
      </c>
      <c r="R1719" s="58">
        <v>1549700</v>
      </c>
    </row>
    <row r="1720" spans="12:18" x14ac:dyDescent="0.25">
      <c r="L1720" s="26">
        <v>41936</v>
      </c>
      <c r="M1720" s="6">
        <v>61.799999</v>
      </c>
      <c r="N1720" s="6">
        <v>62.139999000000003</v>
      </c>
      <c r="O1720" s="6">
        <v>61.599997999999999</v>
      </c>
      <c r="P1720" s="6">
        <v>61.939999</v>
      </c>
      <c r="Q1720" s="6">
        <v>53.972392999999997</v>
      </c>
      <c r="R1720" s="58">
        <v>1507800</v>
      </c>
    </row>
    <row r="1721" spans="12:18" x14ac:dyDescent="0.25">
      <c r="L1721" s="26">
        <v>41939</v>
      </c>
      <c r="M1721" s="6">
        <v>61.939999</v>
      </c>
      <c r="N1721" s="6">
        <v>62.450001</v>
      </c>
      <c r="O1721" s="6">
        <v>61.66</v>
      </c>
      <c r="P1721" s="6">
        <v>62.099997999999999</v>
      </c>
      <c r="Q1721" s="6">
        <v>54.111815999999997</v>
      </c>
      <c r="R1721" s="58">
        <v>1975700</v>
      </c>
    </row>
    <row r="1722" spans="12:18" x14ac:dyDescent="0.25">
      <c r="L1722" s="26">
        <v>41940</v>
      </c>
      <c r="M1722" s="6">
        <v>62.419998</v>
      </c>
      <c r="N1722" s="6">
        <v>62.75</v>
      </c>
      <c r="O1722" s="6">
        <v>62.200001</v>
      </c>
      <c r="P1722" s="6">
        <v>62.75</v>
      </c>
      <c r="Q1722" s="6">
        <v>54.678199999999997</v>
      </c>
      <c r="R1722" s="58">
        <v>1512600</v>
      </c>
    </row>
    <row r="1723" spans="12:18" x14ac:dyDescent="0.25">
      <c r="L1723" s="26">
        <v>41941</v>
      </c>
      <c r="M1723" s="6">
        <v>62.599997999999999</v>
      </c>
      <c r="N1723" s="6">
        <v>62.669998</v>
      </c>
      <c r="O1723" s="6">
        <v>61.439999</v>
      </c>
      <c r="P1723" s="6">
        <v>62.470001000000003</v>
      </c>
      <c r="Q1723" s="6">
        <v>54.434215999999999</v>
      </c>
      <c r="R1723" s="58">
        <v>2793400</v>
      </c>
    </row>
    <row r="1724" spans="12:18" x14ac:dyDescent="0.25">
      <c r="L1724" s="26">
        <v>41942</v>
      </c>
      <c r="M1724" s="6">
        <v>62.27</v>
      </c>
      <c r="N1724" s="6">
        <v>64.819999999999993</v>
      </c>
      <c r="O1724" s="6">
        <v>62.099997999999999</v>
      </c>
      <c r="P1724" s="6">
        <v>64.040001000000004</v>
      </c>
      <c r="Q1724" s="6">
        <v>55.802269000000003</v>
      </c>
      <c r="R1724" s="58">
        <v>4149900</v>
      </c>
    </row>
    <row r="1725" spans="12:18" x14ac:dyDescent="0.25">
      <c r="L1725" s="26">
        <v>41943</v>
      </c>
      <c r="M1725" s="6">
        <v>64.5</v>
      </c>
      <c r="N1725" s="6">
        <v>64.739998</v>
      </c>
      <c r="O1725" s="6">
        <v>63.630001</v>
      </c>
      <c r="P1725" s="6">
        <v>63.959999000000003</v>
      </c>
      <c r="Q1725" s="6">
        <v>55.732551999999998</v>
      </c>
      <c r="R1725" s="58">
        <v>2069600</v>
      </c>
    </row>
    <row r="1726" spans="12:18" x14ac:dyDescent="0.25">
      <c r="L1726" s="26">
        <v>41946</v>
      </c>
      <c r="M1726" s="6">
        <v>63.639999000000003</v>
      </c>
      <c r="N1726" s="6">
        <v>64.269997000000004</v>
      </c>
      <c r="O1726" s="6">
        <v>63.639999000000003</v>
      </c>
      <c r="P1726" s="6">
        <v>64.099997999999999</v>
      </c>
      <c r="Q1726" s="6">
        <v>55.854548999999999</v>
      </c>
      <c r="R1726" s="58">
        <v>1528200</v>
      </c>
    </row>
    <row r="1727" spans="12:18" x14ac:dyDescent="0.25">
      <c r="L1727" s="26">
        <v>41947</v>
      </c>
      <c r="M1727" s="6">
        <v>63.93</v>
      </c>
      <c r="N1727" s="6">
        <v>64.360000999999997</v>
      </c>
      <c r="O1727" s="6">
        <v>63.52</v>
      </c>
      <c r="P1727" s="6">
        <v>63.700001</v>
      </c>
      <c r="Q1727" s="6">
        <v>55.506003999999997</v>
      </c>
      <c r="R1727" s="58">
        <v>1668100</v>
      </c>
    </row>
    <row r="1728" spans="12:18" x14ac:dyDescent="0.25">
      <c r="L1728" s="26">
        <v>41948</v>
      </c>
      <c r="M1728" s="6">
        <v>64.300003000000004</v>
      </c>
      <c r="N1728" s="6">
        <v>64.569999999999993</v>
      </c>
      <c r="O1728" s="6">
        <v>63.669998</v>
      </c>
      <c r="P1728" s="6">
        <v>63.84</v>
      </c>
      <c r="Q1728" s="6">
        <v>55.627986999999997</v>
      </c>
      <c r="R1728" s="58">
        <v>1231500</v>
      </c>
    </row>
    <row r="1729" spans="12:18" x14ac:dyDescent="0.25">
      <c r="L1729" s="26">
        <v>41949</v>
      </c>
      <c r="M1729" s="6">
        <v>64</v>
      </c>
      <c r="N1729" s="6">
        <v>64.550003000000004</v>
      </c>
      <c r="O1729" s="6">
        <v>63.779998999999997</v>
      </c>
      <c r="P1729" s="6">
        <v>64.529999000000004</v>
      </c>
      <c r="Q1729" s="6">
        <v>56.229233000000001</v>
      </c>
      <c r="R1729" s="58">
        <v>1553500</v>
      </c>
    </row>
    <row r="1730" spans="12:18" x14ac:dyDescent="0.25">
      <c r="L1730" s="26">
        <v>41950</v>
      </c>
      <c r="M1730" s="6">
        <v>63.73</v>
      </c>
      <c r="N1730" s="6">
        <v>63.830002</v>
      </c>
      <c r="O1730" s="6">
        <v>63.099997999999999</v>
      </c>
      <c r="P1730" s="6">
        <v>63.66</v>
      </c>
      <c r="Q1730" s="6">
        <v>55.471142</v>
      </c>
      <c r="R1730" s="58">
        <v>2308200</v>
      </c>
    </row>
    <row r="1731" spans="12:18" x14ac:dyDescent="0.25">
      <c r="L1731" s="26">
        <v>41953</v>
      </c>
      <c r="M1731" s="6">
        <v>63.57</v>
      </c>
      <c r="N1731" s="6">
        <v>63.990001999999997</v>
      </c>
      <c r="O1731" s="6">
        <v>63.130001</v>
      </c>
      <c r="P1731" s="6">
        <v>63.900002000000001</v>
      </c>
      <c r="Q1731" s="6">
        <v>55.680275000000002</v>
      </c>
      <c r="R1731" s="58">
        <v>1719500</v>
      </c>
    </row>
    <row r="1732" spans="12:18" x14ac:dyDescent="0.25">
      <c r="L1732" s="26">
        <v>41954</v>
      </c>
      <c r="M1732" s="6">
        <v>64</v>
      </c>
      <c r="N1732" s="6">
        <v>64.040001000000004</v>
      </c>
      <c r="O1732" s="6">
        <v>63.580002</v>
      </c>
      <c r="P1732" s="6">
        <v>63.75</v>
      </c>
      <c r="Q1732" s="6">
        <v>55.549571999999998</v>
      </c>
      <c r="R1732" s="58">
        <v>899200</v>
      </c>
    </row>
    <row r="1733" spans="12:18" x14ac:dyDescent="0.25">
      <c r="L1733" s="26">
        <v>41955</v>
      </c>
      <c r="M1733" s="6">
        <v>63.380001</v>
      </c>
      <c r="N1733" s="6">
        <v>63.73</v>
      </c>
      <c r="O1733" s="6">
        <v>63.150002000000001</v>
      </c>
      <c r="P1733" s="6">
        <v>63.68</v>
      </c>
      <c r="Q1733" s="6">
        <v>55.488574999999997</v>
      </c>
      <c r="R1733" s="58">
        <v>1377400</v>
      </c>
    </row>
    <row r="1734" spans="12:18" x14ac:dyDescent="0.25">
      <c r="L1734" s="26">
        <v>41956</v>
      </c>
      <c r="M1734" s="6">
        <v>63.560001</v>
      </c>
      <c r="N1734" s="6">
        <v>63.98</v>
      </c>
      <c r="O1734" s="6">
        <v>63.560001</v>
      </c>
      <c r="P1734" s="6">
        <v>63.799999</v>
      </c>
      <c r="Q1734" s="6">
        <v>55.593142999999998</v>
      </c>
      <c r="R1734" s="58">
        <v>1033000</v>
      </c>
    </row>
    <row r="1735" spans="12:18" x14ac:dyDescent="0.25">
      <c r="L1735" s="26">
        <v>41957</v>
      </c>
      <c r="M1735" s="6">
        <v>63.799999</v>
      </c>
      <c r="N1735" s="6">
        <v>64.019997000000004</v>
      </c>
      <c r="O1735" s="6">
        <v>63.639999000000003</v>
      </c>
      <c r="P1735" s="6">
        <v>63.810001</v>
      </c>
      <c r="Q1735" s="6">
        <v>55.601852000000001</v>
      </c>
      <c r="R1735" s="58">
        <v>1025500</v>
      </c>
    </row>
    <row r="1736" spans="12:18" x14ac:dyDescent="0.25">
      <c r="L1736" s="26">
        <v>41960</v>
      </c>
      <c r="M1736" s="6">
        <v>63.990001999999997</v>
      </c>
      <c r="N1736" s="6">
        <v>65.160004000000001</v>
      </c>
      <c r="O1736" s="6">
        <v>63.91</v>
      </c>
      <c r="P1736" s="6">
        <v>65.139999000000003</v>
      </c>
      <c r="Q1736" s="6">
        <v>56.760764999999999</v>
      </c>
      <c r="R1736" s="58">
        <v>2046500</v>
      </c>
    </row>
    <row r="1737" spans="12:18" x14ac:dyDescent="0.25">
      <c r="L1737" s="26">
        <v>41961</v>
      </c>
      <c r="M1737" s="6">
        <v>65.199996999999996</v>
      </c>
      <c r="N1737" s="6">
        <v>66.190002000000007</v>
      </c>
      <c r="O1737" s="6">
        <v>65.110000999999997</v>
      </c>
      <c r="P1737" s="6">
        <v>65.599997999999999</v>
      </c>
      <c r="Q1737" s="6">
        <v>57.161594000000001</v>
      </c>
      <c r="R1737" s="58">
        <v>2805000</v>
      </c>
    </row>
    <row r="1738" spans="12:18" x14ac:dyDescent="0.25">
      <c r="L1738" s="26">
        <v>41962</v>
      </c>
      <c r="M1738" s="6">
        <v>65.629997000000003</v>
      </c>
      <c r="N1738" s="6">
        <v>65.980002999999996</v>
      </c>
      <c r="O1738" s="6">
        <v>65.379997000000003</v>
      </c>
      <c r="P1738" s="6">
        <v>65.889999000000003</v>
      </c>
      <c r="Q1738" s="6">
        <v>57.414287999999999</v>
      </c>
      <c r="R1738" s="58">
        <v>2128800</v>
      </c>
    </row>
    <row r="1739" spans="12:18" x14ac:dyDescent="0.25">
      <c r="L1739" s="26">
        <v>41963</v>
      </c>
      <c r="M1739" s="6">
        <v>65.599997999999999</v>
      </c>
      <c r="N1739" s="6">
        <v>66.199996999999996</v>
      </c>
      <c r="O1739" s="6">
        <v>65.459998999999996</v>
      </c>
      <c r="P1739" s="6">
        <v>65.639999000000003</v>
      </c>
      <c r="Q1739" s="6">
        <v>57.196452999999998</v>
      </c>
      <c r="R1739" s="58">
        <v>1683500</v>
      </c>
    </row>
    <row r="1740" spans="12:18" x14ac:dyDescent="0.25">
      <c r="L1740" s="26">
        <v>41964</v>
      </c>
      <c r="M1740" s="6">
        <v>66.230002999999996</v>
      </c>
      <c r="N1740" s="6">
        <v>66.639999000000003</v>
      </c>
      <c r="O1740" s="6">
        <v>65.290001000000004</v>
      </c>
      <c r="P1740" s="6">
        <v>65.470000999999996</v>
      </c>
      <c r="Q1740" s="6">
        <v>57.048324999999998</v>
      </c>
      <c r="R1740" s="58">
        <v>3784900</v>
      </c>
    </row>
    <row r="1741" spans="12:18" x14ac:dyDescent="0.25">
      <c r="L1741" s="26">
        <v>41967</v>
      </c>
      <c r="M1741" s="6">
        <v>65.610000999999997</v>
      </c>
      <c r="N1741" s="6">
        <v>65.739998</v>
      </c>
      <c r="O1741" s="6">
        <v>64.980002999999996</v>
      </c>
      <c r="P1741" s="6">
        <v>65.120002999999997</v>
      </c>
      <c r="Q1741" s="6">
        <v>56.743340000000003</v>
      </c>
      <c r="R1741" s="58">
        <v>1667600</v>
      </c>
    </row>
    <row r="1742" spans="12:18" x14ac:dyDescent="0.25">
      <c r="L1742" s="26">
        <v>41968</v>
      </c>
      <c r="M1742" s="6">
        <v>65.059997999999993</v>
      </c>
      <c r="N1742" s="6">
        <v>65.489998</v>
      </c>
      <c r="O1742" s="6">
        <v>65</v>
      </c>
      <c r="P1742" s="6">
        <v>65.139999000000003</v>
      </c>
      <c r="Q1742" s="6">
        <v>56.760764999999999</v>
      </c>
      <c r="R1742" s="58">
        <v>1267500</v>
      </c>
    </row>
    <row r="1743" spans="12:18" x14ac:dyDescent="0.25">
      <c r="L1743" s="26">
        <v>41969</v>
      </c>
      <c r="M1743" s="6">
        <v>64.809997999999993</v>
      </c>
      <c r="N1743" s="6">
        <v>65</v>
      </c>
      <c r="O1743" s="6">
        <v>64.699996999999996</v>
      </c>
      <c r="P1743" s="6">
        <v>64.930000000000007</v>
      </c>
      <c r="Q1743" s="6">
        <v>57.006607000000002</v>
      </c>
      <c r="R1743" s="58">
        <v>1382300</v>
      </c>
    </row>
    <row r="1744" spans="12:18" x14ac:dyDescent="0.25">
      <c r="L1744" s="26">
        <v>41971</v>
      </c>
      <c r="M1744" s="6">
        <v>65.239998</v>
      </c>
      <c r="N1744" s="6">
        <v>66.309997999999993</v>
      </c>
      <c r="O1744" s="6">
        <v>65.239998</v>
      </c>
      <c r="P1744" s="6">
        <v>66.25</v>
      </c>
      <c r="Q1744" s="6">
        <v>58.165534999999998</v>
      </c>
      <c r="R1744" s="58">
        <v>1476400</v>
      </c>
    </row>
    <row r="1745" spans="12:18" x14ac:dyDescent="0.25">
      <c r="L1745" s="26">
        <v>41974</v>
      </c>
      <c r="M1745" s="6">
        <v>65.849997999999999</v>
      </c>
      <c r="N1745" s="6">
        <v>66.459998999999996</v>
      </c>
      <c r="O1745" s="6">
        <v>65.800003000000004</v>
      </c>
      <c r="P1745" s="6">
        <v>66.089995999999999</v>
      </c>
      <c r="Q1745" s="6">
        <v>58.025050999999998</v>
      </c>
      <c r="R1745" s="58">
        <v>1628900</v>
      </c>
    </row>
    <row r="1746" spans="12:18" x14ac:dyDescent="0.25">
      <c r="L1746" s="26">
        <v>41975</v>
      </c>
      <c r="M1746" s="6">
        <v>66.099997999999999</v>
      </c>
      <c r="N1746" s="6">
        <v>66.739998</v>
      </c>
      <c r="O1746" s="6">
        <v>66.069999999999993</v>
      </c>
      <c r="P1746" s="6">
        <v>66.580001999999993</v>
      </c>
      <c r="Q1746" s="6">
        <v>58.455253999999996</v>
      </c>
      <c r="R1746" s="58">
        <v>2488700</v>
      </c>
    </row>
    <row r="1747" spans="12:18" x14ac:dyDescent="0.25">
      <c r="L1747" s="26">
        <v>41976</v>
      </c>
      <c r="M1747" s="6">
        <v>66.410004000000001</v>
      </c>
      <c r="N1747" s="6">
        <v>66.620002999999997</v>
      </c>
      <c r="O1747" s="6">
        <v>66.040001000000004</v>
      </c>
      <c r="P1747" s="6">
        <v>66.379997000000003</v>
      </c>
      <c r="Q1747" s="6">
        <v>58.279659000000002</v>
      </c>
      <c r="R1747" s="58">
        <v>1774800</v>
      </c>
    </row>
    <row r="1748" spans="12:18" x14ac:dyDescent="0.25">
      <c r="L1748" s="26">
        <v>41977</v>
      </c>
      <c r="M1748" s="6">
        <v>66.360000999999997</v>
      </c>
      <c r="N1748" s="6">
        <v>66.389999000000003</v>
      </c>
      <c r="O1748" s="6">
        <v>65.779999000000004</v>
      </c>
      <c r="P1748" s="6">
        <v>66.089995999999999</v>
      </c>
      <c r="Q1748" s="6">
        <v>58.025050999999998</v>
      </c>
      <c r="R1748" s="58">
        <v>2158200</v>
      </c>
    </row>
    <row r="1749" spans="12:18" x14ac:dyDescent="0.25">
      <c r="L1749" s="26">
        <v>41978</v>
      </c>
      <c r="M1749" s="6">
        <v>65.989998</v>
      </c>
      <c r="N1749" s="6">
        <v>66.400002000000001</v>
      </c>
      <c r="O1749" s="6">
        <v>65.889999000000003</v>
      </c>
      <c r="P1749" s="6">
        <v>66.400002000000001</v>
      </c>
      <c r="Q1749" s="6">
        <v>58.297215000000001</v>
      </c>
      <c r="R1749" s="58">
        <v>1146700</v>
      </c>
    </row>
    <row r="1750" spans="12:18" x14ac:dyDescent="0.25">
      <c r="L1750" s="26">
        <v>41981</v>
      </c>
      <c r="M1750" s="6">
        <v>66.339995999999999</v>
      </c>
      <c r="N1750" s="6">
        <v>66.430000000000007</v>
      </c>
      <c r="O1750" s="6">
        <v>65.870002999999997</v>
      </c>
      <c r="P1750" s="6">
        <v>66.080001999999993</v>
      </c>
      <c r="Q1750" s="6">
        <v>58.016266000000002</v>
      </c>
      <c r="R1750" s="58">
        <v>1891400</v>
      </c>
    </row>
    <row r="1751" spans="12:18" x14ac:dyDescent="0.25">
      <c r="L1751" s="26">
        <v>41982</v>
      </c>
      <c r="M1751" s="6">
        <v>65.900002000000001</v>
      </c>
      <c r="N1751" s="6">
        <v>66.260002</v>
      </c>
      <c r="O1751" s="6">
        <v>65.550003000000004</v>
      </c>
      <c r="P1751" s="6">
        <v>65.819999999999993</v>
      </c>
      <c r="Q1751" s="6">
        <v>57.787990999999998</v>
      </c>
      <c r="R1751" s="58">
        <v>2234900</v>
      </c>
    </row>
    <row r="1752" spans="12:18" x14ac:dyDescent="0.25">
      <c r="L1752" s="26">
        <v>41983</v>
      </c>
      <c r="M1752" s="6">
        <v>65.720000999999996</v>
      </c>
      <c r="N1752" s="6">
        <v>66.069999999999993</v>
      </c>
      <c r="O1752" s="6">
        <v>64.739998</v>
      </c>
      <c r="P1752" s="6">
        <v>64.790001000000004</v>
      </c>
      <c r="Q1752" s="6">
        <v>56.883682</v>
      </c>
      <c r="R1752" s="58">
        <v>1555700</v>
      </c>
    </row>
    <row r="1753" spans="12:18" x14ac:dyDescent="0.25">
      <c r="L1753" s="26">
        <v>41984</v>
      </c>
      <c r="M1753" s="6">
        <v>65.360000999999997</v>
      </c>
      <c r="N1753" s="6">
        <v>67.400002000000001</v>
      </c>
      <c r="O1753" s="6">
        <v>65.059997999999993</v>
      </c>
      <c r="P1753" s="6">
        <v>67.099997999999999</v>
      </c>
      <c r="Q1753" s="6">
        <v>58.911793000000003</v>
      </c>
      <c r="R1753" s="58">
        <v>3847300</v>
      </c>
    </row>
    <row r="1754" spans="12:18" x14ac:dyDescent="0.25">
      <c r="L1754" s="26">
        <v>41985</v>
      </c>
      <c r="M1754" s="6">
        <v>66.699996999999996</v>
      </c>
      <c r="N1754" s="6">
        <v>66.959998999999996</v>
      </c>
      <c r="O1754" s="6">
        <v>65.599997999999999</v>
      </c>
      <c r="P1754" s="6">
        <v>65.629997000000003</v>
      </c>
      <c r="Q1754" s="6">
        <v>57.621178</v>
      </c>
      <c r="R1754" s="58">
        <v>2100700</v>
      </c>
    </row>
    <row r="1755" spans="12:18" x14ac:dyDescent="0.25">
      <c r="L1755" s="26">
        <v>41988</v>
      </c>
      <c r="M1755" s="6">
        <v>65.800003000000004</v>
      </c>
      <c r="N1755" s="6">
        <v>65.819999999999993</v>
      </c>
      <c r="O1755" s="6">
        <v>64.019997000000004</v>
      </c>
      <c r="P1755" s="6">
        <v>64.089995999999999</v>
      </c>
      <c r="Q1755" s="6">
        <v>56.269095999999998</v>
      </c>
      <c r="R1755" s="58">
        <v>2602600</v>
      </c>
    </row>
    <row r="1756" spans="12:18" x14ac:dyDescent="0.25">
      <c r="L1756" s="26">
        <v>41989</v>
      </c>
      <c r="M1756" s="6">
        <v>64.150002000000001</v>
      </c>
      <c r="N1756" s="6">
        <v>65.620002999999997</v>
      </c>
      <c r="O1756" s="6">
        <v>64.010002</v>
      </c>
      <c r="P1756" s="6">
        <v>64.099997999999999</v>
      </c>
      <c r="Q1756" s="6">
        <v>56.277889000000002</v>
      </c>
      <c r="R1756" s="58">
        <v>1695200</v>
      </c>
    </row>
    <row r="1757" spans="12:18" x14ac:dyDescent="0.25">
      <c r="L1757" s="26">
        <v>41990</v>
      </c>
      <c r="M1757" s="6">
        <v>64.449996999999996</v>
      </c>
      <c r="N1757" s="6">
        <v>65.050003000000004</v>
      </c>
      <c r="O1757" s="6">
        <v>63.669998</v>
      </c>
      <c r="P1757" s="6">
        <v>64.839995999999999</v>
      </c>
      <c r="Q1757" s="6">
        <v>56.927582000000001</v>
      </c>
      <c r="R1757" s="58">
        <v>1615400</v>
      </c>
    </row>
    <row r="1758" spans="12:18" x14ac:dyDescent="0.25">
      <c r="L1758" s="26">
        <v>41991</v>
      </c>
      <c r="M1758" s="6">
        <v>65.389999000000003</v>
      </c>
      <c r="N1758" s="6">
        <v>66.050003000000004</v>
      </c>
      <c r="O1758" s="6">
        <v>65.389999000000003</v>
      </c>
      <c r="P1758" s="6">
        <v>66.019997000000004</v>
      </c>
      <c r="Q1758" s="6">
        <v>57.963588999999999</v>
      </c>
      <c r="R1758" s="58">
        <v>1817800</v>
      </c>
    </row>
    <row r="1759" spans="12:18" x14ac:dyDescent="0.25">
      <c r="L1759" s="26">
        <v>41992</v>
      </c>
      <c r="M1759" s="6">
        <v>66.260002</v>
      </c>
      <c r="N1759" s="6">
        <v>67.110000999999997</v>
      </c>
      <c r="O1759" s="6">
        <v>65.940002000000007</v>
      </c>
      <c r="P1759" s="6">
        <v>66.819999999999993</v>
      </c>
      <c r="Q1759" s="6">
        <v>58.665970000000002</v>
      </c>
      <c r="R1759" s="58">
        <v>2510100</v>
      </c>
    </row>
    <row r="1760" spans="12:18" x14ac:dyDescent="0.25">
      <c r="L1760" s="26">
        <v>41995</v>
      </c>
      <c r="M1760" s="6">
        <v>66.75</v>
      </c>
      <c r="N1760" s="6">
        <v>67.029999000000004</v>
      </c>
      <c r="O1760" s="6">
        <v>66.480002999999996</v>
      </c>
      <c r="P1760" s="6">
        <v>66.849997999999999</v>
      </c>
      <c r="Q1760" s="6">
        <v>58.692303000000003</v>
      </c>
      <c r="R1760" s="58">
        <v>1302300</v>
      </c>
    </row>
    <row r="1761" spans="12:18" x14ac:dyDescent="0.25">
      <c r="L1761" s="26">
        <v>41996</v>
      </c>
      <c r="M1761" s="6">
        <v>66.940002000000007</v>
      </c>
      <c r="N1761" s="6">
        <v>67.440002000000007</v>
      </c>
      <c r="O1761" s="6">
        <v>66.75</v>
      </c>
      <c r="P1761" s="6">
        <v>67.239998</v>
      </c>
      <c r="Q1761" s="6">
        <v>59.034709999999997</v>
      </c>
      <c r="R1761" s="58">
        <v>923300</v>
      </c>
    </row>
    <row r="1762" spans="12:18" x14ac:dyDescent="0.25">
      <c r="L1762" s="26">
        <v>41997</v>
      </c>
      <c r="M1762" s="6">
        <v>67.339995999999999</v>
      </c>
      <c r="N1762" s="6">
        <v>67.349997999999999</v>
      </c>
      <c r="O1762" s="6">
        <v>67.019997000000004</v>
      </c>
      <c r="P1762" s="6">
        <v>67.019997000000004</v>
      </c>
      <c r="Q1762" s="6">
        <v>58.841545000000004</v>
      </c>
      <c r="R1762" s="58">
        <v>376200</v>
      </c>
    </row>
    <row r="1763" spans="12:18" x14ac:dyDescent="0.25">
      <c r="L1763" s="26">
        <v>41999</v>
      </c>
      <c r="M1763" s="6">
        <v>67.080001999999993</v>
      </c>
      <c r="N1763" s="6">
        <v>67.239998</v>
      </c>
      <c r="O1763" s="6">
        <v>66.900002000000001</v>
      </c>
      <c r="P1763" s="6">
        <v>67.010002</v>
      </c>
      <c r="Q1763" s="6">
        <v>58.832782999999999</v>
      </c>
      <c r="R1763" s="58">
        <v>384500</v>
      </c>
    </row>
    <row r="1764" spans="12:18" x14ac:dyDescent="0.25">
      <c r="L1764" s="26">
        <v>42002</v>
      </c>
      <c r="M1764" s="6">
        <v>66.900002000000001</v>
      </c>
      <c r="N1764" s="6">
        <v>67.25</v>
      </c>
      <c r="O1764" s="6">
        <v>66.559997999999993</v>
      </c>
      <c r="P1764" s="6">
        <v>66.959998999999996</v>
      </c>
      <c r="Q1764" s="6">
        <v>58.788879000000001</v>
      </c>
      <c r="R1764" s="58">
        <v>581000</v>
      </c>
    </row>
    <row r="1765" spans="12:18" x14ac:dyDescent="0.25">
      <c r="L1765" s="26">
        <v>42003</v>
      </c>
      <c r="M1765" s="6">
        <v>66.870002999999997</v>
      </c>
      <c r="N1765" s="6">
        <v>67.050003000000004</v>
      </c>
      <c r="O1765" s="6">
        <v>66.580001999999993</v>
      </c>
      <c r="P1765" s="6">
        <v>66.620002999999997</v>
      </c>
      <c r="Q1765" s="6">
        <v>58.490360000000003</v>
      </c>
      <c r="R1765" s="58">
        <v>460600</v>
      </c>
    </row>
    <row r="1766" spans="12:18" x14ac:dyDescent="0.25">
      <c r="L1766" s="26">
        <v>42004</v>
      </c>
      <c r="M1766" s="6">
        <v>66.309997999999993</v>
      </c>
      <c r="N1766" s="6">
        <v>66.720000999999996</v>
      </c>
      <c r="O1766" s="6">
        <v>65.339995999999999</v>
      </c>
      <c r="P1766" s="6">
        <v>65.440002000000007</v>
      </c>
      <c r="Q1766" s="6">
        <v>57.454371999999999</v>
      </c>
      <c r="R1766" s="58">
        <v>1266100</v>
      </c>
    </row>
    <row r="1767" spans="12:18" x14ac:dyDescent="0.25">
      <c r="L1767" s="26">
        <v>42006</v>
      </c>
      <c r="M1767" s="6">
        <v>65.629997000000003</v>
      </c>
      <c r="N1767" s="6">
        <v>66.139999000000003</v>
      </c>
      <c r="O1767" s="6">
        <v>65.089995999999999</v>
      </c>
      <c r="P1767" s="6">
        <v>65.480002999999996</v>
      </c>
      <c r="Q1767" s="6">
        <v>57.489483</v>
      </c>
      <c r="R1767" s="58">
        <v>846800</v>
      </c>
    </row>
    <row r="1768" spans="12:18" x14ac:dyDescent="0.25">
      <c r="L1768" s="26">
        <v>42009</v>
      </c>
      <c r="M1768" s="6">
        <v>65.239998</v>
      </c>
      <c r="N1768" s="6">
        <v>65.370002999999997</v>
      </c>
      <c r="O1768" s="6">
        <v>64.139999000000003</v>
      </c>
      <c r="P1768" s="6">
        <v>64.260002</v>
      </c>
      <c r="Q1768" s="6">
        <v>56.418357999999998</v>
      </c>
      <c r="R1768" s="58">
        <v>1360200</v>
      </c>
    </row>
    <row r="1769" spans="12:18" x14ac:dyDescent="0.25">
      <c r="L1769" s="26">
        <v>42010</v>
      </c>
      <c r="M1769" s="6">
        <v>64.529999000000004</v>
      </c>
      <c r="N1769" s="6">
        <v>65.089995999999999</v>
      </c>
      <c r="O1769" s="6">
        <v>64.209998999999996</v>
      </c>
      <c r="P1769" s="6">
        <v>64.449996999999996</v>
      </c>
      <c r="Q1769" s="6">
        <v>56.585175</v>
      </c>
      <c r="R1769" s="58">
        <v>2198100</v>
      </c>
    </row>
    <row r="1770" spans="12:18" x14ac:dyDescent="0.25">
      <c r="L1770" s="26">
        <v>42011</v>
      </c>
      <c r="M1770" s="6">
        <v>65.099997999999999</v>
      </c>
      <c r="N1770" s="6">
        <v>66.089995999999999</v>
      </c>
      <c r="O1770" s="6">
        <v>65.069999999999993</v>
      </c>
      <c r="P1770" s="6">
        <v>66.010002</v>
      </c>
      <c r="Q1770" s="6">
        <v>57.954815000000004</v>
      </c>
      <c r="R1770" s="58">
        <v>1683400</v>
      </c>
    </row>
    <row r="1771" spans="12:18" x14ac:dyDescent="0.25">
      <c r="L1771" s="26">
        <v>42012</v>
      </c>
      <c r="M1771" s="6">
        <v>66.480002999999996</v>
      </c>
      <c r="N1771" s="6">
        <v>67.25</v>
      </c>
      <c r="O1771" s="6">
        <v>66.370002999999997</v>
      </c>
      <c r="P1771" s="6">
        <v>67.209998999999996</v>
      </c>
      <c r="Q1771" s="6">
        <v>59.008361999999998</v>
      </c>
      <c r="R1771" s="58">
        <v>1422800</v>
      </c>
    </row>
    <row r="1772" spans="12:18" x14ac:dyDescent="0.25">
      <c r="L1772" s="26">
        <v>42013</v>
      </c>
      <c r="M1772" s="6">
        <v>67.150002000000001</v>
      </c>
      <c r="N1772" s="6">
        <v>67.150002000000001</v>
      </c>
      <c r="O1772" s="6">
        <v>66.339995999999999</v>
      </c>
      <c r="P1772" s="6">
        <v>66.430000000000007</v>
      </c>
      <c r="Q1772" s="6">
        <v>58.323551000000002</v>
      </c>
      <c r="R1772" s="58">
        <v>1350900</v>
      </c>
    </row>
    <row r="1773" spans="12:18" x14ac:dyDescent="0.25">
      <c r="L1773" s="26">
        <v>42016</v>
      </c>
      <c r="M1773" s="6">
        <v>65.980002999999996</v>
      </c>
      <c r="N1773" s="6">
        <v>66.449996999999996</v>
      </c>
      <c r="O1773" s="6">
        <v>65.360000999999997</v>
      </c>
      <c r="P1773" s="6">
        <v>65.480002999999996</v>
      </c>
      <c r="Q1773" s="6">
        <v>57.489483</v>
      </c>
      <c r="R1773" s="58">
        <v>1361800</v>
      </c>
    </row>
    <row r="1774" spans="12:18" x14ac:dyDescent="0.25">
      <c r="L1774" s="26">
        <v>42017</v>
      </c>
      <c r="M1774" s="6">
        <v>65.949996999999996</v>
      </c>
      <c r="N1774" s="6">
        <v>66.569999999999993</v>
      </c>
      <c r="O1774" s="6">
        <v>65.419998000000007</v>
      </c>
      <c r="P1774" s="6">
        <v>65.970000999999996</v>
      </c>
      <c r="Q1774" s="6">
        <v>57.919688999999998</v>
      </c>
      <c r="R1774" s="58">
        <v>1374200</v>
      </c>
    </row>
    <row r="1775" spans="12:18" x14ac:dyDescent="0.25">
      <c r="L1775" s="26">
        <v>42018</v>
      </c>
      <c r="M1775" s="6">
        <v>65.629997000000003</v>
      </c>
      <c r="N1775" s="6">
        <v>66.889999000000003</v>
      </c>
      <c r="O1775" s="6">
        <v>65.279999000000004</v>
      </c>
      <c r="P1775" s="6">
        <v>66.730002999999996</v>
      </c>
      <c r="Q1775" s="6">
        <v>58.586948</v>
      </c>
      <c r="R1775" s="58">
        <v>2631200</v>
      </c>
    </row>
    <row r="1776" spans="12:18" x14ac:dyDescent="0.25">
      <c r="L1776" s="26">
        <v>42019</v>
      </c>
      <c r="M1776" s="6">
        <v>67.019997000000004</v>
      </c>
      <c r="N1776" s="6">
        <v>68.290001000000004</v>
      </c>
      <c r="O1776" s="6">
        <v>66.75</v>
      </c>
      <c r="P1776" s="6">
        <v>67.739998</v>
      </c>
      <c r="Q1776" s="6">
        <v>59.473694000000002</v>
      </c>
      <c r="R1776" s="58">
        <v>2287000</v>
      </c>
    </row>
    <row r="1777" spans="12:18" x14ac:dyDescent="0.25">
      <c r="L1777" s="26">
        <v>42020</v>
      </c>
      <c r="M1777" s="6">
        <v>67.519997000000004</v>
      </c>
      <c r="N1777" s="6">
        <v>68.300003000000004</v>
      </c>
      <c r="O1777" s="6">
        <v>67.5</v>
      </c>
      <c r="P1777" s="6">
        <v>68.120002999999997</v>
      </c>
      <c r="Q1777" s="6">
        <v>59.807335000000002</v>
      </c>
      <c r="R1777" s="58">
        <v>2242600</v>
      </c>
    </row>
    <row r="1778" spans="12:18" x14ac:dyDescent="0.25">
      <c r="L1778" s="26">
        <v>42024</v>
      </c>
      <c r="M1778" s="6">
        <v>68.169998000000007</v>
      </c>
      <c r="N1778" s="6">
        <v>69.010002</v>
      </c>
      <c r="O1778" s="6">
        <v>67.790001000000004</v>
      </c>
      <c r="P1778" s="6">
        <v>68.970000999999996</v>
      </c>
      <c r="Q1778" s="6">
        <v>60.553595999999999</v>
      </c>
      <c r="R1778" s="58">
        <v>2512900</v>
      </c>
    </row>
    <row r="1779" spans="12:18" x14ac:dyDescent="0.25">
      <c r="L1779" s="26">
        <v>42025</v>
      </c>
      <c r="M1779" s="6">
        <v>68.709998999999996</v>
      </c>
      <c r="N1779" s="6">
        <v>69.150002000000001</v>
      </c>
      <c r="O1779" s="6">
        <v>68.279999000000004</v>
      </c>
      <c r="P1779" s="6">
        <v>69.029999000000004</v>
      </c>
      <c r="Q1779" s="6">
        <v>60.606285</v>
      </c>
      <c r="R1779" s="58">
        <v>5279500</v>
      </c>
    </row>
    <row r="1780" spans="12:18" x14ac:dyDescent="0.25">
      <c r="L1780" s="26">
        <v>42026</v>
      </c>
      <c r="M1780" s="6">
        <v>69.190002000000007</v>
      </c>
      <c r="N1780" s="6">
        <v>69.889999000000003</v>
      </c>
      <c r="O1780" s="6">
        <v>68.959998999999996</v>
      </c>
      <c r="P1780" s="6">
        <v>69.839995999999999</v>
      </c>
      <c r="Q1780" s="6">
        <v>61.317439999999998</v>
      </c>
      <c r="R1780" s="58">
        <v>2258500</v>
      </c>
    </row>
    <row r="1781" spans="12:18" x14ac:dyDescent="0.25">
      <c r="L1781" s="26">
        <v>42027</v>
      </c>
      <c r="M1781" s="6">
        <v>69.440002000000007</v>
      </c>
      <c r="N1781" s="6">
        <v>69.459998999999996</v>
      </c>
      <c r="O1781" s="6">
        <v>68.620002999999997</v>
      </c>
      <c r="P1781" s="6">
        <v>68.680000000000007</v>
      </c>
      <c r="Q1781" s="6">
        <v>60.298988000000001</v>
      </c>
      <c r="R1781" s="58">
        <v>2104800</v>
      </c>
    </row>
    <row r="1782" spans="12:18" x14ac:dyDescent="0.25">
      <c r="L1782" s="26">
        <v>42030</v>
      </c>
      <c r="M1782" s="6">
        <v>69.080001999999993</v>
      </c>
      <c r="N1782" s="6">
        <v>69.080001999999993</v>
      </c>
      <c r="O1782" s="6">
        <v>68.190002000000007</v>
      </c>
      <c r="P1782" s="6">
        <v>68.879997000000003</v>
      </c>
      <c r="Q1782" s="6">
        <v>60.474578999999999</v>
      </c>
      <c r="R1782" s="58">
        <v>1431500</v>
      </c>
    </row>
    <row r="1783" spans="12:18" x14ac:dyDescent="0.25">
      <c r="L1783" s="26">
        <v>42031</v>
      </c>
      <c r="M1783" s="6">
        <v>68.290001000000004</v>
      </c>
      <c r="N1783" s="6">
        <v>68.860000999999997</v>
      </c>
      <c r="O1783" s="6">
        <v>68.059997999999993</v>
      </c>
      <c r="P1783" s="6">
        <v>68.430000000000007</v>
      </c>
      <c r="Q1783" s="6">
        <v>60.079506000000002</v>
      </c>
      <c r="R1783" s="58">
        <v>1346300</v>
      </c>
    </row>
    <row r="1784" spans="12:18" x14ac:dyDescent="0.25">
      <c r="L1784" s="26">
        <v>42032</v>
      </c>
      <c r="M1784" s="6">
        <v>68.629997000000003</v>
      </c>
      <c r="N1784" s="6">
        <v>68.860000999999997</v>
      </c>
      <c r="O1784" s="6">
        <v>67.290001000000004</v>
      </c>
      <c r="P1784" s="6">
        <v>67.379997000000003</v>
      </c>
      <c r="Q1784" s="6">
        <v>59.157623000000001</v>
      </c>
      <c r="R1784" s="58">
        <v>1712700</v>
      </c>
    </row>
    <row r="1785" spans="12:18" x14ac:dyDescent="0.25">
      <c r="L1785" s="26">
        <v>42033</v>
      </c>
      <c r="M1785" s="6">
        <v>67.279999000000004</v>
      </c>
      <c r="N1785" s="6">
        <v>67.449996999999996</v>
      </c>
      <c r="O1785" s="6">
        <v>66.290001000000004</v>
      </c>
      <c r="P1785" s="6">
        <v>67.339995999999999</v>
      </c>
      <c r="Q1785" s="6">
        <v>59.122504999999997</v>
      </c>
      <c r="R1785" s="58">
        <v>1896100</v>
      </c>
    </row>
    <row r="1786" spans="12:18" x14ac:dyDescent="0.25">
      <c r="L1786" s="26">
        <v>42034</v>
      </c>
      <c r="M1786" s="6">
        <v>67.059997999999993</v>
      </c>
      <c r="N1786" s="6">
        <v>67.150002000000001</v>
      </c>
      <c r="O1786" s="6">
        <v>65.489998</v>
      </c>
      <c r="P1786" s="6">
        <v>65.580001999999993</v>
      </c>
      <c r="Q1786" s="6">
        <v>57.577281999999997</v>
      </c>
      <c r="R1786" s="58">
        <v>2828800</v>
      </c>
    </row>
    <row r="1787" spans="12:18" x14ac:dyDescent="0.25">
      <c r="L1787" s="26">
        <v>42037</v>
      </c>
      <c r="M1787" s="6">
        <v>65.650002000000001</v>
      </c>
      <c r="N1787" s="6">
        <v>66.5</v>
      </c>
      <c r="O1787" s="6">
        <v>65.010002</v>
      </c>
      <c r="P1787" s="6">
        <v>66.470000999999996</v>
      </c>
      <c r="Q1787" s="6">
        <v>58.358680999999997</v>
      </c>
      <c r="R1787" s="58">
        <v>1388900</v>
      </c>
    </row>
    <row r="1788" spans="12:18" x14ac:dyDescent="0.25">
      <c r="L1788" s="26">
        <v>42038</v>
      </c>
      <c r="M1788" s="6">
        <v>66.730002999999996</v>
      </c>
      <c r="N1788" s="6">
        <v>66.970000999999996</v>
      </c>
      <c r="O1788" s="6">
        <v>66.269997000000004</v>
      </c>
      <c r="P1788" s="6">
        <v>66.650002000000001</v>
      </c>
      <c r="Q1788" s="6">
        <v>58.516711999999998</v>
      </c>
      <c r="R1788" s="58">
        <v>1458200</v>
      </c>
    </row>
    <row r="1789" spans="12:18" x14ac:dyDescent="0.25">
      <c r="L1789" s="26">
        <v>42039</v>
      </c>
      <c r="M1789" s="6">
        <v>66.559997999999993</v>
      </c>
      <c r="N1789" s="6">
        <v>67.319999999999993</v>
      </c>
      <c r="O1789" s="6">
        <v>66.389999000000003</v>
      </c>
      <c r="P1789" s="6">
        <v>66.639999000000003</v>
      </c>
      <c r="Q1789" s="6">
        <v>58.507922999999998</v>
      </c>
      <c r="R1789" s="58">
        <v>1520300</v>
      </c>
    </row>
    <row r="1790" spans="12:18" x14ac:dyDescent="0.25">
      <c r="L1790" s="26">
        <v>42040</v>
      </c>
      <c r="M1790" s="6">
        <v>67.099997999999999</v>
      </c>
      <c r="N1790" s="6">
        <v>67.180000000000007</v>
      </c>
      <c r="O1790" s="6">
        <v>66.660004000000001</v>
      </c>
      <c r="P1790" s="6">
        <v>67.029999000000004</v>
      </c>
      <c r="Q1790" s="6">
        <v>58.850333999999997</v>
      </c>
      <c r="R1790" s="58">
        <v>1306500</v>
      </c>
    </row>
    <row r="1791" spans="12:18" x14ac:dyDescent="0.25">
      <c r="L1791" s="26">
        <v>42041</v>
      </c>
      <c r="M1791" s="6">
        <v>66.739998</v>
      </c>
      <c r="N1791" s="6">
        <v>66.849997999999999</v>
      </c>
      <c r="O1791" s="6">
        <v>65.980002999999996</v>
      </c>
      <c r="P1791" s="6">
        <v>66.25</v>
      </c>
      <c r="Q1791" s="6">
        <v>58.165534999999998</v>
      </c>
      <c r="R1791" s="58">
        <v>1796500</v>
      </c>
    </row>
    <row r="1792" spans="12:18" x14ac:dyDescent="0.25">
      <c r="L1792" s="26">
        <v>42044</v>
      </c>
      <c r="M1792" s="6">
        <v>66.059997999999993</v>
      </c>
      <c r="N1792" s="6">
        <v>66.489998</v>
      </c>
      <c r="O1792" s="6">
        <v>65.699996999999996</v>
      </c>
      <c r="P1792" s="6">
        <v>65.800003000000004</v>
      </c>
      <c r="Q1792" s="6">
        <v>57.770439000000003</v>
      </c>
      <c r="R1792" s="58">
        <v>1526100</v>
      </c>
    </row>
    <row r="1793" spans="12:18" x14ac:dyDescent="0.25">
      <c r="L1793" s="26">
        <v>42045</v>
      </c>
      <c r="M1793" s="6">
        <v>66.150002000000001</v>
      </c>
      <c r="N1793" s="6">
        <v>66.529999000000004</v>
      </c>
      <c r="O1793" s="6">
        <v>65.900002000000001</v>
      </c>
      <c r="P1793" s="6">
        <v>66.309997999999993</v>
      </c>
      <c r="Q1793" s="6">
        <v>58.218197000000004</v>
      </c>
      <c r="R1793" s="58">
        <v>1442900</v>
      </c>
    </row>
    <row r="1794" spans="12:18" x14ac:dyDescent="0.25">
      <c r="L1794" s="26">
        <v>42046</v>
      </c>
      <c r="M1794" s="6">
        <v>66.410004000000001</v>
      </c>
      <c r="N1794" s="6">
        <v>66.779999000000004</v>
      </c>
      <c r="O1794" s="6">
        <v>65.980002999999996</v>
      </c>
      <c r="P1794" s="6">
        <v>66.300003000000004</v>
      </c>
      <c r="Q1794" s="6">
        <v>58.209418999999997</v>
      </c>
      <c r="R1794" s="58">
        <v>1272700</v>
      </c>
    </row>
    <row r="1795" spans="12:18" x14ac:dyDescent="0.25">
      <c r="L1795" s="26">
        <v>42047</v>
      </c>
      <c r="M1795" s="6">
        <v>62.869999</v>
      </c>
      <c r="N1795" s="6">
        <v>64.300003000000004</v>
      </c>
      <c r="O1795" s="6">
        <v>62.490001999999997</v>
      </c>
      <c r="P1795" s="6">
        <v>63.299999</v>
      </c>
      <c r="Q1795" s="6">
        <v>55.575512000000003</v>
      </c>
      <c r="R1795" s="58">
        <v>5481700</v>
      </c>
    </row>
    <row r="1796" spans="12:18" x14ac:dyDescent="0.25">
      <c r="L1796" s="26">
        <v>42048</v>
      </c>
      <c r="M1796" s="6">
        <v>62.599997999999999</v>
      </c>
      <c r="N1796" s="6">
        <v>63.299999</v>
      </c>
      <c r="O1796" s="6">
        <v>61.82</v>
      </c>
      <c r="P1796" s="6">
        <v>63.200001</v>
      </c>
      <c r="Q1796" s="6">
        <v>55.487709000000002</v>
      </c>
      <c r="R1796" s="58">
        <v>4007500</v>
      </c>
    </row>
    <row r="1797" spans="12:18" x14ac:dyDescent="0.25">
      <c r="L1797" s="26">
        <v>42052</v>
      </c>
      <c r="M1797" s="6">
        <v>62.84</v>
      </c>
      <c r="N1797" s="6">
        <v>63.389999000000003</v>
      </c>
      <c r="O1797" s="6">
        <v>62.330002</v>
      </c>
      <c r="P1797" s="6">
        <v>63.209999000000003</v>
      </c>
      <c r="Q1797" s="6">
        <v>55.496487000000002</v>
      </c>
      <c r="R1797" s="58">
        <v>2788800</v>
      </c>
    </row>
    <row r="1798" spans="12:18" x14ac:dyDescent="0.25">
      <c r="L1798" s="26">
        <v>42053</v>
      </c>
      <c r="M1798" s="6">
        <v>62.860000999999997</v>
      </c>
      <c r="N1798" s="6">
        <v>63.98</v>
      </c>
      <c r="O1798" s="6">
        <v>62.779998999999997</v>
      </c>
      <c r="P1798" s="6">
        <v>63.790000999999997</v>
      </c>
      <c r="Q1798" s="6">
        <v>56.005713999999998</v>
      </c>
      <c r="R1798" s="58">
        <v>2144000</v>
      </c>
    </row>
    <row r="1799" spans="12:18" x14ac:dyDescent="0.25">
      <c r="L1799" s="26">
        <v>42054</v>
      </c>
      <c r="M1799" s="6">
        <v>63.66</v>
      </c>
      <c r="N1799" s="6">
        <v>64.169998000000007</v>
      </c>
      <c r="O1799" s="6">
        <v>63.560001</v>
      </c>
      <c r="P1799" s="6">
        <v>63.790000999999997</v>
      </c>
      <c r="Q1799" s="6">
        <v>56.005713999999998</v>
      </c>
      <c r="R1799" s="58">
        <v>2395300</v>
      </c>
    </row>
    <row r="1800" spans="12:18" x14ac:dyDescent="0.25">
      <c r="L1800" s="26">
        <v>42055</v>
      </c>
      <c r="M1800" s="6">
        <v>63.740001999999997</v>
      </c>
      <c r="N1800" s="6">
        <v>64.389999000000003</v>
      </c>
      <c r="O1800" s="6">
        <v>63.5</v>
      </c>
      <c r="P1800" s="6">
        <v>64.089995999999999</v>
      </c>
      <c r="Q1800" s="6">
        <v>56.269095999999998</v>
      </c>
      <c r="R1800" s="58">
        <v>1550300</v>
      </c>
    </row>
    <row r="1801" spans="12:18" x14ac:dyDescent="0.25">
      <c r="L1801" s="26">
        <v>42058</v>
      </c>
      <c r="M1801" s="6">
        <v>63.93</v>
      </c>
      <c r="N1801" s="6">
        <v>64.400002000000001</v>
      </c>
      <c r="O1801" s="6">
        <v>63.75</v>
      </c>
      <c r="P1801" s="6">
        <v>64.290001000000004</v>
      </c>
      <c r="Q1801" s="6">
        <v>56.444705999999996</v>
      </c>
      <c r="R1801" s="58">
        <v>1851800</v>
      </c>
    </row>
    <row r="1802" spans="12:18" x14ac:dyDescent="0.25">
      <c r="L1802" s="26">
        <v>42059</v>
      </c>
      <c r="M1802" s="6">
        <v>63.970001000000003</v>
      </c>
      <c r="N1802" s="6">
        <v>64.239998</v>
      </c>
      <c r="O1802" s="6">
        <v>63.470001000000003</v>
      </c>
      <c r="P1802" s="6">
        <v>64.029999000000004</v>
      </c>
      <c r="Q1802" s="6">
        <v>56.216427000000003</v>
      </c>
      <c r="R1802" s="58">
        <v>1879900</v>
      </c>
    </row>
    <row r="1803" spans="12:18" x14ac:dyDescent="0.25">
      <c r="L1803" s="26">
        <v>42060</v>
      </c>
      <c r="M1803" s="6">
        <v>64.029999000000004</v>
      </c>
      <c r="N1803" s="6">
        <v>64.980002999999996</v>
      </c>
      <c r="O1803" s="6">
        <v>63.91</v>
      </c>
      <c r="P1803" s="6">
        <v>64.779999000000004</v>
      </c>
      <c r="Q1803" s="6">
        <v>56.874904999999998</v>
      </c>
      <c r="R1803" s="58">
        <v>2253300</v>
      </c>
    </row>
    <row r="1804" spans="12:18" x14ac:dyDescent="0.25">
      <c r="L1804" s="26">
        <v>42061</v>
      </c>
      <c r="M1804" s="6">
        <v>64.75</v>
      </c>
      <c r="N1804" s="6">
        <v>64.940002000000007</v>
      </c>
      <c r="O1804" s="6">
        <v>64.529999000000004</v>
      </c>
      <c r="P1804" s="6">
        <v>64.669998000000007</v>
      </c>
      <c r="Q1804" s="6">
        <v>56.778323999999998</v>
      </c>
      <c r="R1804" s="58">
        <v>2219200</v>
      </c>
    </row>
    <row r="1805" spans="12:18" x14ac:dyDescent="0.25">
      <c r="L1805" s="26">
        <v>42062</v>
      </c>
      <c r="M1805" s="6">
        <v>64.519997000000004</v>
      </c>
      <c r="N1805" s="6">
        <v>65.029999000000004</v>
      </c>
      <c r="O1805" s="6">
        <v>64.459998999999996</v>
      </c>
      <c r="P1805" s="6">
        <v>64.480002999999996</v>
      </c>
      <c r="Q1805" s="6">
        <v>56.611507000000003</v>
      </c>
      <c r="R1805" s="58">
        <v>2067500</v>
      </c>
    </row>
    <row r="1806" spans="12:18" x14ac:dyDescent="0.25">
      <c r="L1806" s="26">
        <v>42065</v>
      </c>
      <c r="M1806" s="6">
        <v>64.370002999999997</v>
      </c>
      <c r="N1806" s="6">
        <v>64.709998999999996</v>
      </c>
      <c r="O1806" s="6">
        <v>64.150002000000001</v>
      </c>
      <c r="P1806" s="6">
        <v>64.290001000000004</v>
      </c>
      <c r="Q1806" s="6">
        <v>56.444705999999996</v>
      </c>
      <c r="R1806" s="58">
        <v>1274100</v>
      </c>
    </row>
    <row r="1807" spans="12:18" x14ac:dyDescent="0.25">
      <c r="L1807" s="26">
        <v>42066</v>
      </c>
      <c r="M1807" s="6">
        <v>64.040001000000004</v>
      </c>
      <c r="N1807" s="6">
        <v>64.819999999999993</v>
      </c>
      <c r="O1807" s="6">
        <v>63.68</v>
      </c>
      <c r="P1807" s="6">
        <v>64.760002</v>
      </c>
      <c r="Q1807" s="6">
        <v>56.857353000000003</v>
      </c>
      <c r="R1807" s="58">
        <v>2825800</v>
      </c>
    </row>
    <row r="1808" spans="12:18" x14ac:dyDescent="0.25">
      <c r="L1808" s="26">
        <v>42067</v>
      </c>
      <c r="M1808" s="6">
        <v>64.449996999999996</v>
      </c>
      <c r="N1808" s="6">
        <v>64.900002000000001</v>
      </c>
      <c r="O1808" s="6">
        <v>64.269997000000004</v>
      </c>
      <c r="P1808" s="6">
        <v>64.720000999999996</v>
      </c>
      <c r="Q1808" s="6">
        <v>57.255443999999997</v>
      </c>
      <c r="R1808" s="58">
        <v>5142700</v>
      </c>
    </row>
    <row r="1809" spans="12:18" x14ac:dyDescent="0.25">
      <c r="L1809" s="26">
        <v>42068</v>
      </c>
      <c r="M1809" s="6">
        <v>64.720000999999996</v>
      </c>
      <c r="N1809" s="6">
        <v>64.930000000000007</v>
      </c>
      <c r="O1809" s="6">
        <v>63.810001</v>
      </c>
      <c r="P1809" s="6">
        <v>64.050003000000004</v>
      </c>
      <c r="Q1809" s="6">
        <v>56.662726999999997</v>
      </c>
      <c r="R1809" s="58">
        <v>2686800</v>
      </c>
    </row>
    <row r="1810" spans="12:18" x14ac:dyDescent="0.25">
      <c r="L1810" s="26">
        <v>42069</v>
      </c>
      <c r="M1810" s="6">
        <v>63.639999000000003</v>
      </c>
      <c r="N1810" s="6">
        <v>63.77</v>
      </c>
      <c r="O1810" s="6">
        <v>62.259998000000003</v>
      </c>
      <c r="P1810" s="6">
        <v>62.470001000000003</v>
      </c>
      <c r="Q1810" s="6">
        <v>55.264949999999999</v>
      </c>
      <c r="R1810" s="58">
        <v>2811100</v>
      </c>
    </row>
    <row r="1811" spans="12:18" x14ac:dyDescent="0.25">
      <c r="L1811" s="26">
        <v>42072</v>
      </c>
      <c r="M1811" s="6">
        <v>62.549999</v>
      </c>
      <c r="N1811" s="6">
        <v>62.869999</v>
      </c>
      <c r="O1811" s="6">
        <v>62.380001</v>
      </c>
      <c r="P1811" s="6">
        <v>62.599997999999999</v>
      </c>
      <c r="Q1811" s="6">
        <v>55.379950999999998</v>
      </c>
      <c r="R1811" s="58">
        <v>1617000</v>
      </c>
    </row>
    <row r="1812" spans="12:18" x14ac:dyDescent="0.25">
      <c r="L1812" s="26">
        <v>42073</v>
      </c>
      <c r="M1812" s="6">
        <v>62.330002</v>
      </c>
      <c r="N1812" s="6">
        <v>62.77</v>
      </c>
      <c r="O1812" s="6">
        <v>61.950001</v>
      </c>
      <c r="P1812" s="6">
        <v>62.610000999999997</v>
      </c>
      <c r="Q1812" s="6">
        <v>55.388804999999998</v>
      </c>
      <c r="R1812" s="58">
        <v>2485100</v>
      </c>
    </row>
    <row r="1813" spans="12:18" x14ac:dyDescent="0.25">
      <c r="L1813" s="26">
        <v>42074</v>
      </c>
      <c r="M1813" s="6">
        <v>62.599997999999999</v>
      </c>
      <c r="N1813" s="6">
        <v>62.619999</v>
      </c>
      <c r="O1813" s="6">
        <v>61.77</v>
      </c>
      <c r="P1813" s="6">
        <v>61.970001000000003</v>
      </c>
      <c r="Q1813" s="6">
        <v>54.822623999999998</v>
      </c>
      <c r="R1813" s="58">
        <v>1824600</v>
      </c>
    </row>
    <row r="1814" spans="12:18" x14ac:dyDescent="0.25">
      <c r="L1814" s="26">
        <v>42075</v>
      </c>
      <c r="M1814" s="6">
        <v>61.98</v>
      </c>
      <c r="N1814" s="6">
        <v>62.389999000000003</v>
      </c>
      <c r="O1814" s="6">
        <v>61.98</v>
      </c>
      <c r="P1814" s="6">
        <v>62.310001</v>
      </c>
      <c r="Q1814" s="6">
        <v>55.123404999999998</v>
      </c>
      <c r="R1814" s="58">
        <v>1582500</v>
      </c>
    </row>
    <row r="1815" spans="12:18" x14ac:dyDescent="0.25">
      <c r="L1815" s="26">
        <v>42076</v>
      </c>
      <c r="M1815" s="6">
        <v>62.169998</v>
      </c>
      <c r="N1815" s="6">
        <v>62.349997999999999</v>
      </c>
      <c r="O1815" s="6">
        <v>61.709999000000003</v>
      </c>
      <c r="P1815" s="6">
        <v>62.150002000000001</v>
      </c>
      <c r="Q1815" s="6">
        <v>54.981864999999999</v>
      </c>
      <c r="R1815" s="58">
        <v>1461000</v>
      </c>
    </row>
    <row r="1816" spans="12:18" x14ac:dyDescent="0.25">
      <c r="L1816" s="26">
        <v>42079</v>
      </c>
      <c r="M1816" s="6">
        <v>62.310001</v>
      </c>
      <c r="N1816" s="6">
        <v>62.849997999999999</v>
      </c>
      <c r="O1816" s="6">
        <v>62.130001</v>
      </c>
      <c r="P1816" s="6">
        <v>62.84</v>
      </c>
      <c r="Q1816" s="6">
        <v>55.592278</v>
      </c>
      <c r="R1816" s="58">
        <v>2043800</v>
      </c>
    </row>
    <row r="1817" spans="12:18" x14ac:dyDescent="0.25">
      <c r="L1817" s="26">
        <v>42080</v>
      </c>
      <c r="M1817" s="6">
        <v>62.330002</v>
      </c>
      <c r="N1817" s="6">
        <v>62.529998999999997</v>
      </c>
      <c r="O1817" s="6">
        <v>62</v>
      </c>
      <c r="P1817" s="6">
        <v>62.25</v>
      </c>
      <c r="Q1817" s="6">
        <v>55.070320000000002</v>
      </c>
      <c r="R1817" s="58">
        <v>1785200</v>
      </c>
    </row>
    <row r="1818" spans="12:18" x14ac:dyDescent="0.25">
      <c r="L1818" s="26">
        <v>42081</v>
      </c>
      <c r="M1818" s="6">
        <v>62.200001</v>
      </c>
      <c r="N1818" s="6">
        <v>63.200001</v>
      </c>
      <c r="O1818" s="6">
        <v>61.529998999999997</v>
      </c>
      <c r="P1818" s="6">
        <v>63.060001</v>
      </c>
      <c r="Q1818" s="6">
        <v>55.786906999999999</v>
      </c>
      <c r="R1818" s="58">
        <v>2169500</v>
      </c>
    </row>
    <row r="1819" spans="12:18" x14ac:dyDescent="0.25">
      <c r="L1819" s="26">
        <v>42082</v>
      </c>
      <c r="M1819" s="6">
        <v>62.799999</v>
      </c>
      <c r="N1819" s="6">
        <v>63.259998000000003</v>
      </c>
      <c r="O1819" s="6">
        <v>62.619999</v>
      </c>
      <c r="P1819" s="6">
        <v>62.810001</v>
      </c>
      <c r="Q1819" s="6">
        <v>55.565742</v>
      </c>
      <c r="R1819" s="58">
        <v>1956500</v>
      </c>
    </row>
    <row r="1820" spans="12:18" x14ac:dyDescent="0.25">
      <c r="L1820" s="26">
        <v>42083</v>
      </c>
      <c r="M1820" s="6">
        <v>62.98</v>
      </c>
      <c r="N1820" s="6">
        <v>64.080001999999993</v>
      </c>
      <c r="O1820" s="6">
        <v>62.98</v>
      </c>
      <c r="P1820" s="6">
        <v>64.080001999999993</v>
      </c>
      <c r="Q1820" s="6">
        <v>56.689255000000003</v>
      </c>
      <c r="R1820" s="58">
        <v>4427200</v>
      </c>
    </row>
    <row r="1821" spans="12:18" x14ac:dyDescent="0.25">
      <c r="L1821" s="26">
        <v>42086</v>
      </c>
      <c r="M1821" s="6">
        <v>63.919998</v>
      </c>
      <c r="N1821" s="6">
        <v>64.279999000000004</v>
      </c>
      <c r="O1821" s="6">
        <v>63.779998999999997</v>
      </c>
      <c r="P1821" s="6">
        <v>63.950001</v>
      </c>
      <c r="Q1821" s="6">
        <v>56.574252999999999</v>
      </c>
      <c r="R1821" s="58">
        <v>1588300</v>
      </c>
    </row>
    <row r="1822" spans="12:18" x14ac:dyDescent="0.25">
      <c r="L1822" s="26">
        <v>42087</v>
      </c>
      <c r="M1822" s="6">
        <v>64</v>
      </c>
      <c r="N1822" s="6">
        <v>64.099997999999999</v>
      </c>
      <c r="O1822" s="6">
        <v>62.93</v>
      </c>
      <c r="P1822" s="6">
        <v>62.939999</v>
      </c>
      <c r="Q1822" s="6">
        <v>55.680737000000001</v>
      </c>
      <c r="R1822" s="58">
        <v>1764000</v>
      </c>
    </row>
    <row r="1823" spans="12:18" x14ac:dyDescent="0.25">
      <c r="L1823" s="26">
        <v>42088</v>
      </c>
      <c r="M1823" s="6">
        <v>63.529998999999997</v>
      </c>
      <c r="N1823" s="6">
        <v>63.98</v>
      </c>
      <c r="O1823" s="6">
        <v>62.630001</v>
      </c>
      <c r="P1823" s="6">
        <v>63.150002000000001</v>
      </c>
      <c r="Q1823" s="6">
        <v>55.866523999999998</v>
      </c>
      <c r="R1823" s="58">
        <v>5476600</v>
      </c>
    </row>
    <row r="1824" spans="12:18" x14ac:dyDescent="0.25">
      <c r="L1824" s="26">
        <v>42089</v>
      </c>
      <c r="M1824" s="6">
        <v>63.450001</v>
      </c>
      <c r="N1824" s="6">
        <v>63.52</v>
      </c>
      <c r="O1824" s="6">
        <v>62.459999000000003</v>
      </c>
      <c r="P1824" s="6">
        <v>63</v>
      </c>
      <c r="Q1824" s="6">
        <v>55.733822000000004</v>
      </c>
      <c r="R1824" s="58">
        <v>2513600</v>
      </c>
    </row>
    <row r="1825" spans="12:18" x14ac:dyDescent="0.25">
      <c r="L1825" s="26">
        <v>42090</v>
      </c>
      <c r="M1825" s="6">
        <v>63.110000999999997</v>
      </c>
      <c r="N1825" s="6">
        <v>63.869999</v>
      </c>
      <c r="O1825" s="6">
        <v>63</v>
      </c>
      <c r="P1825" s="6">
        <v>63.84</v>
      </c>
      <c r="Q1825" s="6">
        <v>56.476936000000002</v>
      </c>
      <c r="R1825" s="58">
        <v>1836900</v>
      </c>
    </row>
    <row r="1826" spans="12:18" x14ac:dyDescent="0.25">
      <c r="L1826" s="26">
        <v>42093</v>
      </c>
      <c r="M1826" s="6">
        <v>63.900002000000001</v>
      </c>
      <c r="N1826" s="6">
        <v>65.5</v>
      </c>
      <c r="O1826" s="6">
        <v>63.66</v>
      </c>
      <c r="P1826" s="6">
        <v>65.5</v>
      </c>
      <c r="Q1826" s="6">
        <v>57.945473</v>
      </c>
      <c r="R1826" s="58">
        <v>3614800</v>
      </c>
    </row>
    <row r="1827" spans="12:18" x14ac:dyDescent="0.25">
      <c r="L1827" s="26">
        <v>42094</v>
      </c>
      <c r="M1827" s="6">
        <v>65.139999000000003</v>
      </c>
      <c r="N1827" s="6">
        <v>66.379997000000003</v>
      </c>
      <c r="O1827" s="6">
        <v>65.040001000000004</v>
      </c>
      <c r="P1827" s="6">
        <v>65.949996999999996</v>
      </c>
      <c r="Q1827" s="6">
        <v>58.343575000000001</v>
      </c>
      <c r="R1827" s="58">
        <v>3946800</v>
      </c>
    </row>
    <row r="1828" spans="12:18" x14ac:dyDescent="0.25">
      <c r="L1828" s="26">
        <v>42095</v>
      </c>
      <c r="M1828" s="6">
        <v>65.690002000000007</v>
      </c>
      <c r="N1828" s="6">
        <v>66.25</v>
      </c>
      <c r="O1828" s="6">
        <v>64.989998</v>
      </c>
      <c r="P1828" s="6">
        <v>66.180000000000007</v>
      </c>
      <c r="Q1828" s="6">
        <v>58.547049999999999</v>
      </c>
      <c r="R1828" s="58">
        <v>3598800</v>
      </c>
    </row>
    <row r="1829" spans="12:18" x14ac:dyDescent="0.25">
      <c r="L1829" s="26">
        <v>42096</v>
      </c>
      <c r="M1829" s="6">
        <v>65.910004000000001</v>
      </c>
      <c r="N1829" s="6">
        <v>66.639999000000003</v>
      </c>
      <c r="O1829" s="6">
        <v>65.809997999999993</v>
      </c>
      <c r="P1829" s="6">
        <v>66.379997000000003</v>
      </c>
      <c r="Q1829" s="6">
        <v>58.723987999999999</v>
      </c>
      <c r="R1829" s="58">
        <v>2442100</v>
      </c>
    </row>
    <row r="1830" spans="12:18" x14ac:dyDescent="0.25">
      <c r="L1830" s="26">
        <v>42100</v>
      </c>
      <c r="M1830" s="6">
        <v>66.550003000000004</v>
      </c>
      <c r="N1830" s="6">
        <v>67</v>
      </c>
      <c r="O1830" s="6">
        <v>66.029999000000004</v>
      </c>
      <c r="P1830" s="6">
        <v>66.029999000000004</v>
      </c>
      <c r="Q1830" s="6">
        <v>58.414352000000001</v>
      </c>
      <c r="R1830" s="58">
        <v>3972100</v>
      </c>
    </row>
    <row r="1831" spans="12:18" x14ac:dyDescent="0.25">
      <c r="L1831" s="26">
        <v>42101</v>
      </c>
      <c r="M1831" s="6">
        <v>65.949996999999996</v>
      </c>
      <c r="N1831" s="6">
        <v>66.180000000000007</v>
      </c>
      <c r="O1831" s="6">
        <v>65.620002999999997</v>
      </c>
      <c r="P1831" s="6">
        <v>65.739998</v>
      </c>
      <c r="Q1831" s="6">
        <v>58.157798999999997</v>
      </c>
      <c r="R1831" s="58">
        <v>1605800</v>
      </c>
    </row>
    <row r="1832" spans="12:18" x14ac:dyDescent="0.25">
      <c r="L1832" s="26">
        <v>42102</v>
      </c>
      <c r="M1832" s="6">
        <v>65.839995999999999</v>
      </c>
      <c r="N1832" s="6">
        <v>65.839995999999999</v>
      </c>
      <c r="O1832" s="6">
        <v>65.230002999999996</v>
      </c>
      <c r="P1832" s="6">
        <v>65.589995999999999</v>
      </c>
      <c r="Q1832" s="6">
        <v>58.025097000000002</v>
      </c>
      <c r="R1832" s="58">
        <v>1950700</v>
      </c>
    </row>
    <row r="1833" spans="12:18" x14ac:dyDescent="0.25">
      <c r="L1833" s="26">
        <v>42103</v>
      </c>
      <c r="M1833" s="6">
        <v>65.510002</v>
      </c>
      <c r="N1833" s="6">
        <v>65.650002000000001</v>
      </c>
      <c r="O1833" s="6">
        <v>65.25</v>
      </c>
      <c r="P1833" s="6">
        <v>65.489998</v>
      </c>
      <c r="Q1833" s="6">
        <v>57.936633999999998</v>
      </c>
      <c r="R1833" s="58">
        <v>1631900</v>
      </c>
    </row>
    <row r="1834" spans="12:18" x14ac:dyDescent="0.25">
      <c r="L1834" s="26">
        <v>42104</v>
      </c>
      <c r="M1834" s="6">
        <v>65.660004000000001</v>
      </c>
      <c r="N1834" s="6">
        <v>65.980002999999996</v>
      </c>
      <c r="O1834" s="6">
        <v>65.379997000000003</v>
      </c>
      <c r="P1834" s="6">
        <v>65.730002999999996</v>
      </c>
      <c r="Q1834" s="6">
        <v>58.148952000000001</v>
      </c>
      <c r="R1834" s="58">
        <v>1544100</v>
      </c>
    </row>
    <row r="1835" spans="12:18" x14ac:dyDescent="0.25">
      <c r="L1835" s="26">
        <v>42107</v>
      </c>
      <c r="M1835" s="6">
        <v>65.75</v>
      </c>
      <c r="N1835" s="6">
        <v>65.839995999999999</v>
      </c>
      <c r="O1835" s="6">
        <v>65.410004000000001</v>
      </c>
      <c r="P1835" s="6">
        <v>65.459998999999996</v>
      </c>
      <c r="Q1835" s="6">
        <v>57.910091000000001</v>
      </c>
      <c r="R1835" s="58">
        <v>967700</v>
      </c>
    </row>
    <row r="1836" spans="12:18" x14ac:dyDescent="0.25">
      <c r="L1836" s="26">
        <v>42108</v>
      </c>
      <c r="M1836" s="6">
        <v>65.430000000000007</v>
      </c>
      <c r="N1836" s="6">
        <v>65.870002999999997</v>
      </c>
      <c r="O1836" s="6">
        <v>65.260002</v>
      </c>
      <c r="P1836" s="6">
        <v>65.580001999999993</v>
      </c>
      <c r="Q1836" s="6">
        <v>58.016254000000004</v>
      </c>
      <c r="R1836" s="58">
        <v>1690200</v>
      </c>
    </row>
    <row r="1837" spans="12:18" x14ac:dyDescent="0.25">
      <c r="L1837" s="26">
        <v>42109</v>
      </c>
      <c r="M1837" s="6">
        <v>65.699996999999996</v>
      </c>
      <c r="N1837" s="6">
        <v>66.040001000000004</v>
      </c>
      <c r="O1837" s="6">
        <v>65.110000999999997</v>
      </c>
      <c r="P1837" s="6">
        <v>65.169998000000007</v>
      </c>
      <c r="Q1837" s="6">
        <v>57.653545000000001</v>
      </c>
      <c r="R1837" s="58">
        <v>1387200</v>
      </c>
    </row>
    <row r="1838" spans="12:18" x14ac:dyDescent="0.25">
      <c r="L1838" s="26">
        <v>42110</v>
      </c>
      <c r="M1838" s="6">
        <v>65.099997999999999</v>
      </c>
      <c r="N1838" s="6">
        <v>65.360000999999997</v>
      </c>
      <c r="O1838" s="6">
        <v>64.800003000000004</v>
      </c>
      <c r="P1838" s="6">
        <v>65.050003000000004</v>
      </c>
      <c r="Q1838" s="6">
        <v>57.54739</v>
      </c>
      <c r="R1838" s="58">
        <v>1251600</v>
      </c>
    </row>
    <row r="1839" spans="12:18" x14ac:dyDescent="0.25">
      <c r="L1839" s="26">
        <v>42111</v>
      </c>
      <c r="M1839" s="6">
        <v>64.620002999999997</v>
      </c>
      <c r="N1839" s="6">
        <v>64.790001000000004</v>
      </c>
      <c r="O1839" s="6">
        <v>64.120002999999997</v>
      </c>
      <c r="P1839" s="6">
        <v>64.389999000000003</v>
      </c>
      <c r="Q1839" s="6">
        <v>56.963509000000002</v>
      </c>
      <c r="R1839" s="58">
        <v>1496100</v>
      </c>
    </row>
    <row r="1840" spans="12:18" x14ac:dyDescent="0.25">
      <c r="L1840" s="26">
        <v>42114</v>
      </c>
      <c r="M1840" s="6">
        <v>64.839995999999999</v>
      </c>
      <c r="N1840" s="6">
        <v>65.470000999999996</v>
      </c>
      <c r="O1840" s="6">
        <v>64.199996999999996</v>
      </c>
      <c r="P1840" s="6">
        <v>64.559997999999993</v>
      </c>
      <c r="Q1840" s="6">
        <v>57.113903000000001</v>
      </c>
      <c r="R1840" s="58">
        <v>1624600</v>
      </c>
    </row>
    <row r="1841" spans="12:18" x14ac:dyDescent="0.25">
      <c r="L1841" s="26">
        <v>42115</v>
      </c>
      <c r="M1841" s="6">
        <v>64.620002999999997</v>
      </c>
      <c r="N1841" s="6">
        <v>64.819999999999993</v>
      </c>
      <c r="O1841" s="6">
        <v>63.77</v>
      </c>
      <c r="P1841" s="6">
        <v>63.860000999999997</v>
      </c>
      <c r="Q1841" s="6">
        <v>56.494624999999999</v>
      </c>
      <c r="R1841" s="58">
        <v>1753500</v>
      </c>
    </row>
    <row r="1842" spans="12:18" x14ac:dyDescent="0.25">
      <c r="L1842" s="26">
        <v>42116</v>
      </c>
      <c r="M1842" s="6">
        <v>64.040001000000004</v>
      </c>
      <c r="N1842" s="6">
        <v>64.290001000000004</v>
      </c>
      <c r="O1842" s="6">
        <v>63.73</v>
      </c>
      <c r="P1842" s="6">
        <v>63.98</v>
      </c>
      <c r="Q1842" s="6">
        <v>56.600802999999999</v>
      </c>
      <c r="R1842" s="58">
        <v>1156800</v>
      </c>
    </row>
    <row r="1843" spans="12:18" x14ac:dyDescent="0.25">
      <c r="L1843" s="26">
        <v>42117</v>
      </c>
      <c r="M1843" s="6">
        <v>63.860000999999997</v>
      </c>
      <c r="N1843" s="6">
        <v>64.110000999999997</v>
      </c>
      <c r="O1843" s="6">
        <v>63.610000999999997</v>
      </c>
      <c r="P1843" s="6">
        <v>63.849997999999999</v>
      </c>
      <c r="Q1843" s="6">
        <v>56.485779000000001</v>
      </c>
      <c r="R1843" s="58">
        <v>934500</v>
      </c>
    </row>
    <row r="1844" spans="12:18" x14ac:dyDescent="0.25">
      <c r="L1844" s="26">
        <v>42118</v>
      </c>
      <c r="M1844" s="6">
        <v>64.010002</v>
      </c>
      <c r="N1844" s="6">
        <v>64.199996999999996</v>
      </c>
      <c r="O1844" s="6">
        <v>63.619999</v>
      </c>
      <c r="P1844" s="6">
        <v>63.73</v>
      </c>
      <c r="Q1844" s="6">
        <v>56.379626999999999</v>
      </c>
      <c r="R1844" s="58">
        <v>1196900</v>
      </c>
    </row>
    <row r="1845" spans="12:18" x14ac:dyDescent="0.25">
      <c r="L1845" s="26">
        <v>42121</v>
      </c>
      <c r="M1845" s="6">
        <v>63.669998</v>
      </c>
      <c r="N1845" s="6">
        <v>63.880001</v>
      </c>
      <c r="O1845" s="6">
        <v>63.290000999999997</v>
      </c>
      <c r="P1845" s="6">
        <v>63.610000999999997</v>
      </c>
      <c r="Q1845" s="6">
        <v>56.273468000000001</v>
      </c>
      <c r="R1845" s="58">
        <v>1437800</v>
      </c>
    </row>
    <row r="1846" spans="12:18" x14ac:dyDescent="0.25">
      <c r="L1846" s="26">
        <v>42122</v>
      </c>
      <c r="M1846" s="6">
        <v>63.66</v>
      </c>
      <c r="N1846" s="6">
        <v>63.82</v>
      </c>
      <c r="O1846" s="6">
        <v>63.34</v>
      </c>
      <c r="P1846" s="6">
        <v>63.669998</v>
      </c>
      <c r="Q1846" s="6">
        <v>56.326542000000003</v>
      </c>
      <c r="R1846" s="58">
        <v>1573900</v>
      </c>
    </row>
    <row r="1847" spans="12:18" x14ac:dyDescent="0.25">
      <c r="L1847" s="26">
        <v>42123</v>
      </c>
      <c r="M1847" s="6">
        <v>63.610000999999997</v>
      </c>
      <c r="N1847" s="6">
        <v>63.959999000000003</v>
      </c>
      <c r="O1847" s="6">
        <v>63.299999</v>
      </c>
      <c r="P1847" s="6">
        <v>63.380001</v>
      </c>
      <c r="Q1847" s="6">
        <v>56.069996000000003</v>
      </c>
      <c r="R1847" s="58">
        <v>1239900</v>
      </c>
    </row>
    <row r="1848" spans="12:18" x14ac:dyDescent="0.25">
      <c r="L1848" s="26">
        <v>42124</v>
      </c>
      <c r="M1848" s="6">
        <v>63.470001000000003</v>
      </c>
      <c r="N1848" s="6">
        <v>63.540000999999997</v>
      </c>
      <c r="O1848" s="6">
        <v>63.029998999999997</v>
      </c>
      <c r="P1848" s="6">
        <v>63.330002</v>
      </c>
      <c r="Q1848" s="6">
        <v>56.025761000000003</v>
      </c>
      <c r="R1848" s="58">
        <v>1332300</v>
      </c>
    </row>
    <row r="1849" spans="12:18" x14ac:dyDescent="0.25">
      <c r="L1849" s="26">
        <v>42125</v>
      </c>
      <c r="M1849" s="6">
        <v>63.419998</v>
      </c>
      <c r="N1849" s="6">
        <v>63.970001000000003</v>
      </c>
      <c r="O1849" s="6">
        <v>63.389999000000003</v>
      </c>
      <c r="P1849" s="6">
        <v>63.889999000000003</v>
      </c>
      <c r="Q1849" s="6">
        <v>56.521172</v>
      </c>
      <c r="R1849" s="58">
        <v>1613900</v>
      </c>
    </row>
    <row r="1850" spans="12:18" x14ac:dyDescent="0.25">
      <c r="L1850" s="26">
        <v>42128</v>
      </c>
      <c r="M1850" s="6">
        <v>63.869999</v>
      </c>
      <c r="N1850" s="6">
        <v>64.430000000000007</v>
      </c>
      <c r="O1850" s="6">
        <v>63.849997999999999</v>
      </c>
      <c r="P1850" s="6">
        <v>64.129997000000003</v>
      </c>
      <c r="Q1850" s="6">
        <v>56.733485999999999</v>
      </c>
      <c r="R1850" s="58">
        <v>2199100</v>
      </c>
    </row>
    <row r="1851" spans="12:18" x14ac:dyDescent="0.25">
      <c r="L1851" s="26">
        <v>42129</v>
      </c>
      <c r="M1851" s="6">
        <v>64.930000000000007</v>
      </c>
      <c r="N1851" s="6">
        <v>65.080001999999993</v>
      </c>
      <c r="O1851" s="6">
        <v>62.59</v>
      </c>
      <c r="P1851" s="6">
        <v>63.18</v>
      </c>
      <c r="Q1851" s="6">
        <v>55.893070000000002</v>
      </c>
      <c r="R1851" s="58">
        <v>3151900</v>
      </c>
    </row>
    <row r="1852" spans="12:18" x14ac:dyDescent="0.25">
      <c r="L1852" s="26">
        <v>42130</v>
      </c>
      <c r="M1852" s="6">
        <v>63.389999000000003</v>
      </c>
      <c r="N1852" s="6">
        <v>63.5</v>
      </c>
      <c r="O1852" s="6">
        <v>62.459999000000003</v>
      </c>
      <c r="P1852" s="6">
        <v>63.009998000000003</v>
      </c>
      <c r="Q1852" s="6">
        <v>55.742671999999999</v>
      </c>
      <c r="R1852" s="58">
        <v>1651400</v>
      </c>
    </row>
    <row r="1853" spans="12:18" x14ac:dyDescent="0.25">
      <c r="L1853" s="26">
        <v>42131</v>
      </c>
      <c r="M1853" s="6">
        <v>63.02</v>
      </c>
      <c r="N1853" s="6">
        <v>63.68</v>
      </c>
      <c r="O1853" s="6">
        <v>62.950001</v>
      </c>
      <c r="P1853" s="6">
        <v>63.560001</v>
      </c>
      <c r="Q1853" s="6">
        <v>56.229233000000001</v>
      </c>
      <c r="R1853" s="58">
        <v>1268100</v>
      </c>
    </row>
    <row r="1854" spans="12:18" x14ac:dyDescent="0.25">
      <c r="L1854" s="26">
        <v>42132</v>
      </c>
      <c r="M1854" s="6">
        <v>64</v>
      </c>
      <c r="N1854" s="6">
        <v>64.370002999999997</v>
      </c>
      <c r="O1854" s="6">
        <v>63.57</v>
      </c>
      <c r="P1854" s="6">
        <v>63.610000999999997</v>
      </c>
      <c r="Q1854" s="6">
        <v>56.273468000000001</v>
      </c>
      <c r="R1854" s="58">
        <v>1567600</v>
      </c>
    </row>
    <row r="1855" spans="12:18" x14ac:dyDescent="0.25">
      <c r="L1855" s="26">
        <v>42135</v>
      </c>
      <c r="M1855" s="6">
        <v>63.34</v>
      </c>
      <c r="N1855" s="6">
        <v>64.199996999999996</v>
      </c>
      <c r="O1855" s="6">
        <v>63.34</v>
      </c>
      <c r="P1855" s="6">
        <v>63.779998999999997</v>
      </c>
      <c r="Q1855" s="6">
        <v>56.423859</v>
      </c>
      <c r="R1855" s="58">
        <v>1421600</v>
      </c>
    </row>
    <row r="1856" spans="12:18" x14ac:dyDescent="0.25">
      <c r="L1856" s="26">
        <v>42136</v>
      </c>
      <c r="M1856" s="6">
        <v>63.490001999999997</v>
      </c>
      <c r="N1856" s="6">
        <v>63.709999000000003</v>
      </c>
      <c r="O1856" s="6">
        <v>63.200001</v>
      </c>
      <c r="P1856" s="6">
        <v>63.669998</v>
      </c>
      <c r="Q1856" s="6">
        <v>56.326542000000003</v>
      </c>
      <c r="R1856" s="58">
        <v>1340400</v>
      </c>
    </row>
    <row r="1857" spans="12:18" x14ac:dyDescent="0.25">
      <c r="L1857" s="26">
        <v>42137</v>
      </c>
      <c r="M1857" s="6">
        <v>63.689999</v>
      </c>
      <c r="N1857" s="6">
        <v>64.099997999999999</v>
      </c>
      <c r="O1857" s="6">
        <v>63.490001999999997</v>
      </c>
      <c r="P1857" s="6">
        <v>63.73</v>
      </c>
      <c r="Q1857" s="6">
        <v>56.379626999999999</v>
      </c>
      <c r="R1857" s="58">
        <v>1386500</v>
      </c>
    </row>
    <row r="1858" spans="12:18" x14ac:dyDescent="0.25">
      <c r="L1858" s="26">
        <v>42138</v>
      </c>
      <c r="M1858" s="6">
        <v>64.129997000000003</v>
      </c>
      <c r="N1858" s="6">
        <v>64.75</v>
      </c>
      <c r="O1858" s="6">
        <v>63.900002000000001</v>
      </c>
      <c r="P1858" s="6">
        <v>64.580001999999993</v>
      </c>
      <c r="Q1858" s="6">
        <v>57.131591999999998</v>
      </c>
      <c r="R1858" s="58">
        <v>1815100</v>
      </c>
    </row>
    <row r="1859" spans="12:18" x14ac:dyDescent="0.25">
      <c r="L1859" s="26">
        <v>42139</v>
      </c>
      <c r="M1859" s="6">
        <v>64.620002999999997</v>
      </c>
      <c r="N1859" s="6">
        <v>65.639999000000003</v>
      </c>
      <c r="O1859" s="6">
        <v>64.540001000000004</v>
      </c>
      <c r="P1859" s="6">
        <v>65.230002999999996</v>
      </c>
      <c r="Q1859" s="6">
        <v>57.706619000000003</v>
      </c>
      <c r="R1859" s="58">
        <v>3109300</v>
      </c>
    </row>
    <row r="1860" spans="12:18" x14ac:dyDescent="0.25">
      <c r="L1860" s="26">
        <v>42142</v>
      </c>
      <c r="M1860" s="6">
        <v>65.080001999999993</v>
      </c>
      <c r="N1860" s="6">
        <v>65.080001999999993</v>
      </c>
      <c r="O1860" s="6">
        <v>64.5</v>
      </c>
      <c r="P1860" s="6">
        <v>64.639999000000003</v>
      </c>
      <c r="Q1860" s="6">
        <v>57.184666</v>
      </c>
      <c r="R1860" s="58">
        <v>1732100</v>
      </c>
    </row>
    <row r="1861" spans="12:18" x14ac:dyDescent="0.25">
      <c r="L1861" s="26">
        <v>42143</v>
      </c>
      <c r="M1861" s="6">
        <v>64.790001000000004</v>
      </c>
      <c r="N1861" s="6">
        <v>64.790001000000004</v>
      </c>
      <c r="O1861" s="6">
        <v>64.080001999999993</v>
      </c>
      <c r="P1861" s="6">
        <v>64.190002000000007</v>
      </c>
      <c r="Q1861" s="6">
        <v>56.786572</v>
      </c>
      <c r="R1861" s="58">
        <v>1741200</v>
      </c>
    </row>
    <row r="1862" spans="12:18" x14ac:dyDescent="0.25">
      <c r="L1862" s="26">
        <v>42144</v>
      </c>
      <c r="M1862" s="6">
        <v>64.309997999999993</v>
      </c>
      <c r="N1862" s="6">
        <v>64.610000999999997</v>
      </c>
      <c r="O1862" s="6">
        <v>64.209998999999996</v>
      </c>
      <c r="P1862" s="6">
        <v>64.230002999999996</v>
      </c>
      <c r="Q1862" s="6">
        <v>56.821959999999997</v>
      </c>
      <c r="R1862" s="58">
        <v>1390400</v>
      </c>
    </row>
    <row r="1863" spans="12:18" x14ac:dyDescent="0.25">
      <c r="L1863" s="26">
        <v>42145</v>
      </c>
      <c r="M1863" s="6">
        <v>64.139999000000003</v>
      </c>
      <c r="N1863" s="6">
        <v>64.339995999999999</v>
      </c>
      <c r="O1863" s="6">
        <v>63.790000999999997</v>
      </c>
      <c r="P1863" s="6">
        <v>63.959999000000003</v>
      </c>
      <c r="Q1863" s="6">
        <v>56.583098999999997</v>
      </c>
      <c r="R1863" s="58">
        <v>1022400</v>
      </c>
    </row>
    <row r="1864" spans="12:18" x14ac:dyDescent="0.25">
      <c r="L1864" s="26">
        <v>42146</v>
      </c>
      <c r="M1864" s="6">
        <v>63.919998</v>
      </c>
      <c r="N1864" s="6">
        <v>64.160004000000001</v>
      </c>
      <c r="O1864" s="6">
        <v>63.66</v>
      </c>
      <c r="P1864" s="6">
        <v>63.68</v>
      </c>
      <c r="Q1864" s="6">
        <v>56.335388000000002</v>
      </c>
      <c r="R1864" s="58">
        <v>978600</v>
      </c>
    </row>
    <row r="1865" spans="12:18" x14ac:dyDescent="0.25">
      <c r="L1865" s="26">
        <v>42150</v>
      </c>
      <c r="M1865" s="6">
        <v>63.540000999999997</v>
      </c>
      <c r="N1865" s="6">
        <v>63.66</v>
      </c>
      <c r="O1865" s="6">
        <v>62.869999</v>
      </c>
      <c r="P1865" s="6">
        <v>63</v>
      </c>
      <c r="Q1865" s="6">
        <v>55.733822000000004</v>
      </c>
      <c r="R1865" s="58">
        <v>1132000</v>
      </c>
    </row>
    <row r="1866" spans="12:18" x14ac:dyDescent="0.25">
      <c r="L1866" s="26">
        <v>42151</v>
      </c>
      <c r="M1866" s="6">
        <v>63.150002000000001</v>
      </c>
      <c r="N1866" s="6">
        <v>63.299999</v>
      </c>
      <c r="O1866" s="6">
        <v>62.919998</v>
      </c>
      <c r="P1866" s="6">
        <v>63.240001999999997</v>
      </c>
      <c r="Q1866" s="6">
        <v>55.946143999999997</v>
      </c>
      <c r="R1866" s="58">
        <v>1426800</v>
      </c>
    </row>
    <row r="1867" spans="12:18" x14ac:dyDescent="0.25">
      <c r="L1867" s="26">
        <v>42152</v>
      </c>
      <c r="M1867" s="6">
        <v>62.619999</v>
      </c>
      <c r="N1867" s="6">
        <v>62.84</v>
      </c>
      <c r="O1867" s="6">
        <v>62.240001999999997</v>
      </c>
      <c r="P1867" s="6">
        <v>62.560001</v>
      </c>
      <c r="Q1867" s="6">
        <v>55.776741000000001</v>
      </c>
      <c r="R1867" s="58">
        <v>1697400</v>
      </c>
    </row>
    <row r="1868" spans="12:18" x14ac:dyDescent="0.25">
      <c r="L1868" s="26">
        <v>42153</v>
      </c>
      <c r="M1868" s="6">
        <v>62.709999000000003</v>
      </c>
      <c r="N1868" s="6">
        <v>62.889999000000003</v>
      </c>
      <c r="O1868" s="6">
        <v>62.400002000000001</v>
      </c>
      <c r="P1868" s="6">
        <v>62.77</v>
      </c>
      <c r="Q1868" s="6">
        <v>55.963974</v>
      </c>
      <c r="R1868" s="58">
        <v>1991900</v>
      </c>
    </row>
    <row r="1869" spans="12:18" x14ac:dyDescent="0.25">
      <c r="L1869" s="26">
        <v>42156</v>
      </c>
      <c r="M1869" s="6">
        <v>62.599997999999999</v>
      </c>
      <c r="N1869" s="6">
        <v>62.990001999999997</v>
      </c>
      <c r="O1869" s="6">
        <v>62.130001</v>
      </c>
      <c r="P1869" s="6">
        <v>62.549999</v>
      </c>
      <c r="Q1869" s="6">
        <v>55.767834000000001</v>
      </c>
      <c r="R1869" s="58">
        <v>1833300</v>
      </c>
    </row>
    <row r="1870" spans="12:18" x14ac:dyDescent="0.25">
      <c r="L1870" s="26">
        <v>42157</v>
      </c>
      <c r="M1870" s="6">
        <v>62.32</v>
      </c>
      <c r="N1870" s="6">
        <v>62.450001</v>
      </c>
      <c r="O1870" s="6">
        <v>62.040000999999997</v>
      </c>
      <c r="P1870" s="6">
        <v>62.169998</v>
      </c>
      <c r="Q1870" s="6">
        <v>55.429028000000002</v>
      </c>
      <c r="R1870" s="58">
        <v>2204400</v>
      </c>
    </row>
    <row r="1871" spans="12:18" x14ac:dyDescent="0.25">
      <c r="L1871" s="26">
        <v>42158</v>
      </c>
      <c r="M1871" s="6">
        <v>62.259998000000003</v>
      </c>
      <c r="N1871" s="6">
        <v>62.389999000000003</v>
      </c>
      <c r="O1871" s="6">
        <v>61.740001999999997</v>
      </c>
      <c r="P1871" s="6">
        <v>62.27</v>
      </c>
      <c r="Q1871" s="6">
        <v>55.518188000000002</v>
      </c>
      <c r="R1871" s="58">
        <v>3584400</v>
      </c>
    </row>
    <row r="1872" spans="12:18" x14ac:dyDescent="0.25">
      <c r="L1872" s="26">
        <v>42159</v>
      </c>
      <c r="M1872" s="6">
        <v>62.009998000000003</v>
      </c>
      <c r="N1872" s="6">
        <v>62.450001</v>
      </c>
      <c r="O1872" s="6">
        <v>61.939999</v>
      </c>
      <c r="P1872" s="6">
        <v>62.259998000000003</v>
      </c>
      <c r="Q1872" s="6">
        <v>55.509265999999997</v>
      </c>
      <c r="R1872" s="58">
        <v>3161800</v>
      </c>
    </row>
    <row r="1873" spans="12:18" x14ac:dyDescent="0.25">
      <c r="L1873" s="26">
        <v>42160</v>
      </c>
      <c r="M1873" s="6">
        <v>61.959999000000003</v>
      </c>
      <c r="N1873" s="6">
        <v>62.110000999999997</v>
      </c>
      <c r="O1873" s="6">
        <v>61.189999</v>
      </c>
      <c r="P1873" s="6">
        <v>61.450001</v>
      </c>
      <c r="Q1873" s="6">
        <v>54.787106000000001</v>
      </c>
      <c r="R1873" s="58">
        <v>1584100</v>
      </c>
    </row>
    <row r="1874" spans="12:18" x14ac:dyDescent="0.25">
      <c r="L1874" s="26">
        <v>42163</v>
      </c>
      <c r="M1874" s="6">
        <v>61.470001000000003</v>
      </c>
      <c r="N1874" s="6">
        <v>61.66</v>
      </c>
      <c r="O1874" s="6">
        <v>61.130001</v>
      </c>
      <c r="P1874" s="6">
        <v>61.310001</v>
      </c>
      <c r="Q1874" s="6">
        <v>54.662277000000003</v>
      </c>
      <c r="R1874" s="58">
        <v>1727600</v>
      </c>
    </row>
    <row r="1875" spans="12:18" x14ac:dyDescent="0.25">
      <c r="L1875" s="26">
        <v>42164</v>
      </c>
      <c r="M1875" s="6">
        <v>61.459999000000003</v>
      </c>
      <c r="N1875" s="6">
        <v>62.099997999999999</v>
      </c>
      <c r="O1875" s="6">
        <v>61.299999</v>
      </c>
      <c r="P1875" s="6">
        <v>61.509998000000003</v>
      </c>
      <c r="Q1875" s="6">
        <v>54.840591000000003</v>
      </c>
      <c r="R1875" s="58">
        <v>1492900</v>
      </c>
    </row>
    <row r="1876" spans="12:18" x14ac:dyDescent="0.25">
      <c r="L1876" s="26">
        <v>42165</v>
      </c>
      <c r="M1876" s="6">
        <v>61.75</v>
      </c>
      <c r="N1876" s="6">
        <v>62.18</v>
      </c>
      <c r="O1876" s="6">
        <v>61.52</v>
      </c>
      <c r="P1876" s="6">
        <v>62.049999</v>
      </c>
      <c r="Q1876" s="6">
        <v>55.322043999999998</v>
      </c>
      <c r="R1876" s="58">
        <v>1111100</v>
      </c>
    </row>
    <row r="1877" spans="12:18" x14ac:dyDescent="0.25">
      <c r="L1877" s="26">
        <v>42166</v>
      </c>
      <c r="M1877" s="6">
        <v>62.169998</v>
      </c>
      <c r="N1877" s="6">
        <v>62.419998</v>
      </c>
      <c r="O1877" s="6">
        <v>62.099997999999999</v>
      </c>
      <c r="P1877" s="6">
        <v>62.220001000000003</v>
      </c>
      <c r="Q1877" s="6">
        <v>55.473605999999997</v>
      </c>
      <c r="R1877" s="58">
        <v>1293300</v>
      </c>
    </row>
    <row r="1878" spans="12:18" x14ac:dyDescent="0.25">
      <c r="L1878" s="26">
        <v>42167</v>
      </c>
      <c r="M1878" s="6">
        <v>61.919998</v>
      </c>
      <c r="N1878" s="6">
        <v>62.16</v>
      </c>
      <c r="O1878" s="6">
        <v>61.77</v>
      </c>
      <c r="P1878" s="6">
        <v>62.130001</v>
      </c>
      <c r="Q1878" s="6">
        <v>55.393363999999998</v>
      </c>
      <c r="R1878" s="58">
        <v>1027100</v>
      </c>
    </row>
    <row r="1879" spans="12:18" x14ac:dyDescent="0.25">
      <c r="L1879" s="26">
        <v>42170</v>
      </c>
      <c r="M1879" s="6">
        <v>61.880001</v>
      </c>
      <c r="N1879" s="6">
        <v>62.119999</v>
      </c>
      <c r="O1879" s="6">
        <v>61.669998</v>
      </c>
      <c r="P1879" s="6">
        <v>61.689999</v>
      </c>
      <c r="Q1879" s="6">
        <v>55.001067999999997</v>
      </c>
      <c r="R1879" s="58">
        <v>1484500</v>
      </c>
    </row>
    <row r="1880" spans="12:18" x14ac:dyDescent="0.25">
      <c r="L1880" s="26">
        <v>42171</v>
      </c>
      <c r="M1880" s="6">
        <v>61.799999</v>
      </c>
      <c r="N1880" s="6">
        <v>62.529998999999997</v>
      </c>
      <c r="O1880" s="6">
        <v>61.669998</v>
      </c>
      <c r="P1880" s="6">
        <v>62.470001000000003</v>
      </c>
      <c r="Q1880" s="6">
        <v>55.696499000000003</v>
      </c>
      <c r="R1880" s="58">
        <v>1056800</v>
      </c>
    </row>
    <row r="1881" spans="12:18" x14ac:dyDescent="0.25">
      <c r="L1881" s="26">
        <v>42172</v>
      </c>
      <c r="M1881" s="6">
        <v>62.400002000000001</v>
      </c>
      <c r="N1881" s="6">
        <v>62.939999</v>
      </c>
      <c r="O1881" s="6">
        <v>62.169998</v>
      </c>
      <c r="P1881" s="6">
        <v>62.82</v>
      </c>
      <c r="Q1881" s="6">
        <v>56.008549000000002</v>
      </c>
      <c r="R1881" s="58">
        <v>1660100</v>
      </c>
    </row>
    <row r="1882" spans="12:18" x14ac:dyDescent="0.25">
      <c r="L1882" s="26">
        <v>42173</v>
      </c>
      <c r="M1882" s="6">
        <v>62.759998000000003</v>
      </c>
      <c r="N1882" s="6">
        <v>63.43</v>
      </c>
      <c r="O1882" s="6">
        <v>62.68</v>
      </c>
      <c r="P1882" s="6">
        <v>63.099997999999999</v>
      </c>
      <c r="Q1882" s="6">
        <v>56.258186000000002</v>
      </c>
      <c r="R1882" s="58">
        <v>1381100</v>
      </c>
    </row>
    <row r="1883" spans="12:18" x14ac:dyDescent="0.25">
      <c r="L1883" s="26">
        <v>42174</v>
      </c>
      <c r="M1883" s="6">
        <v>63.09</v>
      </c>
      <c r="N1883" s="6">
        <v>63.880001</v>
      </c>
      <c r="O1883" s="6">
        <v>63.060001</v>
      </c>
      <c r="P1883" s="6">
        <v>63.34</v>
      </c>
      <c r="Q1883" s="6">
        <v>56.472172</v>
      </c>
      <c r="R1883" s="58">
        <v>1958400</v>
      </c>
    </row>
    <row r="1884" spans="12:18" x14ac:dyDescent="0.25">
      <c r="L1884" s="26">
        <v>42177</v>
      </c>
      <c r="M1884" s="6">
        <v>63.529998999999997</v>
      </c>
      <c r="N1884" s="6">
        <v>63.849997999999999</v>
      </c>
      <c r="O1884" s="6">
        <v>63.259998000000003</v>
      </c>
      <c r="P1884" s="6">
        <v>63.400002000000001</v>
      </c>
      <c r="Q1884" s="6">
        <v>56.525660999999999</v>
      </c>
      <c r="R1884" s="58">
        <v>805800</v>
      </c>
    </row>
    <row r="1885" spans="12:18" x14ac:dyDescent="0.25">
      <c r="L1885" s="26">
        <v>42178</v>
      </c>
      <c r="M1885" s="6">
        <v>63.380001</v>
      </c>
      <c r="N1885" s="6">
        <v>63.59</v>
      </c>
      <c r="O1885" s="6">
        <v>63.110000999999997</v>
      </c>
      <c r="P1885" s="6">
        <v>63.470001000000003</v>
      </c>
      <c r="Q1885" s="6">
        <v>56.588078000000003</v>
      </c>
      <c r="R1885" s="58">
        <v>1666000</v>
      </c>
    </row>
    <row r="1886" spans="12:18" x14ac:dyDescent="0.25">
      <c r="L1886" s="26">
        <v>42179</v>
      </c>
      <c r="M1886" s="6">
        <v>63.23</v>
      </c>
      <c r="N1886" s="6">
        <v>63.740001999999997</v>
      </c>
      <c r="O1886" s="6">
        <v>63.169998</v>
      </c>
      <c r="P1886" s="6">
        <v>63.41</v>
      </c>
      <c r="Q1886" s="6">
        <v>56.534579999999998</v>
      </c>
      <c r="R1886" s="58">
        <v>1193400</v>
      </c>
    </row>
    <row r="1887" spans="12:18" x14ac:dyDescent="0.25">
      <c r="L1887" s="26">
        <v>42180</v>
      </c>
      <c r="M1887" s="6">
        <v>63.380001</v>
      </c>
      <c r="N1887" s="6">
        <v>63.639999000000003</v>
      </c>
      <c r="O1887" s="6">
        <v>62.75</v>
      </c>
      <c r="P1887" s="6">
        <v>62.869999</v>
      </c>
      <c r="Q1887" s="6">
        <v>56.053122999999999</v>
      </c>
      <c r="R1887" s="58">
        <v>1229400</v>
      </c>
    </row>
    <row r="1888" spans="12:18" x14ac:dyDescent="0.25">
      <c r="L1888" s="26">
        <v>42181</v>
      </c>
      <c r="M1888" s="6">
        <v>62.990001999999997</v>
      </c>
      <c r="N1888" s="6">
        <v>63.209999000000003</v>
      </c>
      <c r="O1888" s="6">
        <v>62.610000999999997</v>
      </c>
      <c r="P1888" s="6">
        <v>63.049999</v>
      </c>
      <c r="Q1888" s="6">
        <v>56.213611999999998</v>
      </c>
      <c r="R1888" s="58">
        <v>4073300</v>
      </c>
    </row>
    <row r="1889" spans="12:18" x14ac:dyDescent="0.25">
      <c r="L1889" s="26">
        <v>42184</v>
      </c>
      <c r="M1889" s="6">
        <v>62.700001</v>
      </c>
      <c r="N1889" s="6">
        <v>63.130001</v>
      </c>
      <c r="O1889" s="6">
        <v>62.57</v>
      </c>
      <c r="P1889" s="6">
        <v>62.599997999999999</v>
      </c>
      <c r="Q1889" s="6">
        <v>55.812401000000001</v>
      </c>
      <c r="R1889" s="58">
        <v>1554800</v>
      </c>
    </row>
    <row r="1890" spans="12:18" x14ac:dyDescent="0.25">
      <c r="L1890" s="26">
        <v>42185</v>
      </c>
      <c r="M1890" s="6">
        <v>62.869999</v>
      </c>
      <c r="N1890" s="6">
        <v>63.209999000000003</v>
      </c>
      <c r="O1890" s="6">
        <v>62.400002000000001</v>
      </c>
      <c r="P1890" s="6">
        <v>62.700001</v>
      </c>
      <c r="Q1890" s="6">
        <v>55.901566000000003</v>
      </c>
      <c r="R1890" s="58">
        <v>1931600</v>
      </c>
    </row>
    <row r="1891" spans="12:18" x14ac:dyDescent="0.25">
      <c r="L1891" s="26">
        <v>42186</v>
      </c>
      <c r="M1891" s="6">
        <v>62.700001</v>
      </c>
      <c r="N1891" s="6">
        <v>63.07</v>
      </c>
      <c r="O1891" s="6">
        <v>61.990001999999997</v>
      </c>
      <c r="P1891" s="6">
        <v>63.009998000000003</v>
      </c>
      <c r="Q1891" s="6">
        <v>56.177951999999998</v>
      </c>
      <c r="R1891" s="58">
        <v>1936900</v>
      </c>
    </row>
    <row r="1892" spans="12:18" x14ac:dyDescent="0.25">
      <c r="L1892" s="26">
        <v>42187</v>
      </c>
      <c r="M1892" s="6">
        <v>63.290000999999997</v>
      </c>
      <c r="N1892" s="6">
        <v>63.560001</v>
      </c>
      <c r="O1892" s="6">
        <v>62.939999</v>
      </c>
      <c r="P1892" s="6">
        <v>63.139999000000003</v>
      </c>
      <c r="Q1892" s="6">
        <v>56.293854000000003</v>
      </c>
      <c r="R1892" s="58">
        <v>1162500</v>
      </c>
    </row>
    <row r="1893" spans="12:18" x14ac:dyDescent="0.25">
      <c r="L1893" s="26">
        <v>42191</v>
      </c>
      <c r="M1893" s="6">
        <v>62.889999000000003</v>
      </c>
      <c r="N1893" s="6">
        <v>63.369999</v>
      </c>
      <c r="O1893" s="6">
        <v>62.470001000000003</v>
      </c>
      <c r="P1893" s="6">
        <v>62.740001999999997</v>
      </c>
      <c r="Q1893" s="6">
        <v>55.937229000000002</v>
      </c>
      <c r="R1893" s="58">
        <v>1189800</v>
      </c>
    </row>
    <row r="1894" spans="12:18" x14ac:dyDescent="0.25">
      <c r="L1894" s="26">
        <v>42192</v>
      </c>
      <c r="M1894" s="6">
        <v>62.900002000000001</v>
      </c>
      <c r="N1894" s="6">
        <v>64.239998</v>
      </c>
      <c r="O1894" s="6">
        <v>62.68</v>
      </c>
      <c r="P1894" s="6">
        <v>64.120002999999997</v>
      </c>
      <c r="Q1894" s="6">
        <v>57.167599000000003</v>
      </c>
      <c r="R1894" s="58">
        <v>1740700</v>
      </c>
    </row>
    <row r="1895" spans="12:18" x14ac:dyDescent="0.25">
      <c r="L1895" s="26">
        <v>42193</v>
      </c>
      <c r="M1895" s="6">
        <v>63.93</v>
      </c>
      <c r="N1895" s="6">
        <v>64.319999999999993</v>
      </c>
      <c r="O1895" s="6">
        <v>63.66</v>
      </c>
      <c r="P1895" s="6">
        <v>63.68</v>
      </c>
      <c r="Q1895" s="6">
        <v>56.775295</v>
      </c>
      <c r="R1895" s="58">
        <v>1511500</v>
      </c>
    </row>
    <row r="1896" spans="12:18" x14ac:dyDescent="0.25">
      <c r="L1896" s="26">
        <v>42194</v>
      </c>
      <c r="M1896" s="6">
        <v>64.290001000000004</v>
      </c>
      <c r="N1896" s="6">
        <v>64.379997000000003</v>
      </c>
      <c r="O1896" s="6">
        <v>63.59</v>
      </c>
      <c r="P1896" s="6">
        <v>63.59</v>
      </c>
      <c r="Q1896" s="6">
        <v>56.695065</v>
      </c>
      <c r="R1896" s="58">
        <v>1018100</v>
      </c>
    </row>
    <row r="1897" spans="12:18" x14ac:dyDescent="0.25">
      <c r="L1897" s="26">
        <v>42195</v>
      </c>
      <c r="M1897" s="6">
        <v>63.740001999999997</v>
      </c>
      <c r="N1897" s="6">
        <v>63.970001000000003</v>
      </c>
      <c r="O1897" s="6">
        <v>63.560001</v>
      </c>
      <c r="P1897" s="6">
        <v>63.75</v>
      </c>
      <c r="Q1897" s="6">
        <v>56.837719</v>
      </c>
      <c r="R1897" s="58">
        <v>1175600</v>
      </c>
    </row>
    <row r="1898" spans="12:18" x14ac:dyDescent="0.25">
      <c r="L1898" s="26">
        <v>42198</v>
      </c>
      <c r="M1898" s="6">
        <v>64.110000999999997</v>
      </c>
      <c r="N1898" s="6">
        <v>64.279999000000004</v>
      </c>
      <c r="O1898" s="6">
        <v>63.91</v>
      </c>
      <c r="P1898" s="6">
        <v>64.180000000000007</v>
      </c>
      <c r="Q1898" s="6">
        <v>57.221091999999999</v>
      </c>
      <c r="R1898" s="58">
        <v>709400</v>
      </c>
    </row>
    <row r="1899" spans="12:18" x14ac:dyDescent="0.25">
      <c r="L1899" s="26">
        <v>42199</v>
      </c>
      <c r="M1899" s="6">
        <v>64.089995999999999</v>
      </c>
      <c r="N1899" s="6">
        <v>64.220000999999996</v>
      </c>
      <c r="O1899" s="6">
        <v>63.900002000000001</v>
      </c>
      <c r="P1899" s="6">
        <v>64.120002999999997</v>
      </c>
      <c r="Q1899" s="6">
        <v>57.167599000000003</v>
      </c>
      <c r="R1899" s="58">
        <v>645200</v>
      </c>
    </row>
    <row r="1900" spans="12:18" x14ac:dyDescent="0.25">
      <c r="L1900" s="26">
        <v>42200</v>
      </c>
      <c r="M1900" s="6">
        <v>63.68</v>
      </c>
      <c r="N1900" s="6">
        <v>64.230002999999996</v>
      </c>
      <c r="O1900" s="6">
        <v>63.599997999999999</v>
      </c>
      <c r="P1900" s="6">
        <v>63.68</v>
      </c>
      <c r="Q1900" s="6">
        <v>56.775295</v>
      </c>
      <c r="R1900" s="58">
        <v>793400</v>
      </c>
    </row>
    <row r="1901" spans="12:18" x14ac:dyDescent="0.25">
      <c r="L1901" s="26">
        <v>42201</v>
      </c>
      <c r="M1901" s="6">
        <v>63.93</v>
      </c>
      <c r="N1901" s="6">
        <v>64.629997000000003</v>
      </c>
      <c r="O1901" s="6">
        <v>63.93</v>
      </c>
      <c r="P1901" s="6">
        <v>64.5</v>
      </c>
      <c r="Q1901" s="6">
        <v>57.506393000000003</v>
      </c>
      <c r="R1901" s="58">
        <v>1308100</v>
      </c>
    </row>
    <row r="1902" spans="12:18" x14ac:dyDescent="0.25">
      <c r="L1902" s="26">
        <v>42202</v>
      </c>
      <c r="M1902" s="6">
        <v>64.269997000000004</v>
      </c>
      <c r="N1902" s="6">
        <v>64.5</v>
      </c>
      <c r="O1902" s="6">
        <v>63.860000999999997</v>
      </c>
      <c r="P1902" s="6">
        <v>64.349997999999999</v>
      </c>
      <c r="Q1902" s="6">
        <v>57.372658000000001</v>
      </c>
      <c r="R1902" s="58">
        <v>1503500</v>
      </c>
    </row>
    <row r="1903" spans="12:18" x14ac:dyDescent="0.25">
      <c r="L1903" s="26">
        <v>42205</v>
      </c>
      <c r="M1903" s="6">
        <v>64.279999000000004</v>
      </c>
      <c r="N1903" s="6">
        <v>64.419998000000007</v>
      </c>
      <c r="O1903" s="6">
        <v>63.959999000000003</v>
      </c>
      <c r="P1903" s="6">
        <v>64.139999000000003</v>
      </c>
      <c r="Q1903" s="6">
        <v>57.185420999999998</v>
      </c>
      <c r="R1903" s="58">
        <v>595700</v>
      </c>
    </row>
    <row r="1904" spans="12:18" x14ac:dyDescent="0.25">
      <c r="L1904" s="26">
        <v>42206</v>
      </c>
      <c r="M1904" s="6">
        <v>64.279999000000004</v>
      </c>
      <c r="N1904" s="6">
        <v>64.279999000000004</v>
      </c>
      <c r="O1904" s="6">
        <v>63.880001</v>
      </c>
      <c r="P1904" s="6">
        <v>64.019997000000004</v>
      </c>
      <c r="Q1904" s="6">
        <v>57.078429999999997</v>
      </c>
      <c r="R1904" s="58">
        <v>671500</v>
      </c>
    </row>
    <row r="1905" spans="12:18" x14ac:dyDescent="0.25">
      <c r="L1905" s="26">
        <v>42207</v>
      </c>
      <c r="M1905" s="6">
        <v>64.029999000000004</v>
      </c>
      <c r="N1905" s="6">
        <v>64.720000999999996</v>
      </c>
      <c r="O1905" s="6">
        <v>63.889999000000003</v>
      </c>
      <c r="P1905" s="6">
        <v>64.389999000000003</v>
      </c>
      <c r="Q1905" s="6">
        <v>57.408324999999998</v>
      </c>
      <c r="R1905" s="58">
        <v>691200</v>
      </c>
    </row>
    <row r="1906" spans="12:18" x14ac:dyDescent="0.25">
      <c r="L1906" s="26">
        <v>42208</v>
      </c>
      <c r="M1906" s="6">
        <v>64.309997999999993</v>
      </c>
      <c r="N1906" s="6">
        <v>64.690002000000007</v>
      </c>
      <c r="O1906" s="6">
        <v>64.029999000000004</v>
      </c>
      <c r="P1906" s="6">
        <v>64.330001999999993</v>
      </c>
      <c r="Q1906" s="6">
        <v>57.354827999999998</v>
      </c>
      <c r="R1906" s="58">
        <v>1087700</v>
      </c>
    </row>
    <row r="1907" spans="12:18" x14ac:dyDescent="0.25">
      <c r="L1907" s="26">
        <v>42209</v>
      </c>
      <c r="M1907" s="6">
        <v>64.169998000000007</v>
      </c>
      <c r="N1907" s="6">
        <v>64.75</v>
      </c>
      <c r="O1907" s="6">
        <v>64.029999000000004</v>
      </c>
      <c r="P1907" s="6">
        <v>64.540001000000004</v>
      </c>
      <c r="Q1907" s="6">
        <v>57.542048999999999</v>
      </c>
      <c r="R1907" s="58">
        <v>1326400</v>
      </c>
    </row>
    <row r="1908" spans="12:18" x14ac:dyDescent="0.25">
      <c r="L1908" s="26">
        <v>42212</v>
      </c>
      <c r="M1908" s="6">
        <v>64.239998</v>
      </c>
      <c r="N1908" s="6">
        <v>64.830001999999993</v>
      </c>
      <c r="O1908" s="6">
        <v>63.98</v>
      </c>
      <c r="P1908" s="6">
        <v>64.680000000000007</v>
      </c>
      <c r="Q1908" s="6">
        <v>57.666870000000003</v>
      </c>
      <c r="R1908" s="58">
        <v>1437500</v>
      </c>
    </row>
    <row r="1909" spans="12:18" x14ac:dyDescent="0.25">
      <c r="L1909" s="26">
        <v>42213</v>
      </c>
      <c r="M1909" s="6">
        <v>64.949996999999996</v>
      </c>
      <c r="N1909" s="6">
        <v>65.150002000000001</v>
      </c>
      <c r="O1909" s="6">
        <v>64.379997000000003</v>
      </c>
      <c r="P1909" s="6">
        <v>65.050003000000004</v>
      </c>
      <c r="Q1909" s="6">
        <v>57.996765000000003</v>
      </c>
      <c r="R1909" s="58">
        <v>1121700</v>
      </c>
    </row>
    <row r="1910" spans="12:18" x14ac:dyDescent="0.25">
      <c r="L1910" s="26">
        <v>42214</v>
      </c>
      <c r="M1910" s="6">
        <v>65.089995999999999</v>
      </c>
      <c r="N1910" s="6">
        <v>65.610000999999997</v>
      </c>
      <c r="O1910" s="6">
        <v>65.040001000000004</v>
      </c>
      <c r="P1910" s="6">
        <v>65.430000000000007</v>
      </c>
      <c r="Q1910" s="6">
        <v>58.335555999999997</v>
      </c>
      <c r="R1910" s="58">
        <v>898300</v>
      </c>
    </row>
    <row r="1911" spans="12:18" x14ac:dyDescent="0.25">
      <c r="L1911" s="26">
        <v>42215</v>
      </c>
      <c r="M1911" s="6">
        <v>65.209998999999996</v>
      </c>
      <c r="N1911" s="6">
        <v>66.239998</v>
      </c>
      <c r="O1911" s="6">
        <v>65.129997000000003</v>
      </c>
      <c r="P1911" s="6">
        <v>66.089995999999999</v>
      </c>
      <c r="Q1911" s="6">
        <v>58.923988000000001</v>
      </c>
      <c r="R1911" s="58">
        <v>1141500</v>
      </c>
    </row>
    <row r="1912" spans="12:18" x14ac:dyDescent="0.25">
      <c r="L1912" s="26">
        <v>42216</v>
      </c>
      <c r="M1912" s="6">
        <v>66.459998999999996</v>
      </c>
      <c r="N1912" s="6">
        <v>66.459998999999996</v>
      </c>
      <c r="O1912" s="6">
        <v>65.849997999999999</v>
      </c>
      <c r="P1912" s="6">
        <v>66.169998000000007</v>
      </c>
      <c r="Q1912" s="6">
        <v>58.995319000000002</v>
      </c>
      <c r="R1912" s="58">
        <v>1246000</v>
      </c>
    </row>
    <row r="1913" spans="12:18" x14ac:dyDescent="0.25">
      <c r="L1913" s="26">
        <v>42219</v>
      </c>
      <c r="M1913" s="6">
        <v>65.930000000000007</v>
      </c>
      <c r="N1913" s="6">
        <v>66.400002000000001</v>
      </c>
      <c r="O1913" s="6">
        <v>65.449996999999996</v>
      </c>
      <c r="P1913" s="6">
        <v>66.069999999999993</v>
      </c>
      <c r="Q1913" s="6">
        <v>58.906154999999998</v>
      </c>
      <c r="R1913" s="58">
        <v>1901800</v>
      </c>
    </row>
    <row r="1914" spans="12:18" x14ac:dyDescent="0.25">
      <c r="L1914" s="26">
        <v>42220</v>
      </c>
      <c r="M1914" s="6">
        <v>65.809997999999993</v>
      </c>
      <c r="N1914" s="6">
        <v>67.970000999999996</v>
      </c>
      <c r="O1914" s="6">
        <v>65.699996999999996</v>
      </c>
      <c r="P1914" s="6">
        <v>67.5</v>
      </c>
      <c r="Q1914" s="6">
        <v>60.181114000000001</v>
      </c>
      <c r="R1914" s="58">
        <v>2513500</v>
      </c>
    </row>
    <row r="1915" spans="12:18" x14ac:dyDescent="0.25">
      <c r="L1915" s="26">
        <v>42221</v>
      </c>
      <c r="M1915" s="6">
        <v>68</v>
      </c>
      <c r="N1915" s="6">
        <v>68.900002000000001</v>
      </c>
      <c r="O1915" s="6">
        <v>67.989998</v>
      </c>
      <c r="P1915" s="6">
        <v>68.660004000000001</v>
      </c>
      <c r="Q1915" s="6">
        <v>61.215336000000001</v>
      </c>
      <c r="R1915" s="58">
        <v>2820400</v>
      </c>
    </row>
    <row r="1916" spans="12:18" x14ac:dyDescent="0.25">
      <c r="L1916" s="26">
        <v>42222</v>
      </c>
      <c r="M1916" s="6">
        <v>68.099997999999999</v>
      </c>
      <c r="N1916" s="6">
        <v>69.209998999999996</v>
      </c>
      <c r="O1916" s="6">
        <v>67.940002000000007</v>
      </c>
      <c r="P1916" s="6">
        <v>68.860000999999997</v>
      </c>
      <c r="Q1916" s="6">
        <v>61.393658000000002</v>
      </c>
      <c r="R1916" s="58">
        <v>2322400</v>
      </c>
    </row>
    <row r="1917" spans="12:18" x14ac:dyDescent="0.25">
      <c r="L1917" s="26">
        <v>42223</v>
      </c>
      <c r="M1917" s="6">
        <v>68.860000999999997</v>
      </c>
      <c r="N1917" s="6">
        <v>69.069999999999993</v>
      </c>
      <c r="O1917" s="6">
        <v>68.519997000000004</v>
      </c>
      <c r="P1917" s="6">
        <v>68.919998000000007</v>
      </c>
      <c r="Q1917" s="6">
        <v>61.447132000000003</v>
      </c>
      <c r="R1917" s="58">
        <v>1643500</v>
      </c>
    </row>
    <row r="1918" spans="12:18" x14ac:dyDescent="0.25">
      <c r="L1918" s="26">
        <v>42226</v>
      </c>
      <c r="M1918" s="6">
        <v>68.870002999999997</v>
      </c>
      <c r="N1918" s="6">
        <v>69.389999000000003</v>
      </c>
      <c r="O1918" s="6">
        <v>68.620002999999997</v>
      </c>
      <c r="P1918" s="6">
        <v>69</v>
      </c>
      <c r="Q1918" s="6">
        <v>61.518475000000002</v>
      </c>
      <c r="R1918" s="58">
        <v>1488700</v>
      </c>
    </row>
    <row r="1919" spans="12:18" x14ac:dyDescent="0.25">
      <c r="L1919" s="26">
        <v>42227</v>
      </c>
      <c r="M1919" s="6">
        <v>68.639999000000003</v>
      </c>
      <c r="N1919" s="6">
        <v>69.239998</v>
      </c>
      <c r="O1919" s="6">
        <v>68.410004000000001</v>
      </c>
      <c r="P1919" s="6">
        <v>69.199996999999996</v>
      </c>
      <c r="Q1919" s="6">
        <v>61.696773999999998</v>
      </c>
      <c r="R1919" s="58">
        <v>1215400</v>
      </c>
    </row>
    <row r="1920" spans="12:18" x14ac:dyDescent="0.25">
      <c r="L1920" s="26">
        <v>42228</v>
      </c>
      <c r="M1920" s="6">
        <v>68.620002999999997</v>
      </c>
      <c r="N1920" s="6">
        <v>69.069999999999993</v>
      </c>
      <c r="O1920" s="6">
        <v>67.680000000000007</v>
      </c>
      <c r="P1920" s="6">
        <v>68.900002000000001</v>
      </c>
      <c r="Q1920" s="6">
        <v>61.429302</v>
      </c>
      <c r="R1920" s="58">
        <v>2005900</v>
      </c>
    </row>
    <row r="1921" spans="12:18" x14ac:dyDescent="0.25">
      <c r="L1921" s="26">
        <v>42229</v>
      </c>
      <c r="M1921" s="6">
        <v>68.779999000000004</v>
      </c>
      <c r="N1921" s="6">
        <v>69.199996999999996</v>
      </c>
      <c r="O1921" s="6">
        <v>68.569999999999993</v>
      </c>
      <c r="P1921" s="6">
        <v>68.889999000000003</v>
      </c>
      <c r="Q1921" s="6">
        <v>61.420399000000003</v>
      </c>
      <c r="R1921" s="58">
        <v>1316200</v>
      </c>
    </row>
    <row r="1922" spans="12:18" x14ac:dyDescent="0.25">
      <c r="L1922" s="26">
        <v>42230</v>
      </c>
      <c r="M1922" s="6">
        <v>68.970000999999996</v>
      </c>
      <c r="N1922" s="6">
        <v>69.849997999999999</v>
      </c>
      <c r="O1922" s="6">
        <v>68.760002</v>
      </c>
      <c r="P1922" s="6">
        <v>69.769997000000004</v>
      </c>
      <c r="Q1922" s="6">
        <v>62.20496</v>
      </c>
      <c r="R1922" s="58">
        <v>1325500</v>
      </c>
    </row>
    <row r="1923" spans="12:18" x14ac:dyDescent="0.25">
      <c r="L1923" s="26">
        <v>42233</v>
      </c>
      <c r="M1923" s="6">
        <v>69.459998999999996</v>
      </c>
      <c r="N1923" s="6">
        <v>69.830001999999993</v>
      </c>
      <c r="O1923" s="6">
        <v>69.209998999999996</v>
      </c>
      <c r="P1923" s="6">
        <v>69.599997999999999</v>
      </c>
      <c r="Q1923" s="6">
        <v>62.053398000000001</v>
      </c>
      <c r="R1923" s="58">
        <v>2100900</v>
      </c>
    </row>
    <row r="1924" spans="12:18" x14ac:dyDescent="0.25">
      <c r="L1924" s="26">
        <v>42234</v>
      </c>
      <c r="M1924" s="6">
        <v>69.5</v>
      </c>
      <c r="N1924" s="6">
        <v>69.839995999999999</v>
      </c>
      <c r="O1924" s="6">
        <v>69.080001999999993</v>
      </c>
      <c r="P1924" s="6">
        <v>69.300003000000004</v>
      </c>
      <c r="Q1924" s="6">
        <v>61.785933999999997</v>
      </c>
      <c r="R1924" s="58">
        <v>1566900</v>
      </c>
    </row>
    <row r="1925" spans="12:18" x14ac:dyDescent="0.25">
      <c r="L1925" s="26">
        <v>42235</v>
      </c>
      <c r="M1925" s="6">
        <v>69.120002999999997</v>
      </c>
      <c r="N1925" s="6">
        <v>69.540001000000004</v>
      </c>
      <c r="O1925" s="6">
        <v>68.5</v>
      </c>
      <c r="P1925" s="6">
        <v>68.949996999999996</v>
      </c>
      <c r="Q1925" s="6">
        <v>61.473877000000002</v>
      </c>
      <c r="R1925" s="58">
        <v>2610600</v>
      </c>
    </row>
    <row r="1926" spans="12:18" x14ac:dyDescent="0.25">
      <c r="L1926" s="26">
        <v>42236</v>
      </c>
      <c r="M1926" s="6">
        <v>68.489998</v>
      </c>
      <c r="N1926" s="6">
        <v>69.309997999999993</v>
      </c>
      <c r="O1926" s="6">
        <v>68.349997999999999</v>
      </c>
      <c r="P1926" s="6">
        <v>68.720000999999996</v>
      </c>
      <c r="Q1926" s="6">
        <v>61.268818000000003</v>
      </c>
      <c r="R1926" s="58">
        <v>1726800</v>
      </c>
    </row>
    <row r="1927" spans="12:18" x14ac:dyDescent="0.25">
      <c r="L1927" s="26">
        <v>42237</v>
      </c>
      <c r="M1927" s="6">
        <v>68.300003000000004</v>
      </c>
      <c r="N1927" s="6">
        <v>68.550003000000004</v>
      </c>
      <c r="O1927" s="6">
        <v>67.440002000000007</v>
      </c>
      <c r="P1927" s="6">
        <v>67.459998999999996</v>
      </c>
      <c r="Q1927" s="6">
        <v>60.145446999999997</v>
      </c>
      <c r="R1927" s="58">
        <v>2156100</v>
      </c>
    </row>
    <row r="1928" spans="12:18" x14ac:dyDescent="0.25">
      <c r="L1928" s="26">
        <v>42240</v>
      </c>
      <c r="M1928" s="6">
        <v>64.830001999999993</v>
      </c>
      <c r="N1928" s="6">
        <v>65.739998</v>
      </c>
      <c r="O1928" s="6">
        <v>63.52</v>
      </c>
      <c r="P1928" s="6">
        <v>65.739998</v>
      </c>
      <c r="Q1928" s="6">
        <v>58.611935000000003</v>
      </c>
      <c r="R1928" s="58">
        <v>4070100</v>
      </c>
    </row>
    <row r="1929" spans="12:18" x14ac:dyDescent="0.25">
      <c r="L1929" s="26">
        <v>42241</v>
      </c>
      <c r="M1929" s="6">
        <v>66.769997000000004</v>
      </c>
      <c r="N1929" s="6">
        <v>67</v>
      </c>
      <c r="O1929" s="6">
        <v>65.069999999999993</v>
      </c>
      <c r="P1929" s="6">
        <v>65.099997999999999</v>
      </c>
      <c r="Q1929" s="6">
        <v>58.041331999999997</v>
      </c>
      <c r="R1929" s="58">
        <v>3431200</v>
      </c>
    </row>
    <row r="1930" spans="12:18" x14ac:dyDescent="0.25">
      <c r="L1930" s="26">
        <v>42242</v>
      </c>
      <c r="M1930" s="6">
        <v>66.209998999999996</v>
      </c>
      <c r="N1930" s="6">
        <v>67.120002999999997</v>
      </c>
      <c r="O1930" s="6">
        <v>65.569999999999993</v>
      </c>
      <c r="P1930" s="6">
        <v>66.930000000000007</v>
      </c>
      <c r="Q1930" s="6">
        <v>59.672919999999998</v>
      </c>
      <c r="R1930" s="58">
        <v>2706700</v>
      </c>
    </row>
    <row r="1931" spans="12:18" x14ac:dyDescent="0.25">
      <c r="L1931" s="26">
        <v>42243</v>
      </c>
      <c r="M1931" s="6">
        <v>67.529999000000004</v>
      </c>
      <c r="N1931" s="6">
        <v>67.879997000000003</v>
      </c>
      <c r="O1931" s="6">
        <v>66.470000999999996</v>
      </c>
      <c r="P1931" s="6">
        <v>67.360000999999997</v>
      </c>
      <c r="Q1931" s="6">
        <v>60.056297000000001</v>
      </c>
      <c r="R1931" s="58">
        <v>2294100</v>
      </c>
    </row>
    <row r="1932" spans="12:18" x14ac:dyDescent="0.25">
      <c r="L1932" s="26">
        <v>42244</v>
      </c>
      <c r="M1932" s="6">
        <v>66.779999000000004</v>
      </c>
      <c r="N1932" s="6">
        <v>67.080001999999993</v>
      </c>
      <c r="O1932" s="6">
        <v>66.419998000000007</v>
      </c>
      <c r="P1932" s="6">
        <v>67.040001000000004</v>
      </c>
      <c r="Q1932" s="6">
        <v>60.217976</v>
      </c>
      <c r="R1932" s="58">
        <v>1852400</v>
      </c>
    </row>
    <row r="1933" spans="12:18" x14ac:dyDescent="0.25">
      <c r="L1933" s="26">
        <v>42247</v>
      </c>
      <c r="M1933" s="6">
        <v>66.800003000000004</v>
      </c>
      <c r="N1933" s="6">
        <v>66.959998999999996</v>
      </c>
      <c r="O1933" s="6">
        <v>66.080001999999993</v>
      </c>
      <c r="P1933" s="6">
        <v>66.279999000000004</v>
      </c>
      <c r="Q1933" s="6">
        <v>59.535300999999997</v>
      </c>
      <c r="R1933" s="58">
        <v>2076800</v>
      </c>
    </row>
    <row r="1934" spans="12:18" x14ac:dyDescent="0.25">
      <c r="L1934" s="26">
        <v>42248</v>
      </c>
      <c r="M1934" s="6">
        <v>65.309997999999993</v>
      </c>
      <c r="N1934" s="6">
        <v>66.529999000000004</v>
      </c>
      <c r="O1934" s="6">
        <v>65</v>
      </c>
      <c r="P1934" s="6">
        <v>65.709998999999996</v>
      </c>
      <c r="Q1934" s="6">
        <v>59.023311999999997</v>
      </c>
      <c r="R1934" s="58">
        <v>3078100</v>
      </c>
    </row>
    <row r="1935" spans="12:18" x14ac:dyDescent="0.25">
      <c r="L1935" s="26">
        <v>42249</v>
      </c>
      <c r="M1935" s="6">
        <v>66.099997999999999</v>
      </c>
      <c r="N1935" s="6">
        <v>66.769997000000004</v>
      </c>
      <c r="O1935" s="6">
        <v>65.919998000000007</v>
      </c>
      <c r="P1935" s="6">
        <v>66.739998</v>
      </c>
      <c r="Q1935" s="6">
        <v>59.948498000000001</v>
      </c>
      <c r="R1935" s="58">
        <v>1907400</v>
      </c>
    </row>
    <row r="1936" spans="12:18" x14ac:dyDescent="0.25">
      <c r="L1936" s="26">
        <v>42250</v>
      </c>
      <c r="M1936" s="6">
        <v>66.680000000000007</v>
      </c>
      <c r="N1936" s="6">
        <v>67.580001999999993</v>
      </c>
      <c r="O1936" s="6">
        <v>66.449996999999996</v>
      </c>
      <c r="P1936" s="6">
        <v>67.330001999999993</v>
      </c>
      <c r="Q1936" s="6">
        <v>60.478462</v>
      </c>
      <c r="R1936" s="58">
        <v>1456900</v>
      </c>
    </row>
    <row r="1937" spans="12:18" x14ac:dyDescent="0.25">
      <c r="L1937" s="26">
        <v>42251</v>
      </c>
      <c r="M1937" s="6">
        <v>66.730002999999996</v>
      </c>
      <c r="N1937" s="6">
        <v>66.910004000000001</v>
      </c>
      <c r="O1937" s="6">
        <v>66.089995999999999</v>
      </c>
      <c r="P1937" s="6">
        <v>66.580001999999993</v>
      </c>
      <c r="Q1937" s="6">
        <v>59.804783</v>
      </c>
      <c r="R1937" s="58">
        <v>1462300</v>
      </c>
    </row>
    <row r="1938" spans="12:18" x14ac:dyDescent="0.25">
      <c r="L1938" s="26">
        <v>42255</v>
      </c>
      <c r="M1938" s="6">
        <v>67.550003000000004</v>
      </c>
      <c r="N1938" s="6">
        <v>67.650002000000001</v>
      </c>
      <c r="O1938" s="6">
        <v>66.860000999999997</v>
      </c>
      <c r="P1938" s="6">
        <v>67.519997000000004</v>
      </c>
      <c r="Q1938" s="6">
        <v>60.649116999999997</v>
      </c>
      <c r="R1938" s="58">
        <v>1937400</v>
      </c>
    </row>
    <row r="1939" spans="12:18" x14ac:dyDescent="0.25">
      <c r="L1939" s="26">
        <v>42256</v>
      </c>
      <c r="M1939" s="6">
        <v>67.809997999999993</v>
      </c>
      <c r="N1939" s="6">
        <v>67.980002999999996</v>
      </c>
      <c r="O1939" s="6">
        <v>66.029999000000004</v>
      </c>
      <c r="P1939" s="6">
        <v>66.160004000000001</v>
      </c>
      <c r="Q1939" s="6">
        <v>59.427520999999999</v>
      </c>
      <c r="R1939" s="58">
        <v>1952300</v>
      </c>
    </row>
    <row r="1940" spans="12:18" x14ac:dyDescent="0.25">
      <c r="L1940" s="26">
        <v>42257</v>
      </c>
      <c r="M1940" s="6">
        <v>66.019997000000004</v>
      </c>
      <c r="N1940" s="6">
        <v>66.760002</v>
      </c>
      <c r="O1940" s="6">
        <v>65.959998999999996</v>
      </c>
      <c r="P1940" s="6">
        <v>66.349997999999999</v>
      </c>
      <c r="Q1940" s="6">
        <v>59.598185999999998</v>
      </c>
      <c r="R1940" s="58">
        <v>1463600</v>
      </c>
    </row>
    <row r="1941" spans="12:18" x14ac:dyDescent="0.25">
      <c r="L1941" s="26">
        <v>42258</v>
      </c>
      <c r="M1941" s="6">
        <v>66.169998000000007</v>
      </c>
      <c r="N1941" s="6">
        <v>67.010002</v>
      </c>
      <c r="O1941" s="6">
        <v>65.970000999999996</v>
      </c>
      <c r="P1941" s="6">
        <v>66.989998</v>
      </c>
      <c r="Q1941" s="6">
        <v>60.173057999999997</v>
      </c>
      <c r="R1941" s="58">
        <v>1378600</v>
      </c>
    </row>
    <row r="1942" spans="12:18" x14ac:dyDescent="0.25">
      <c r="L1942" s="26">
        <v>42261</v>
      </c>
      <c r="M1942" s="6">
        <v>66.989998</v>
      </c>
      <c r="N1942" s="6">
        <v>67</v>
      </c>
      <c r="O1942" s="6">
        <v>66.569999999999993</v>
      </c>
      <c r="P1942" s="6">
        <v>66.730002999999996</v>
      </c>
      <c r="Q1942" s="6">
        <v>59.939514000000003</v>
      </c>
      <c r="R1942" s="58">
        <v>985100</v>
      </c>
    </row>
    <row r="1943" spans="12:18" x14ac:dyDescent="0.25">
      <c r="L1943" s="26">
        <v>42262</v>
      </c>
      <c r="M1943" s="6">
        <v>66.639999000000003</v>
      </c>
      <c r="N1943" s="6">
        <v>67.589995999999999</v>
      </c>
      <c r="O1943" s="6">
        <v>66.410004000000001</v>
      </c>
      <c r="P1943" s="6">
        <v>67.459998999999996</v>
      </c>
      <c r="Q1943" s="6">
        <v>60.595230000000001</v>
      </c>
      <c r="R1943" s="58">
        <v>1410600</v>
      </c>
    </row>
    <row r="1944" spans="12:18" x14ac:dyDescent="0.25">
      <c r="L1944" s="26">
        <v>42263</v>
      </c>
      <c r="M1944" s="6">
        <v>67.449996999999996</v>
      </c>
      <c r="N1944" s="6">
        <v>68.580001999999993</v>
      </c>
      <c r="O1944" s="6">
        <v>67.449996999999996</v>
      </c>
      <c r="P1944" s="6">
        <v>68.389999000000003</v>
      </c>
      <c r="Q1944" s="6">
        <v>61.430584000000003</v>
      </c>
      <c r="R1944" s="58">
        <v>1776800</v>
      </c>
    </row>
    <row r="1945" spans="12:18" x14ac:dyDescent="0.25">
      <c r="L1945" s="26">
        <v>42264</v>
      </c>
      <c r="M1945" s="6">
        <v>68.370002999999997</v>
      </c>
      <c r="N1945" s="6">
        <v>69.589995999999999</v>
      </c>
      <c r="O1945" s="6">
        <v>68.110000999999997</v>
      </c>
      <c r="P1945" s="6">
        <v>68.870002999999997</v>
      </c>
      <c r="Q1945" s="6">
        <v>61.861758999999999</v>
      </c>
      <c r="R1945" s="58">
        <v>1709300</v>
      </c>
    </row>
    <row r="1946" spans="12:18" x14ac:dyDescent="0.25">
      <c r="L1946" s="26">
        <v>42265</v>
      </c>
      <c r="M1946" s="6">
        <v>67.730002999999996</v>
      </c>
      <c r="N1946" s="6">
        <v>68.720000999999996</v>
      </c>
      <c r="O1946" s="6">
        <v>67.309997999999993</v>
      </c>
      <c r="P1946" s="6">
        <v>67.449996999999996</v>
      </c>
      <c r="Q1946" s="6">
        <v>60.58625</v>
      </c>
      <c r="R1946" s="58">
        <v>3248000</v>
      </c>
    </row>
    <row r="1947" spans="12:18" x14ac:dyDescent="0.25">
      <c r="L1947" s="26">
        <v>42268</v>
      </c>
      <c r="M1947" s="6">
        <v>67.839995999999999</v>
      </c>
      <c r="N1947" s="6">
        <v>68.099997999999999</v>
      </c>
      <c r="O1947" s="6">
        <v>67.519997000000004</v>
      </c>
      <c r="P1947" s="6">
        <v>67.660004000000001</v>
      </c>
      <c r="Q1947" s="6">
        <v>60.774883000000003</v>
      </c>
      <c r="R1947" s="58">
        <v>1617100</v>
      </c>
    </row>
    <row r="1948" spans="12:18" x14ac:dyDescent="0.25">
      <c r="L1948" s="26">
        <v>42269</v>
      </c>
      <c r="M1948" s="6">
        <v>66.930000000000007</v>
      </c>
      <c r="N1948" s="6">
        <v>67.379997000000003</v>
      </c>
      <c r="O1948" s="6">
        <v>66.550003000000004</v>
      </c>
      <c r="P1948" s="6">
        <v>67.029999000000004</v>
      </c>
      <c r="Q1948" s="6">
        <v>60.208984000000001</v>
      </c>
      <c r="R1948" s="58">
        <v>1737400</v>
      </c>
    </row>
    <row r="1949" spans="12:18" x14ac:dyDescent="0.25">
      <c r="L1949" s="26">
        <v>42270</v>
      </c>
      <c r="M1949" s="6">
        <v>67.059997999999993</v>
      </c>
      <c r="N1949" s="6">
        <v>67.400002000000001</v>
      </c>
      <c r="O1949" s="6">
        <v>66.610000999999997</v>
      </c>
      <c r="P1949" s="6">
        <v>67.290001000000004</v>
      </c>
      <c r="Q1949" s="6">
        <v>60.442532</v>
      </c>
      <c r="R1949" s="58">
        <v>1050600</v>
      </c>
    </row>
    <row r="1950" spans="12:18" x14ac:dyDescent="0.25">
      <c r="L1950" s="26">
        <v>42271</v>
      </c>
      <c r="M1950" s="6">
        <v>66.970000999999996</v>
      </c>
      <c r="N1950" s="6">
        <v>67.349997999999999</v>
      </c>
      <c r="O1950" s="6">
        <v>66.419998000000007</v>
      </c>
      <c r="P1950" s="6">
        <v>67.209998999999996</v>
      </c>
      <c r="Q1950" s="6">
        <v>60.370663</v>
      </c>
      <c r="R1950" s="58">
        <v>2610400</v>
      </c>
    </row>
    <row r="1951" spans="12:18" x14ac:dyDescent="0.25">
      <c r="L1951" s="26">
        <v>42272</v>
      </c>
      <c r="M1951" s="6">
        <v>67.690002000000007</v>
      </c>
      <c r="N1951" s="6">
        <v>69.129997000000003</v>
      </c>
      <c r="O1951" s="6">
        <v>67.430000000000007</v>
      </c>
      <c r="P1951" s="6">
        <v>68.220000999999996</v>
      </c>
      <c r="Q1951" s="6">
        <v>61.277884999999998</v>
      </c>
      <c r="R1951" s="58">
        <v>1494700</v>
      </c>
    </row>
    <row r="1952" spans="12:18" x14ac:dyDescent="0.25">
      <c r="L1952" s="26">
        <v>42275</v>
      </c>
      <c r="M1952" s="6">
        <v>67.699996999999996</v>
      </c>
      <c r="N1952" s="6">
        <v>68.059997999999993</v>
      </c>
      <c r="O1952" s="6">
        <v>66.440002000000007</v>
      </c>
      <c r="P1952" s="6">
        <v>66.510002</v>
      </c>
      <c r="Q1952" s="6">
        <v>59.741912999999997</v>
      </c>
      <c r="R1952" s="58">
        <v>1987400</v>
      </c>
    </row>
    <row r="1953" spans="12:18" x14ac:dyDescent="0.25">
      <c r="L1953" s="26">
        <v>42276</v>
      </c>
      <c r="M1953" s="6">
        <v>66.5</v>
      </c>
      <c r="N1953" s="6">
        <v>66.660004000000001</v>
      </c>
      <c r="O1953" s="6">
        <v>65.989998</v>
      </c>
      <c r="P1953" s="6">
        <v>66.449996999999996</v>
      </c>
      <c r="Q1953" s="6">
        <v>59.688003999999999</v>
      </c>
      <c r="R1953" s="58">
        <v>2561400</v>
      </c>
    </row>
    <row r="1954" spans="12:18" x14ac:dyDescent="0.25">
      <c r="L1954" s="26">
        <v>42277</v>
      </c>
      <c r="M1954" s="6">
        <v>67</v>
      </c>
      <c r="N1954" s="6">
        <v>67.25</v>
      </c>
      <c r="O1954" s="6">
        <v>66.190002000000007</v>
      </c>
      <c r="P1954" s="6">
        <v>66.550003000000004</v>
      </c>
      <c r="Q1954" s="6">
        <v>59.777842999999997</v>
      </c>
      <c r="R1954" s="58">
        <v>2508000</v>
      </c>
    </row>
    <row r="1955" spans="12:18" x14ac:dyDescent="0.25">
      <c r="L1955" s="26">
        <v>42278</v>
      </c>
      <c r="M1955" s="6">
        <v>66.260002</v>
      </c>
      <c r="N1955" s="6">
        <v>66.620002999999997</v>
      </c>
      <c r="O1955" s="6">
        <v>65.029999000000004</v>
      </c>
      <c r="P1955" s="6">
        <v>66.239998</v>
      </c>
      <c r="Q1955" s="6">
        <v>59.499370999999996</v>
      </c>
      <c r="R1955" s="58">
        <v>2916000</v>
      </c>
    </row>
    <row r="1956" spans="12:18" x14ac:dyDescent="0.25">
      <c r="L1956" s="26">
        <v>42279</v>
      </c>
      <c r="M1956" s="6">
        <v>65.879997000000003</v>
      </c>
      <c r="N1956" s="6">
        <v>67.410004000000001</v>
      </c>
      <c r="O1956" s="6">
        <v>65.599997999999999</v>
      </c>
      <c r="P1956" s="6">
        <v>67.410004000000001</v>
      </c>
      <c r="Q1956" s="6">
        <v>60.550322999999999</v>
      </c>
      <c r="R1956" s="58">
        <v>1854100</v>
      </c>
    </row>
    <row r="1957" spans="12:18" x14ac:dyDescent="0.25">
      <c r="L1957" s="26">
        <v>42282</v>
      </c>
      <c r="M1957" s="6">
        <v>67.809997999999993</v>
      </c>
      <c r="N1957" s="6">
        <v>68.269997000000004</v>
      </c>
      <c r="O1957" s="6">
        <v>67.389999000000003</v>
      </c>
      <c r="P1957" s="6">
        <v>68.059997999999993</v>
      </c>
      <c r="Q1957" s="6">
        <v>61.134174000000002</v>
      </c>
      <c r="R1957" s="58">
        <v>3953400</v>
      </c>
    </row>
    <row r="1958" spans="12:18" x14ac:dyDescent="0.25">
      <c r="L1958" s="26">
        <v>42283</v>
      </c>
      <c r="M1958" s="6">
        <v>67.980002999999996</v>
      </c>
      <c r="N1958" s="6">
        <v>68</v>
      </c>
      <c r="O1958" s="6">
        <v>67.489998</v>
      </c>
      <c r="P1958" s="6">
        <v>67.550003000000004</v>
      </c>
      <c r="Q1958" s="6">
        <v>60.676067000000003</v>
      </c>
      <c r="R1958" s="58">
        <v>1822000</v>
      </c>
    </row>
    <row r="1959" spans="12:18" x14ac:dyDescent="0.25">
      <c r="L1959" s="26">
        <v>42284</v>
      </c>
      <c r="M1959" s="6">
        <v>67.760002</v>
      </c>
      <c r="N1959" s="6">
        <v>68.230002999999996</v>
      </c>
      <c r="O1959" s="6">
        <v>67.599997999999999</v>
      </c>
      <c r="P1959" s="6">
        <v>68.220000999999996</v>
      </c>
      <c r="Q1959" s="6">
        <v>61.277884999999998</v>
      </c>
      <c r="R1959" s="58">
        <v>1770500</v>
      </c>
    </row>
    <row r="1960" spans="12:18" x14ac:dyDescent="0.25">
      <c r="L1960" s="26">
        <v>42285</v>
      </c>
      <c r="M1960" s="6">
        <v>68.169998000000007</v>
      </c>
      <c r="N1960" s="6">
        <v>69.260002</v>
      </c>
      <c r="O1960" s="6">
        <v>67.930000000000007</v>
      </c>
      <c r="P1960" s="6">
        <v>69.239998</v>
      </c>
      <c r="Q1960" s="6">
        <v>62.194091999999998</v>
      </c>
      <c r="R1960" s="58">
        <v>1415500</v>
      </c>
    </row>
    <row r="1961" spans="12:18" x14ac:dyDescent="0.25">
      <c r="L1961" s="26">
        <v>42286</v>
      </c>
      <c r="M1961" s="6">
        <v>69.190002000000007</v>
      </c>
      <c r="N1961" s="6">
        <v>70</v>
      </c>
      <c r="O1961" s="6">
        <v>69.099997999999999</v>
      </c>
      <c r="P1961" s="6">
        <v>69.440002000000007</v>
      </c>
      <c r="Q1961" s="6">
        <v>62.373756</v>
      </c>
      <c r="R1961" s="58">
        <v>2273700</v>
      </c>
    </row>
    <row r="1962" spans="12:18" x14ac:dyDescent="0.25">
      <c r="L1962" s="26">
        <v>42289</v>
      </c>
      <c r="M1962" s="6">
        <v>69.389999000000003</v>
      </c>
      <c r="N1962" s="6">
        <v>69.989998</v>
      </c>
      <c r="O1962" s="6">
        <v>69.279999000000004</v>
      </c>
      <c r="P1962" s="6">
        <v>69.830001999999993</v>
      </c>
      <c r="Q1962" s="6">
        <v>62.724055999999997</v>
      </c>
      <c r="R1962" s="58">
        <v>1253700</v>
      </c>
    </row>
    <row r="1963" spans="12:18" x14ac:dyDescent="0.25">
      <c r="L1963" s="26">
        <v>42290</v>
      </c>
      <c r="M1963" s="6">
        <v>69.470000999999996</v>
      </c>
      <c r="N1963" s="6">
        <v>69.790001000000004</v>
      </c>
      <c r="O1963" s="6">
        <v>69.220000999999996</v>
      </c>
      <c r="P1963" s="6">
        <v>69.360000999999997</v>
      </c>
      <c r="Q1963" s="6">
        <v>62.301876</v>
      </c>
      <c r="R1963" s="58">
        <v>1330800</v>
      </c>
    </row>
    <row r="1964" spans="12:18" x14ac:dyDescent="0.25">
      <c r="L1964" s="26">
        <v>42291</v>
      </c>
      <c r="M1964" s="6">
        <v>69.230002999999996</v>
      </c>
      <c r="N1964" s="6">
        <v>69.440002000000007</v>
      </c>
      <c r="O1964" s="6">
        <v>68.559997999999993</v>
      </c>
      <c r="P1964" s="6">
        <v>68.650002000000001</v>
      </c>
      <c r="Q1964" s="6">
        <v>61.664154000000003</v>
      </c>
      <c r="R1964" s="58">
        <v>1004500</v>
      </c>
    </row>
    <row r="1965" spans="12:18" x14ac:dyDescent="0.25">
      <c r="L1965" s="26">
        <v>42292</v>
      </c>
      <c r="M1965" s="6">
        <v>68.970000999999996</v>
      </c>
      <c r="N1965" s="6">
        <v>69.279999000000004</v>
      </c>
      <c r="O1965" s="6">
        <v>68.629997000000003</v>
      </c>
      <c r="P1965" s="6">
        <v>69.199996999999996</v>
      </c>
      <c r="Q1965" s="6">
        <v>62.158157000000003</v>
      </c>
      <c r="R1965" s="58">
        <v>1325100</v>
      </c>
    </row>
    <row r="1966" spans="12:18" x14ac:dyDescent="0.25">
      <c r="L1966" s="26">
        <v>42293</v>
      </c>
      <c r="M1966" s="6">
        <v>69.489998</v>
      </c>
      <c r="N1966" s="6">
        <v>69.839995999999999</v>
      </c>
      <c r="O1966" s="6">
        <v>69.180000000000007</v>
      </c>
      <c r="P1966" s="6">
        <v>69.790001000000004</v>
      </c>
      <c r="Q1966" s="6">
        <v>62.688144999999999</v>
      </c>
      <c r="R1966" s="58">
        <v>1045500</v>
      </c>
    </row>
    <row r="1967" spans="12:18" x14ac:dyDescent="0.25">
      <c r="L1967" s="26">
        <v>42296</v>
      </c>
      <c r="M1967" s="6">
        <v>69.730002999999996</v>
      </c>
      <c r="N1967" s="6">
        <v>70.169998000000007</v>
      </c>
      <c r="O1967" s="6">
        <v>69.510002</v>
      </c>
      <c r="P1967" s="6">
        <v>69.610000999999997</v>
      </c>
      <c r="Q1967" s="6">
        <v>62.526454999999999</v>
      </c>
      <c r="R1967" s="58">
        <v>2084000</v>
      </c>
    </row>
    <row r="1968" spans="12:18" x14ac:dyDescent="0.25">
      <c r="L1968" s="26">
        <v>42297</v>
      </c>
      <c r="M1968" s="6">
        <v>69.639999000000003</v>
      </c>
      <c r="N1968" s="6">
        <v>69.639999000000003</v>
      </c>
      <c r="O1968" s="6">
        <v>68.900002000000001</v>
      </c>
      <c r="P1968" s="6">
        <v>68.970000999999996</v>
      </c>
      <c r="Q1968" s="6">
        <v>61.951565000000002</v>
      </c>
      <c r="R1968" s="58">
        <v>1558900</v>
      </c>
    </row>
    <row r="1969" spans="12:18" x14ac:dyDescent="0.25">
      <c r="L1969" s="26">
        <v>42298</v>
      </c>
      <c r="M1969" s="6">
        <v>69.120002999999997</v>
      </c>
      <c r="N1969" s="6">
        <v>69.980002999999996</v>
      </c>
      <c r="O1969" s="6">
        <v>68.940002000000007</v>
      </c>
      <c r="P1969" s="6">
        <v>69.610000999999997</v>
      </c>
      <c r="Q1969" s="6">
        <v>62.526454999999999</v>
      </c>
      <c r="R1969" s="58">
        <v>1397200</v>
      </c>
    </row>
    <row r="1970" spans="12:18" x14ac:dyDescent="0.25">
      <c r="L1970" s="26">
        <v>42299</v>
      </c>
      <c r="M1970" s="6">
        <v>70</v>
      </c>
      <c r="N1970" s="6">
        <v>72.339995999999999</v>
      </c>
      <c r="O1970" s="6">
        <v>69.949996999999996</v>
      </c>
      <c r="P1970" s="6">
        <v>72.010002</v>
      </c>
      <c r="Q1970" s="6">
        <v>64.682227999999995</v>
      </c>
      <c r="R1970" s="58">
        <v>2546800</v>
      </c>
    </row>
    <row r="1971" spans="12:18" x14ac:dyDescent="0.25">
      <c r="L1971" s="26">
        <v>42300</v>
      </c>
      <c r="M1971" s="6">
        <v>72.040001000000004</v>
      </c>
      <c r="N1971" s="6">
        <v>72.300003000000004</v>
      </c>
      <c r="O1971" s="6">
        <v>71.400002000000001</v>
      </c>
      <c r="P1971" s="6">
        <v>71.699996999999996</v>
      </c>
      <c r="Q1971" s="6">
        <v>64.403755000000004</v>
      </c>
      <c r="R1971" s="58">
        <v>1979500</v>
      </c>
    </row>
    <row r="1972" spans="12:18" x14ac:dyDescent="0.25">
      <c r="L1972" s="26">
        <v>42303</v>
      </c>
      <c r="M1972" s="6">
        <v>71.760002</v>
      </c>
      <c r="N1972" s="6">
        <v>71.919998000000007</v>
      </c>
      <c r="O1972" s="6">
        <v>71.370002999999997</v>
      </c>
      <c r="P1972" s="6">
        <v>71.550003000000004</v>
      </c>
      <c r="Q1972" s="6">
        <v>64.269042999999996</v>
      </c>
      <c r="R1972" s="58">
        <v>1645700</v>
      </c>
    </row>
    <row r="1973" spans="12:18" x14ac:dyDescent="0.25">
      <c r="L1973" s="26">
        <v>42304</v>
      </c>
      <c r="M1973" s="6">
        <v>71.290001000000004</v>
      </c>
      <c r="N1973" s="6">
        <v>71.5</v>
      </c>
      <c r="O1973" s="6">
        <v>70.720000999999996</v>
      </c>
      <c r="P1973" s="6">
        <v>71.040001000000004</v>
      </c>
      <c r="Q1973" s="6">
        <v>63.810932000000001</v>
      </c>
      <c r="R1973" s="58">
        <v>924300</v>
      </c>
    </row>
    <row r="1974" spans="12:18" x14ac:dyDescent="0.25">
      <c r="L1974" s="26">
        <v>42305</v>
      </c>
      <c r="M1974" s="6">
        <v>71.099997999999999</v>
      </c>
      <c r="N1974" s="6">
        <v>71.160004000000001</v>
      </c>
      <c r="O1974" s="6">
        <v>70.260002</v>
      </c>
      <c r="P1974" s="6">
        <v>70.919998000000007</v>
      </c>
      <c r="Q1974" s="6">
        <v>63.703136000000001</v>
      </c>
      <c r="R1974" s="58">
        <v>1005900</v>
      </c>
    </row>
    <row r="1975" spans="12:18" x14ac:dyDescent="0.25">
      <c r="L1975" s="26">
        <v>42306</v>
      </c>
      <c r="M1975" s="6">
        <v>70.660004000000001</v>
      </c>
      <c r="N1975" s="6">
        <v>71.129997000000003</v>
      </c>
      <c r="O1975" s="6">
        <v>70.169998000000007</v>
      </c>
      <c r="P1975" s="6">
        <v>70.989998</v>
      </c>
      <c r="Q1975" s="6">
        <v>63.766013999999998</v>
      </c>
      <c r="R1975" s="58">
        <v>986200</v>
      </c>
    </row>
    <row r="1976" spans="12:18" x14ac:dyDescent="0.25">
      <c r="L1976" s="26">
        <v>42307</v>
      </c>
      <c r="M1976" s="6">
        <v>70.779999000000004</v>
      </c>
      <c r="N1976" s="6">
        <v>71.180000000000007</v>
      </c>
      <c r="O1976" s="6">
        <v>70.5</v>
      </c>
      <c r="P1976" s="6">
        <v>70.519997000000004</v>
      </c>
      <c r="Q1976" s="6">
        <v>63.343837999999998</v>
      </c>
      <c r="R1976" s="58">
        <v>1595700</v>
      </c>
    </row>
    <row r="1977" spans="12:18" x14ac:dyDescent="0.25">
      <c r="L1977" s="26">
        <v>42310</v>
      </c>
      <c r="M1977" s="6">
        <v>70.720000999999996</v>
      </c>
      <c r="N1977" s="6">
        <v>70.860000999999997</v>
      </c>
      <c r="O1977" s="6">
        <v>70.069999999999993</v>
      </c>
      <c r="P1977" s="6">
        <v>70.610000999999997</v>
      </c>
      <c r="Q1977" s="6">
        <v>63.424689999999998</v>
      </c>
      <c r="R1977" s="58">
        <v>2110300</v>
      </c>
    </row>
    <row r="1978" spans="12:18" x14ac:dyDescent="0.25">
      <c r="L1978" s="26">
        <v>42311</v>
      </c>
      <c r="M1978" s="6">
        <v>68.379997000000003</v>
      </c>
      <c r="N1978" s="6">
        <v>68.970000999999996</v>
      </c>
      <c r="O1978" s="6">
        <v>67.059997999999993</v>
      </c>
      <c r="P1978" s="6">
        <v>68.089995999999999</v>
      </c>
      <c r="Q1978" s="6">
        <v>61.161129000000003</v>
      </c>
      <c r="R1978" s="58">
        <v>4212200</v>
      </c>
    </row>
    <row r="1979" spans="12:18" x14ac:dyDescent="0.25">
      <c r="L1979" s="26">
        <v>42312</v>
      </c>
      <c r="M1979" s="6">
        <v>68.419998000000007</v>
      </c>
      <c r="N1979" s="6">
        <v>69.190002000000007</v>
      </c>
      <c r="O1979" s="6">
        <v>68.309997999999993</v>
      </c>
      <c r="P1979" s="6">
        <v>68.680000000000007</v>
      </c>
      <c r="Q1979" s="6">
        <v>61.691085999999999</v>
      </c>
      <c r="R1979" s="58">
        <v>2835500</v>
      </c>
    </row>
    <row r="1980" spans="12:18" x14ac:dyDescent="0.25">
      <c r="L1980" s="26">
        <v>42313</v>
      </c>
      <c r="M1980" s="6">
        <v>68.620002999999997</v>
      </c>
      <c r="N1980" s="6">
        <v>69.440002000000007</v>
      </c>
      <c r="O1980" s="6">
        <v>68.5</v>
      </c>
      <c r="P1980" s="6">
        <v>69.370002999999997</v>
      </c>
      <c r="Q1980" s="6">
        <v>62.310870999999999</v>
      </c>
      <c r="R1980" s="58">
        <v>1493800</v>
      </c>
    </row>
    <row r="1981" spans="12:18" x14ac:dyDescent="0.25">
      <c r="L1981" s="26">
        <v>42314</v>
      </c>
      <c r="M1981" s="6">
        <v>69.029999000000004</v>
      </c>
      <c r="N1981" s="6">
        <v>69.029999000000004</v>
      </c>
      <c r="O1981" s="6">
        <v>67.300003000000004</v>
      </c>
      <c r="P1981" s="6">
        <v>67.930000000000007</v>
      </c>
      <c r="Q1981" s="6">
        <v>61.017403000000002</v>
      </c>
      <c r="R1981" s="58">
        <v>1824700</v>
      </c>
    </row>
    <row r="1982" spans="12:18" x14ac:dyDescent="0.25">
      <c r="L1982" s="26">
        <v>42317</v>
      </c>
      <c r="M1982" s="6">
        <v>67.660004000000001</v>
      </c>
      <c r="N1982" s="6">
        <v>67.760002</v>
      </c>
      <c r="O1982" s="6">
        <v>66.879997000000003</v>
      </c>
      <c r="P1982" s="6">
        <v>67.470000999999996</v>
      </c>
      <c r="Q1982" s="6">
        <v>60.604213999999999</v>
      </c>
      <c r="R1982" s="58">
        <v>1303500</v>
      </c>
    </row>
    <row r="1983" spans="12:18" x14ac:dyDescent="0.25">
      <c r="L1983" s="26">
        <v>42318</v>
      </c>
      <c r="M1983" s="6">
        <v>67.260002</v>
      </c>
      <c r="N1983" s="6">
        <v>67.699996999999996</v>
      </c>
      <c r="O1983" s="6">
        <v>67.040001000000004</v>
      </c>
      <c r="P1983" s="6">
        <v>67.330001999999993</v>
      </c>
      <c r="Q1983" s="6">
        <v>60.478462</v>
      </c>
      <c r="R1983" s="58">
        <v>1222200</v>
      </c>
    </row>
    <row r="1984" spans="12:18" x14ac:dyDescent="0.25">
      <c r="L1984" s="26">
        <v>42319</v>
      </c>
      <c r="M1984" s="6">
        <v>67.419998000000007</v>
      </c>
      <c r="N1984" s="6">
        <v>67.980002999999996</v>
      </c>
      <c r="O1984" s="6">
        <v>67.400002000000001</v>
      </c>
      <c r="P1984" s="6">
        <v>67.620002999999997</v>
      </c>
      <c r="Q1984" s="6">
        <v>60.738948999999998</v>
      </c>
      <c r="R1984" s="58">
        <v>1276900</v>
      </c>
    </row>
    <row r="1985" spans="12:18" x14ac:dyDescent="0.25">
      <c r="L1985" s="26">
        <v>42320</v>
      </c>
      <c r="M1985" s="6">
        <v>67.169998000000007</v>
      </c>
      <c r="N1985" s="6">
        <v>67.459998999999996</v>
      </c>
      <c r="O1985" s="6">
        <v>66.260002</v>
      </c>
      <c r="P1985" s="6">
        <v>66.300003000000004</v>
      </c>
      <c r="Q1985" s="6">
        <v>59.553275999999997</v>
      </c>
      <c r="R1985" s="58">
        <v>1854200</v>
      </c>
    </row>
    <row r="1986" spans="12:18" x14ac:dyDescent="0.25">
      <c r="L1986" s="26">
        <v>42321</v>
      </c>
      <c r="M1986" s="6">
        <v>66.260002</v>
      </c>
      <c r="N1986" s="6">
        <v>66.699996999999996</v>
      </c>
      <c r="O1986" s="6">
        <v>65.910004000000001</v>
      </c>
      <c r="P1986" s="6">
        <v>66.089995999999999</v>
      </c>
      <c r="Q1986" s="6">
        <v>59.364643000000001</v>
      </c>
      <c r="R1986" s="58">
        <v>1752700</v>
      </c>
    </row>
    <row r="1987" spans="12:18" x14ac:dyDescent="0.25">
      <c r="L1987" s="26">
        <v>42324</v>
      </c>
      <c r="M1987" s="6">
        <v>66.089995999999999</v>
      </c>
      <c r="N1987" s="6">
        <v>66.949996999999996</v>
      </c>
      <c r="O1987" s="6">
        <v>66.080001999999993</v>
      </c>
      <c r="P1987" s="6">
        <v>66.930000000000007</v>
      </c>
      <c r="Q1987" s="6">
        <v>60.119174999999998</v>
      </c>
      <c r="R1987" s="58">
        <v>1561200</v>
      </c>
    </row>
    <row r="1988" spans="12:18" x14ac:dyDescent="0.25">
      <c r="L1988" s="26">
        <v>42325</v>
      </c>
      <c r="M1988" s="6">
        <v>66.930000000000007</v>
      </c>
      <c r="N1988" s="6">
        <v>67.319999999999993</v>
      </c>
      <c r="O1988" s="6">
        <v>64.650002000000001</v>
      </c>
      <c r="P1988" s="6">
        <v>66.029999000000004</v>
      </c>
      <c r="Q1988" s="6">
        <v>59.310744999999997</v>
      </c>
      <c r="R1988" s="58">
        <v>3204000</v>
      </c>
    </row>
    <row r="1989" spans="12:18" x14ac:dyDescent="0.25">
      <c r="L1989" s="26">
        <v>42326</v>
      </c>
      <c r="M1989" s="6">
        <v>66.220000999999996</v>
      </c>
      <c r="N1989" s="6">
        <v>66.470000999999996</v>
      </c>
      <c r="O1989" s="6">
        <v>65.629997000000003</v>
      </c>
      <c r="P1989" s="6">
        <v>66.309997999999993</v>
      </c>
      <c r="Q1989" s="6">
        <v>59.562244</v>
      </c>
      <c r="R1989" s="58">
        <v>2969500</v>
      </c>
    </row>
    <row r="1990" spans="12:18" x14ac:dyDescent="0.25">
      <c r="L1990" s="26">
        <v>42327</v>
      </c>
      <c r="M1990" s="6">
        <v>66.650002000000001</v>
      </c>
      <c r="N1990" s="6">
        <v>67.069999999999993</v>
      </c>
      <c r="O1990" s="6">
        <v>66.370002999999997</v>
      </c>
      <c r="P1990" s="6">
        <v>66.470000999999996</v>
      </c>
      <c r="Q1990" s="6">
        <v>59.705978000000002</v>
      </c>
      <c r="R1990" s="58">
        <v>1751000</v>
      </c>
    </row>
    <row r="1991" spans="12:18" x14ac:dyDescent="0.25">
      <c r="L1991" s="26">
        <v>42328</v>
      </c>
      <c r="M1991" s="6">
        <v>66.919998000000007</v>
      </c>
      <c r="N1991" s="6">
        <v>66.949996999999996</v>
      </c>
      <c r="O1991" s="6">
        <v>66.110000999999997</v>
      </c>
      <c r="P1991" s="6">
        <v>66.25</v>
      </c>
      <c r="Q1991" s="6">
        <v>59.508372999999999</v>
      </c>
      <c r="R1991" s="58">
        <v>2128200</v>
      </c>
    </row>
    <row r="1992" spans="12:18" x14ac:dyDescent="0.25">
      <c r="L1992" s="26">
        <v>42331</v>
      </c>
      <c r="M1992" s="6">
        <v>67.389999000000003</v>
      </c>
      <c r="N1992" s="6">
        <v>69.190002000000007</v>
      </c>
      <c r="O1992" s="6">
        <v>67.099997999999999</v>
      </c>
      <c r="P1992" s="6">
        <v>68.569999999999993</v>
      </c>
      <c r="Q1992" s="6">
        <v>61.592274000000003</v>
      </c>
      <c r="R1992" s="58">
        <v>5234300</v>
      </c>
    </row>
    <row r="1993" spans="12:18" x14ac:dyDescent="0.25">
      <c r="L1993" s="26">
        <v>42332</v>
      </c>
      <c r="M1993" s="6">
        <v>68.449996999999996</v>
      </c>
      <c r="N1993" s="6">
        <v>68.870002999999997</v>
      </c>
      <c r="O1993" s="6">
        <v>67.540001000000004</v>
      </c>
      <c r="P1993" s="6">
        <v>67.860000999999997</v>
      </c>
      <c r="Q1993" s="6">
        <v>60.954524999999997</v>
      </c>
      <c r="R1993" s="58">
        <v>3026500</v>
      </c>
    </row>
    <row r="1994" spans="12:18" x14ac:dyDescent="0.25">
      <c r="L1994" s="26">
        <v>42333</v>
      </c>
      <c r="M1994" s="6">
        <v>68.059997999999993</v>
      </c>
      <c r="N1994" s="6">
        <v>69.529999000000004</v>
      </c>
      <c r="O1994" s="6">
        <v>68</v>
      </c>
      <c r="P1994" s="6">
        <v>69.180000000000007</v>
      </c>
      <c r="Q1994" s="6">
        <v>62.140205000000002</v>
      </c>
      <c r="R1994" s="58">
        <v>2606800</v>
      </c>
    </row>
    <row r="1995" spans="12:18" x14ac:dyDescent="0.25">
      <c r="L1995" s="26">
        <v>42335</v>
      </c>
      <c r="M1995" s="6">
        <v>68.930000000000007</v>
      </c>
      <c r="N1995" s="6">
        <v>69.449996999999996</v>
      </c>
      <c r="O1995" s="6">
        <v>68.739998</v>
      </c>
      <c r="P1995" s="6">
        <v>69.269997000000004</v>
      </c>
      <c r="Q1995" s="6">
        <v>62.674022999999998</v>
      </c>
      <c r="R1995" s="58">
        <v>1164700</v>
      </c>
    </row>
    <row r="1996" spans="12:18" x14ac:dyDescent="0.25">
      <c r="L1996" s="26">
        <v>42338</v>
      </c>
      <c r="M1996" s="6">
        <v>69.360000999999997</v>
      </c>
      <c r="N1996" s="6">
        <v>69.449996999999996</v>
      </c>
      <c r="O1996" s="6">
        <v>68.720000999999996</v>
      </c>
      <c r="P1996" s="6">
        <v>68.769997000000004</v>
      </c>
      <c r="Q1996" s="6">
        <v>62.221634000000002</v>
      </c>
      <c r="R1996" s="58">
        <v>3140300</v>
      </c>
    </row>
    <row r="1997" spans="12:18" x14ac:dyDescent="0.25">
      <c r="L1997" s="26">
        <v>42339</v>
      </c>
      <c r="M1997" s="6">
        <v>69.389999000000003</v>
      </c>
      <c r="N1997" s="6">
        <v>69.989998</v>
      </c>
      <c r="O1997" s="6">
        <v>69.040001000000004</v>
      </c>
      <c r="P1997" s="6">
        <v>69.379997000000003</v>
      </c>
      <c r="Q1997" s="6">
        <v>62.773544000000001</v>
      </c>
      <c r="R1997" s="58">
        <v>2452400</v>
      </c>
    </row>
    <row r="1998" spans="12:18" x14ac:dyDescent="0.25">
      <c r="L1998" s="26">
        <v>42340</v>
      </c>
      <c r="M1998" s="6">
        <v>69.190002000000007</v>
      </c>
      <c r="N1998" s="6">
        <v>69.589995999999999</v>
      </c>
      <c r="O1998" s="6">
        <v>68.809997999999993</v>
      </c>
      <c r="P1998" s="6">
        <v>68.889999000000003</v>
      </c>
      <c r="Q1998" s="6">
        <v>62.330212000000003</v>
      </c>
      <c r="R1998" s="58">
        <v>2245100</v>
      </c>
    </row>
    <row r="1999" spans="12:18" x14ac:dyDescent="0.25">
      <c r="L1999" s="26">
        <v>42341</v>
      </c>
      <c r="M1999" s="6">
        <v>68.860000999999997</v>
      </c>
      <c r="N1999" s="6">
        <v>69.529999000000004</v>
      </c>
      <c r="O1999" s="6">
        <v>68.199996999999996</v>
      </c>
      <c r="P1999" s="6">
        <v>68.529999000000004</v>
      </c>
      <c r="Q1999" s="6">
        <v>62.004494000000001</v>
      </c>
      <c r="R1999" s="58">
        <v>2411000</v>
      </c>
    </row>
    <row r="2000" spans="12:18" x14ac:dyDescent="0.25">
      <c r="L2000" s="26">
        <v>42342</v>
      </c>
      <c r="M2000" s="6">
        <v>68.680000000000007</v>
      </c>
      <c r="N2000" s="6">
        <v>70.379997000000003</v>
      </c>
      <c r="O2000" s="6">
        <v>68.550003000000004</v>
      </c>
      <c r="P2000" s="6">
        <v>70.180000000000007</v>
      </c>
      <c r="Q2000" s="6">
        <v>63.497379000000002</v>
      </c>
      <c r="R2000" s="58">
        <v>2123100</v>
      </c>
    </row>
    <row r="2001" spans="12:18" x14ac:dyDescent="0.25">
      <c r="L2001" s="26">
        <v>42345</v>
      </c>
      <c r="M2001" s="6">
        <v>70.099997999999999</v>
      </c>
      <c r="N2001" s="6">
        <v>70.900002000000001</v>
      </c>
      <c r="O2001" s="6">
        <v>69.910004000000001</v>
      </c>
      <c r="P2001" s="6">
        <v>70.510002</v>
      </c>
      <c r="Q2001" s="6">
        <v>63.795948000000003</v>
      </c>
      <c r="R2001" s="58">
        <v>1752000</v>
      </c>
    </row>
    <row r="2002" spans="12:18" x14ac:dyDescent="0.25">
      <c r="L2002" s="26">
        <v>42346</v>
      </c>
      <c r="M2002" s="6">
        <v>70.25</v>
      </c>
      <c r="N2002" s="6">
        <v>71.010002</v>
      </c>
      <c r="O2002" s="6">
        <v>69.889999000000003</v>
      </c>
      <c r="P2002" s="6">
        <v>70.819999999999993</v>
      </c>
      <c r="Q2002" s="6">
        <v>64.076424000000003</v>
      </c>
      <c r="R2002" s="58">
        <v>1749100</v>
      </c>
    </row>
    <row r="2003" spans="12:18" x14ac:dyDescent="0.25">
      <c r="L2003" s="26">
        <v>42347</v>
      </c>
      <c r="M2003" s="6">
        <v>70.190002000000007</v>
      </c>
      <c r="N2003" s="6">
        <v>71.199996999999996</v>
      </c>
      <c r="O2003" s="6">
        <v>70.010002</v>
      </c>
      <c r="P2003" s="6">
        <v>70.599997999999999</v>
      </c>
      <c r="Q2003" s="6">
        <v>63.877377000000003</v>
      </c>
      <c r="R2003" s="58">
        <v>1788600</v>
      </c>
    </row>
    <row r="2004" spans="12:18" x14ac:dyDescent="0.25">
      <c r="L2004" s="26">
        <v>42348</v>
      </c>
      <c r="M2004" s="6">
        <v>70.599997999999999</v>
      </c>
      <c r="N2004" s="6">
        <v>71.389999000000003</v>
      </c>
      <c r="O2004" s="6">
        <v>70.069999999999993</v>
      </c>
      <c r="P2004" s="6">
        <v>70.730002999999996</v>
      </c>
      <c r="Q2004" s="6">
        <v>63.995013999999998</v>
      </c>
      <c r="R2004" s="58">
        <v>1729000</v>
      </c>
    </row>
    <row r="2005" spans="12:18" x14ac:dyDescent="0.25">
      <c r="L2005" s="26">
        <v>42349</v>
      </c>
      <c r="M2005" s="6">
        <v>70.260002</v>
      </c>
      <c r="N2005" s="6">
        <v>70.559997999999993</v>
      </c>
      <c r="O2005" s="6">
        <v>69.75</v>
      </c>
      <c r="P2005" s="6">
        <v>70.129997000000003</v>
      </c>
      <c r="Q2005" s="6">
        <v>63.452128999999999</v>
      </c>
      <c r="R2005" s="58">
        <v>1379000</v>
      </c>
    </row>
    <row r="2006" spans="12:18" x14ac:dyDescent="0.25">
      <c r="L2006" s="26">
        <v>42352</v>
      </c>
      <c r="M2006" s="6">
        <v>70.160004000000001</v>
      </c>
      <c r="N2006" s="6">
        <v>71.180000000000007</v>
      </c>
      <c r="O2006" s="6">
        <v>70.160004000000001</v>
      </c>
      <c r="P2006" s="6">
        <v>71.080001999999993</v>
      </c>
      <c r="Q2006" s="6">
        <v>64.311676000000006</v>
      </c>
      <c r="R2006" s="58">
        <v>2020300</v>
      </c>
    </row>
    <row r="2007" spans="12:18" x14ac:dyDescent="0.25">
      <c r="L2007" s="26">
        <v>42353</v>
      </c>
      <c r="M2007" s="6">
        <v>71.239998</v>
      </c>
      <c r="N2007" s="6">
        <v>71.739998</v>
      </c>
      <c r="O2007" s="6">
        <v>70.870002999999997</v>
      </c>
      <c r="P2007" s="6">
        <v>71.510002</v>
      </c>
      <c r="Q2007" s="6">
        <v>64.700728999999995</v>
      </c>
      <c r="R2007" s="58">
        <v>2419800</v>
      </c>
    </row>
    <row r="2008" spans="12:18" x14ac:dyDescent="0.25">
      <c r="L2008" s="26">
        <v>42354</v>
      </c>
      <c r="M2008" s="6">
        <v>71.519997000000004</v>
      </c>
      <c r="N2008" s="6">
        <v>72.069999999999993</v>
      </c>
      <c r="O2008" s="6">
        <v>70.870002999999997</v>
      </c>
      <c r="P2008" s="6">
        <v>71.970000999999996</v>
      </c>
      <c r="Q2008" s="6">
        <v>65.116928000000001</v>
      </c>
      <c r="R2008" s="58">
        <v>2410400</v>
      </c>
    </row>
    <row r="2009" spans="12:18" x14ac:dyDescent="0.25">
      <c r="L2009" s="26">
        <v>42355</v>
      </c>
      <c r="M2009" s="6">
        <v>71.629997000000003</v>
      </c>
      <c r="N2009" s="6">
        <v>72.260002</v>
      </c>
      <c r="O2009" s="6">
        <v>70.900002000000001</v>
      </c>
      <c r="P2009" s="6">
        <v>71.610000999999997</v>
      </c>
      <c r="Q2009" s="6">
        <v>64.791206000000003</v>
      </c>
      <c r="R2009" s="58">
        <v>2395200</v>
      </c>
    </row>
    <row r="2010" spans="12:18" x14ac:dyDescent="0.25">
      <c r="L2010" s="26">
        <v>42356</v>
      </c>
      <c r="M2010" s="6">
        <v>71.269997000000004</v>
      </c>
      <c r="N2010" s="6">
        <v>71.360000999999997</v>
      </c>
      <c r="O2010" s="6">
        <v>70.760002</v>
      </c>
      <c r="P2010" s="6">
        <v>70.779999000000004</v>
      </c>
      <c r="Q2010" s="6">
        <v>64.040237000000005</v>
      </c>
      <c r="R2010" s="58">
        <v>2030500</v>
      </c>
    </row>
    <row r="2011" spans="12:18" x14ac:dyDescent="0.25">
      <c r="L2011" s="26">
        <v>42359</v>
      </c>
      <c r="M2011" s="6">
        <v>71.25</v>
      </c>
      <c r="N2011" s="6">
        <v>71.389999000000003</v>
      </c>
      <c r="O2011" s="6">
        <v>70.519997000000004</v>
      </c>
      <c r="P2011" s="6">
        <v>71.050003000000004</v>
      </c>
      <c r="Q2011" s="6">
        <v>64.284531000000001</v>
      </c>
      <c r="R2011" s="58">
        <v>1664600</v>
      </c>
    </row>
    <row r="2012" spans="12:18" x14ac:dyDescent="0.25">
      <c r="L2012" s="26">
        <v>42360</v>
      </c>
      <c r="M2012" s="6">
        <v>71.029999000000004</v>
      </c>
      <c r="N2012" s="6">
        <v>72.5</v>
      </c>
      <c r="O2012" s="6">
        <v>70.870002999999997</v>
      </c>
      <c r="P2012" s="6">
        <v>72.190002000000007</v>
      </c>
      <c r="Q2012" s="6">
        <v>65.315978999999999</v>
      </c>
      <c r="R2012" s="58">
        <v>1770400</v>
      </c>
    </row>
    <row r="2013" spans="12:18" x14ac:dyDescent="0.25">
      <c r="L2013" s="26">
        <v>42361</v>
      </c>
      <c r="M2013" s="6">
        <v>72.389999000000003</v>
      </c>
      <c r="N2013" s="6">
        <v>73.199996999999996</v>
      </c>
      <c r="O2013" s="6">
        <v>72.190002000000007</v>
      </c>
      <c r="P2013" s="6">
        <v>73.069999999999993</v>
      </c>
      <c r="Q2013" s="6">
        <v>66.112183000000002</v>
      </c>
      <c r="R2013" s="58">
        <v>1197100</v>
      </c>
    </row>
    <row r="2014" spans="12:18" x14ac:dyDescent="0.25">
      <c r="L2014" s="26">
        <v>42362</v>
      </c>
      <c r="M2014" s="6">
        <v>72.889999000000003</v>
      </c>
      <c r="N2014" s="6">
        <v>73.129997000000003</v>
      </c>
      <c r="O2014" s="6">
        <v>72.620002999999997</v>
      </c>
      <c r="P2014" s="6">
        <v>72.870002999999997</v>
      </c>
      <c r="Q2014" s="6">
        <v>65.931213</v>
      </c>
      <c r="R2014" s="58">
        <v>374800</v>
      </c>
    </row>
    <row r="2015" spans="12:18" x14ac:dyDescent="0.25">
      <c r="L2015" s="26">
        <v>42366</v>
      </c>
      <c r="M2015" s="6">
        <v>72.830001999999993</v>
      </c>
      <c r="N2015" s="6">
        <v>73</v>
      </c>
      <c r="O2015" s="6">
        <v>72.580001999999993</v>
      </c>
      <c r="P2015" s="6">
        <v>72.870002999999997</v>
      </c>
      <c r="Q2015" s="6">
        <v>65.931213</v>
      </c>
      <c r="R2015" s="58">
        <v>719500</v>
      </c>
    </row>
    <row r="2016" spans="12:18" x14ac:dyDescent="0.25">
      <c r="L2016" s="26">
        <v>42367</v>
      </c>
      <c r="M2016" s="6">
        <v>73.279999000000004</v>
      </c>
      <c r="N2016" s="6">
        <v>73.599997999999999</v>
      </c>
      <c r="O2016" s="6">
        <v>73.239998</v>
      </c>
      <c r="P2016" s="6">
        <v>73.510002</v>
      </c>
      <c r="Q2016" s="6">
        <v>66.510300000000001</v>
      </c>
      <c r="R2016" s="58">
        <v>953800</v>
      </c>
    </row>
    <row r="2017" spans="12:18" x14ac:dyDescent="0.25">
      <c r="L2017" s="26">
        <v>42368</v>
      </c>
      <c r="M2017" s="6">
        <v>73.580001999999993</v>
      </c>
      <c r="N2017" s="6">
        <v>73.680000000000007</v>
      </c>
      <c r="O2017" s="6">
        <v>73.110000999999997</v>
      </c>
      <c r="P2017" s="6">
        <v>73.190002000000007</v>
      </c>
      <c r="Q2017" s="6">
        <v>66.220748999999998</v>
      </c>
      <c r="R2017" s="58">
        <v>657900</v>
      </c>
    </row>
    <row r="2018" spans="12:18" x14ac:dyDescent="0.25">
      <c r="L2018" s="26">
        <v>42369</v>
      </c>
      <c r="M2018" s="6">
        <v>72.790001000000004</v>
      </c>
      <c r="N2018" s="6">
        <v>72.900002000000001</v>
      </c>
      <c r="O2018" s="6">
        <v>71.980002999999996</v>
      </c>
      <c r="P2018" s="6">
        <v>72.269997000000004</v>
      </c>
      <c r="Q2018" s="6">
        <v>65.388351</v>
      </c>
      <c r="R2018" s="58">
        <v>958900</v>
      </c>
    </row>
    <row r="2019" spans="12:18" x14ac:dyDescent="0.25">
      <c r="L2019" s="26">
        <v>42373</v>
      </c>
      <c r="M2019" s="6">
        <v>71.589995999999999</v>
      </c>
      <c r="N2019" s="6">
        <v>71.680000000000007</v>
      </c>
      <c r="O2019" s="6">
        <v>70.860000999999997</v>
      </c>
      <c r="P2019" s="6">
        <v>71.610000999999997</v>
      </c>
      <c r="Q2019" s="6">
        <v>64.791206000000003</v>
      </c>
      <c r="R2019" s="58">
        <v>2039800</v>
      </c>
    </row>
    <row r="2020" spans="12:18" x14ac:dyDescent="0.25">
      <c r="L2020" s="26">
        <v>42374</v>
      </c>
      <c r="M2020" s="6">
        <v>72.069999999999993</v>
      </c>
      <c r="N2020" s="6">
        <v>72.680000000000007</v>
      </c>
      <c r="O2020" s="6">
        <v>71.540001000000004</v>
      </c>
      <c r="P2020" s="6">
        <v>71.870002999999997</v>
      </c>
      <c r="Q2020" s="6">
        <v>65.026459000000003</v>
      </c>
      <c r="R2020" s="58">
        <v>2210500</v>
      </c>
    </row>
    <row r="2021" spans="12:18" x14ac:dyDescent="0.25">
      <c r="L2021" s="26">
        <v>42375</v>
      </c>
      <c r="M2021" s="6">
        <v>71.290001000000004</v>
      </c>
      <c r="N2021" s="6">
        <v>72.300003000000004</v>
      </c>
      <c r="O2021" s="6">
        <v>71.150002000000001</v>
      </c>
      <c r="P2021" s="6">
        <v>72.010002</v>
      </c>
      <c r="Q2021" s="6">
        <v>65.153121999999996</v>
      </c>
      <c r="R2021" s="58">
        <v>2504000</v>
      </c>
    </row>
    <row r="2022" spans="12:18" x14ac:dyDescent="0.25">
      <c r="L2022" s="26">
        <v>42376</v>
      </c>
      <c r="M2022" s="6">
        <v>71.089995999999999</v>
      </c>
      <c r="N2022" s="6">
        <v>71.279999000000004</v>
      </c>
      <c r="O2022" s="6">
        <v>70.260002</v>
      </c>
      <c r="P2022" s="6">
        <v>70.370002999999997</v>
      </c>
      <c r="Q2022" s="6">
        <v>63.669285000000002</v>
      </c>
      <c r="R2022" s="58">
        <v>1933200</v>
      </c>
    </row>
    <row r="2023" spans="12:18" x14ac:dyDescent="0.25">
      <c r="L2023" s="26">
        <v>42377</v>
      </c>
      <c r="M2023" s="6">
        <v>71.339995999999999</v>
      </c>
      <c r="N2023" s="6">
        <v>72.389999000000003</v>
      </c>
      <c r="O2023" s="6">
        <v>70.379997000000003</v>
      </c>
      <c r="P2023" s="6">
        <v>71.480002999999996</v>
      </c>
      <c r="Q2023" s="6">
        <v>64.673591999999999</v>
      </c>
      <c r="R2023" s="58">
        <v>3157400</v>
      </c>
    </row>
    <row r="2024" spans="12:18" x14ac:dyDescent="0.25">
      <c r="L2024" s="26">
        <v>42380</v>
      </c>
      <c r="M2024" s="6">
        <v>71.669998000000007</v>
      </c>
      <c r="N2024" s="6">
        <v>71.919998000000007</v>
      </c>
      <c r="O2024" s="6">
        <v>71.029999000000004</v>
      </c>
      <c r="P2024" s="6">
        <v>71.550003000000004</v>
      </c>
      <c r="Q2024" s="6">
        <v>64.736937999999995</v>
      </c>
      <c r="R2024" s="58">
        <v>1184200</v>
      </c>
    </row>
    <row r="2025" spans="12:18" x14ac:dyDescent="0.25">
      <c r="L2025" s="26">
        <v>42381</v>
      </c>
      <c r="M2025" s="6">
        <v>71.959998999999996</v>
      </c>
      <c r="N2025" s="6">
        <v>72.139999000000003</v>
      </c>
      <c r="O2025" s="6">
        <v>70.680000000000007</v>
      </c>
      <c r="P2025" s="6">
        <v>71.470000999999996</v>
      </c>
      <c r="Q2025" s="6">
        <v>64.664542999999995</v>
      </c>
      <c r="R2025" s="58">
        <v>1645500</v>
      </c>
    </row>
    <row r="2026" spans="12:18" x14ac:dyDescent="0.25">
      <c r="L2026" s="26">
        <v>42382</v>
      </c>
      <c r="M2026" s="6">
        <v>71.540001000000004</v>
      </c>
      <c r="N2026" s="6">
        <v>72.239998</v>
      </c>
      <c r="O2026" s="6">
        <v>70.870002999999997</v>
      </c>
      <c r="P2026" s="6">
        <v>70.900002000000001</v>
      </c>
      <c r="Q2026" s="6">
        <v>64.148810999999995</v>
      </c>
      <c r="R2026" s="58">
        <v>1365600</v>
      </c>
    </row>
    <row r="2027" spans="12:18" x14ac:dyDescent="0.25">
      <c r="L2027" s="26">
        <v>42383</v>
      </c>
      <c r="M2027" s="6">
        <v>70.949996999999996</v>
      </c>
      <c r="N2027" s="6">
        <v>72.300003000000004</v>
      </c>
      <c r="O2027" s="6">
        <v>70.779999000000004</v>
      </c>
      <c r="P2027" s="6">
        <v>71.669998000000007</v>
      </c>
      <c r="Q2027" s="6">
        <v>64.845496999999995</v>
      </c>
      <c r="R2027" s="58">
        <v>1681000</v>
      </c>
    </row>
    <row r="2028" spans="12:18" x14ac:dyDescent="0.25">
      <c r="L2028" s="26">
        <v>42384</v>
      </c>
      <c r="M2028" s="6">
        <v>70.309997999999993</v>
      </c>
      <c r="N2028" s="6">
        <v>71.180000000000007</v>
      </c>
      <c r="O2028" s="6">
        <v>70.290001000000004</v>
      </c>
      <c r="P2028" s="6">
        <v>70.669998000000007</v>
      </c>
      <c r="Q2028" s="6">
        <v>63.940711999999998</v>
      </c>
      <c r="R2028" s="58">
        <v>2252300</v>
      </c>
    </row>
    <row r="2029" spans="12:18" x14ac:dyDescent="0.25">
      <c r="L2029" s="26">
        <v>42388</v>
      </c>
      <c r="M2029" s="6">
        <v>71.019997000000004</v>
      </c>
      <c r="N2029" s="6">
        <v>71.559997999999993</v>
      </c>
      <c r="O2029" s="6">
        <v>70.809997999999993</v>
      </c>
      <c r="P2029" s="6">
        <v>71.239998</v>
      </c>
      <c r="Q2029" s="6">
        <v>64.456421000000006</v>
      </c>
      <c r="R2029" s="58">
        <v>1529900</v>
      </c>
    </row>
    <row r="2030" spans="12:18" x14ac:dyDescent="0.25">
      <c r="L2030" s="26">
        <v>42389</v>
      </c>
      <c r="M2030" s="6">
        <v>70.769997000000004</v>
      </c>
      <c r="N2030" s="6">
        <v>70.989998</v>
      </c>
      <c r="O2030" s="6">
        <v>68.730002999999996</v>
      </c>
      <c r="P2030" s="6">
        <v>70.099997999999999</v>
      </c>
      <c r="Q2030" s="6">
        <v>63.424987999999999</v>
      </c>
      <c r="R2030" s="58">
        <v>2496600</v>
      </c>
    </row>
    <row r="2031" spans="12:18" x14ac:dyDescent="0.25">
      <c r="L2031" s="26">
        <v>42390</v>
      </c>
      <c r="M2031" s="6">
        <v>70.120002999999997</v>
      </c>
      <c r="N2031" s="6">
        <v>70.529999000000004</v>
      </c>
      <c r="O2031" s="6">
        <v>69.069999999999993</v>
      </c>
      <c r="P2031" s="6">
        <v>69.959998999999996</v>
      </c>
      <c r="Q2031" s="6">
        <v>63.298324999999998</v>
      </c>
      <c r="R2031" s="58">
        <v>2301500</v>
      </c>
    </row>
    <row r="2032" spans="12:18" x14ac:dyDescent="0.25">
      <c r="L2032" s="26">
        <v>42391</v>
      </c>
      <c r="M2032" s="6">
        <v>70.660004000000001</v>
      </c>
      <c r="N2032" s="6">
        <v>71.819999999999993</v>
      </c>
      <c r="O2032" s="6">
        <v>70.279999000000004</v>
      </c>
      <c r="P2032" s="6">
        <v>71.610000999999997</v>
      </c>
      <c r="Q2032" s="6">
        <v>64.791206000000003</v>
      </c>
      <c r="R2032" s="58">
        <v>1366200</v>
      </c>
    </row>
    <row r="2033" spans="12:18" x14ac:dyDescent="0.25">
      <c r="L2033" s="26">
        <v>42394</v>
      </c>
      <c r="M2033" s="6">
        <v>71.199996999999996</v>
      </c>
      <c r="N2033" s="6">
        <v>71.650002000000001</v>
      </c>
      <c r="O2033" s="6">
        <v>70.440002000000007</v>
      </c>
      <c r="P2033" s="6">
        <v>70.510002</v>
      </c>
      <c r="Q2033" s="6">
        <v>63.795948000000003</v>
      </c>
      <c r="R2033" s="58">
        <v>1289300</v>
      </c>
    </row>
    <row r="2034" spans="12:18" x14ac:dyDescent="0.25">
      <c r="L2034" s="26">
        <v>42395</v>
      </c>
      <c r="M2034" s="6">
        <v>70.339995999999999</v>
      </c>
      <c r="N2034" s="6">
        <v>71.5</v>
      </c>
      <c r="O2034" s="6">
        <v>70.099997999999999</v>
      </c>
      <c r="P2034" s="6">
        <v>71.199996999999996</v>
      </c>
      <c r="Q2034" s="6">
        <v>64.420249999999996</v>
      </c>
      <c r="R2034" s="58">
        <v>2239600</v>
      </c>
    </row>
    <row r="2035" spans="12:18" x14ac:dyDescent="0.25">
      <c r="L2035" s="26">
        <v>42396</v>
      </c>
      <c r="M2035" s="6">
        <v>71.419998000000007</v>
      </c>
      <c r="N2035" s="6">
        <v>72.330001999999993</v>
      </c>
      <c r="O2035" s="6">
        <v>71.139999000000003</v>
      </c>
      <c r="P2035" s="6">
        <v>71.569999999999993</v>
      </c>
      <c r="Q2035" s="6">
        <v>64.755013000000005</v>
      </c>
      <c r="R2035" s="58">
        <v>1244800</v>
      </c>
    </row>
    <row r="2036" spans="12:18" x14ac:dyDescent="0.25">
      <c r="L2036" s="26">
        <v>42397</v>
      </c>
      <c r="M2036" s="6">
        <v>72.139999000000003</v>
      </c>
      <c r="N2036" s="6">
        <v>73.239998</v>
      </c>
      <c r="O2036" s="6">
        <v>71.720000999999996</v>
      </c>
      <c r="P2036" s="6">
        <v>72.790001000000004</v>
      </c>
      <c r="Q2036" s="6">
        <v>65.858856000000003</v>
      </c>
      <c r="R2036" s="58">
        <v>1580100</v>
      </c>
    </row>
    <row r="2037" spans="12:18" x14ac:dyDescent="0.25">
      <c r="L2037" s="26">
        <v>42398</v>
      </c>
      <c r="M2037" s="6">
        <v>73.099997999999999</v>
      </c>
      <c r="N2037" s="6">
        <v>73.889999000000003</v>
      </c>
      <c r="O2037" s="6">
        <v>72.75</v>
      </c>
      <c r="P2037" s="6">
        <v>73.440002000000007</v>
      </c>
      <c r="Q2037" s="6">
        <v>66.446960000000004</v>
      </c>
      <c r="R2037" s="58">
        <v>2324900</v>
      </c>
    </row>
    <row r="2038" spans="12:18" x14ac:dyDescent="0.25">
      <c r="L2038" s="26">
        <v>42401</v>
      </c>
      <c r="M2038" s="6">
        <v>73.319999999999993</v>
      </c>
      <c r="N2038" s="6">
        <v>74.139999000000003</v>
      </c>
      <c r="O2038" s="6">
        <v>73.040001000000004</v>
      </c>
      <c r="P2038" s="6">
        <v>73.589995999999999</v>
      </c>
      <c r="Q2038" s="6">
        <v>66.582656999999998</v>
      </c>
      <c r="R2038" s="58">
        <v>2443800</v>
      </c>
    </row>
    <row r="2039" spans="12:18" x14ac:dyDescent="0.25">
      <c r="L2039" s="26">
        <v>42402</v>
      </c>
      <c r="M2039" s="6">
        <v>73.040001000000004</v>
      </c>
      <c r="N2039" s="6">
        <v>73.260002</v>
      </c>
      <c r="O2039" s="6">
        <v>72.269997000000004</v>
      </c>
      <c r="P2039" s="6">
        <v>72.379997000000003</v>
      </c>
      <c r="Q2039" s="6">
        <v>65.487885000000006</v>
      </c>
      <c r="R2039" s="58">
        <v>2211000</v>
      </c>
    </row>
    <row r="2040" spans="12:18" x14ac:dyDescent="0.25">
      <c r="L2040" s="26">
        <v>42403</v>
      </c>
      <c r="M2040" s="6">
        <v>72.470000999999996</v>
      </c>
      <c r="N2040" s="6">
        <v>73.050003000000004</v>
      </c>
      <c r="O2040" s="6">
        <v>71.519997000000004</v>
      </c>
      <c r="P2040" s="6">
        <v>72.339995999999999</v>
      </c>
      <c r="Q2040" s="6">
        <v>65.451697999999993</v>
      </c>
      <c r="R2040" s="58">
        <v>1896700</v>
      </c>
    </row>
    <row r="2041" spans="12:18" x14ac:dyDescent="0.25">
      <c r="L2041" s="26">
        <v>42404</v>
      </c>
      <c r="M2041" s="6">
        <v>72.019997000000004</v>
      </c>
      <c r="N2041" s="6">
        <v>72.25</v>
      </c>
      <c r="O2041" s="6">
        <v>71.400002000000001</v>
      </c>
      <c r="P2041" s="6">
        <v>71.830001999999993</v>
      </c>
      <c r="Q2041" s="6">
        <v>64.990250000000003</v>
      </c>
      <c r="R2041" s="58">
        <v>1598600</v>
      </c>
    </row>
    <row r="2042" spans="12:18" x14ac:dyDescent="0.25">
      <c r="L2042" s="26">
        <v>42405</v>
      </c>
      <c r="M2042" s="6">
        <v>72.160004000000001</v>
      </c>
      <c r="N2042" s="6">
        <v>72.599997999999999</v>
      </c>
      <c r="O2042" s="6">
        <v>71.569999999999993</v>
      </c>
      <c r="P2042" s="6">
        <v>71.839995999999999</v>
      </c>
      <c r="Q2042" s="6">
        <v>64.999290000000002</v>
      </c>
      <c r="R2042" s="58">
        <v>2253000</v>
      </c>
    </row>
    <row r="2043" spans="12:18" x14ac:dyDescent="0.25">
      <c r="L2043" s="26">
        <v>42408</v>
      </c>
      <c r="M2043" s="6">
        <v>71.279999000000004</v>
      </c>
      <c r="N2043" s="6">
        <v>71.949996999999996</v>
      </c>
      <c r="O2043" s="6">
        <v>70.739998</v>
      </c>
      <c r="P2043" s="6">
        <v>71.309997999999993</v>
      </c>
      <c r="Q2043" s="6">
        <v>64.519760000000005</v>
      </c>
      <c r="R2043" s="58">
        <v>2469600</v>
      </c>
    </row>
    <row r="2044" spans="12:18" x14ac:dyDescent="0.25">
      <c r="L2044" s="26">
        <v>42409</v>
      </c>
      <c r="M2044" s="6">
        <v>70.629997000000003</v>
      </c>
      <c r="N2044" s="6">
        <v>71.690002000000007</v>
      </c>
      <c r="O2044" s="6">
        <v>70.330001999999993</v>
      </c>
      <c r="P2044" s="6">
        <v>71.400002000000001</v>
      </c>
      <c r="Q2044" s="6">
        <v>64.601203999999996</v>
      </c>
      <c r="R2044" s="58">
        <v>2642700</v>
      </c>
    </row>
    <row r="2045" spans="12:18" x14ac:dyDescent="0.25">
      <c r="L2045" s="26">
        <v>42410</v>
      </c>
      <c r="M2045" s="6">
        <v>71.790001000000004</v>
      </c>
      <c r="N2045" s="6">
        <v>72.5</v>
      </c>
      <c r="O2045" s="6">
        <v>70.559997999999993</v>
      </c>
      <c r="P2045" s="6">
        <v>70.860000999999997</v>
      </c>
      <c r="Q2045" s="6">
        <v>64.112610000000004</v>
      </c>
      <c r="R2045" s="58">
        <v>3244700</v>
      </c>
    </row>
    <row r="2046" spans="12:18" x14ac:dyDescent="0.25">
      <c r="L2046" s="26">
        <v>42411</v>
      </c>
      <c r="M2046" s="6">
        <v>72.5</v>
      </c>
      <c r="N2046" s="6">
        <v>74.519997000000004</v>
      </c>
      <c r="O2046" s="6">
        <v>72.230002999999996</v>
      </c>
      <c r="P2046" s="6">
        <v>73.690002000000007</v>
      </c>
      <c r="Q2046" s="6">
        <v>66.673141000000001</v>
      </c>
      <c r="R2046" s="58">
        <v>5267100</v>
      </c>
    </row>
    <row r="2047" spans="12:18" x14ac:dyDescent="0.25">
      <c r="L2047" s="26">
        <v>42412</v>
      </c>
      <c r="M2047" s="6">
        <v>74.330001999999993</v>
      </c>
      <c r="N2047" s="6">
        <v>75.010002</v>
      </c>
      <c r="O2047" s="6">
        <v>73.699996999999996</v>
      </c>
      <c r="P2047" s="6">
        <v>74.970000999999996</v>
      </c>
      <c r="Q2047" s="6">
        <v>67.831260999999998</v>
      </c>
      <c r="R2047" s="58">
        <v>2599400</v>
      </c>
    </row>
    <row r="2048" spans="12:18" x14ac:dyDescent="0.25">
      <c r="L2048" s="26">
        <v>42416</v>
      </c>
      <c r="M2048" s="6">
        <v>74.339995999999999</v>
      </c>
      <c r="N2048" s="6">
        <v>75.330001999999993</v>
      </c>
      <c r="O2048" s="6">
        <v>73.830001999999993</v>
      </c>
      <c r="P2048" s="6">
        <v>75.190002000000007</v>
      </c>
      <c r="Q2048" s="6">
        <v>68.030311999999995</v>
      </c>
      <c r="R2048" s="58">
        <v>3284700</v>
      </c>
    </row>
    <row r="2049" spans="12:18" x14ac:dyDescent="0.25">
      <c r="L2049" s="26">
        <v>42417</v>
      </c>
      <c r="M2049" s="6">
        <v>75.099997999999999</v>
      </c>
      <c r="N2049" s="6">
        <v>76.239998</v>
      </c>
      <c r="O2049" s="6">
        <v>75.010002</v>
      </c>
      <c r="P2049" s="6">
        <v>75.75</v>
      </c>
      <c r="Q2049" s="6">
        <v>68.536986999999996</v>
      </c>
      <c r="R2049" s="58">
        <v>2535500</v>
      </c>
    </row>
    <row r="2050" spans="12:18" x14ac:dyDescent="0.25">
      <c r="L2050" s="26">
        <v>42418</v>
      </c>
      <c r="M2050" s="6">
        <v>75.839995999999999</v>
      </c>
      <c r="N2050" s="6">
        <v>76</v>
      </c>
      <c r="O2050" s="6">
        <v>74.809997999999993</v>
      </c>
      <c r="P2050" s="6">
        <v>75.790001000000004</v>
      </c>
      <c r="Q2050" s="6">
        <v>68.573188999999999</v>
      </c>
      <c r="R2050" s="58">
        <v>2039400</v>
      </c>
    </row>
    <row r="2051" spans="12:18" x14ac:dyDescent="0.25">
      <c r="L2051" s="26">
        <v>42419</v>
      </c>
      <c r="M2051" s="6">
        <v>75.610000999999997</v>
      </c>
      <c r="N2051" s="6">
        <v>75.760002</v>
      </c>
      <c r="O2051" s="6">
        <v>74.989998</v>
      </c>
      <c r="P2051" s="6">
        <v>75.519997000000004</v>
      </c>
      <c r="Q2051" s="6">
        <v>68.328879999999998</v>
      </c>
      <c r="R2051" s="58">
        <v>2124700</v>
      </c>
    </row>
    <row r="2052" spans="12:18" x14ac:dyDescent="0.25">
      <c r="L2052" s="26">
        <v>42422</v>
      </c>
      <c r="M2052" s="6">
        <v>75.519997000000004</v>
      </c>
      <c r="N2052" s="6">
        <v>75.519997000000004</v>
      </c>
      <c r="O2052" s="6">
        <v>73.400002000000001</v>
      </c>
      <c r="P2052" s="6">
        <v>73.819999999999993</v>
      </c>
      <c r="Q2052" s="6">
        <v>66.790763999999996</v>
      </c>
      <c r="R2052" s="58">
        <v>3852900</v>
      </c>
    </row>
    <row r="2053" spans="12:18" x14ac:dyDescent="0.25">
      <c r="L2053" s="26">
        <v>42423</v>
      </c>
      <c r="M2053" s="6">
        <v>73.550003000000004</v>
      </c>
      <c r="N2053" s="6">
        <v>74.580001999999993</v>
      </c>
      <c r="O2053" s="6">
        <v>73.540001000000004</v>
      </c>
      <c r="P2053" s="6">
        <v>74.120002999999997</v>
      </c>
      <c r="Q2053" s="6">
        <v>67.062201999999999</v>
      </c>
      <c r="R2053" s="58">
        <v>2809500</v>
      </c>
    </row>
    <row r="2054" spans="12:18" x14ac:dyDescent="0.25">
      <c r="L2054" s="26">
        <v>42424</v>
      </c>
      <c r="M2054" s="6">
        <v>73.919998000000007</v>
      </c>
      <c r="N2054" s="6">
        <v>74.25</v>
      </c>
      <c r="O2054" s="6">
        <v>73.529999000000004</v>
      </c>
      <c r="P2054" s="6">
        <v>73.910004000000001</v>
      </c>
      <c r="Q2054" s="6">
        <v>66.872208000000001</v>
      </c>
      <c r="R2054" s="58">
        <v>2257000</v>
      </c>
    </row>
    <row r="2055" spans="12:18" x14ac:dyDescent="0.25">
      <c r="L2055" s="26">
        <v>42425</v>
      </c>
      <c r="M2055" s="6">
        <v>74.139999000000003</v>
      </c>
      <c r="N2055" s="6">
        <v>74.970000999999996</v>
      </c>
      <c r="O2055" s="6">
        <v>74.040001000000004</v>
      </c>
      <c r="P2055" s="6">
        <v>74.910004000000001</v>
      </c>
      <c r="Q2055" s="6">
        <v>67.776984999999996</v>
      </c>
      <c r="R2055" s="58">
        <v>2081500</v>
      </c>
    </row>
    <row r="2056" spans="12:18" x14ac:dyDescent="0.25">
      <c r="L2056" s="26">
        <v>42426</v>
      </c>
      <c r="M2056" s="6">
        <v>74.580001999999993</v>
      </c>
      <c r="N2056" s="6">
        <v>74.910004000000001</v>
      </c>
      <c r="O2056" s="6">
        <v>72.900002000000001</v>
      </c>
      <c r="P2056" s="6">
        <v>73.449996999999996</v>
      </c>
      <c r="Q2056" s="6">
        <v>66.902557000000002</v>
      </c>
      <c r="R2056" s="58">
        <v>2872200</v>
      </c>
    </row>
    <row r="2057" spans="12:18" x14ac:dyDescent="0.25">
      <c r="L2057" s="26">
        <v>42429</v>
      </c>
      <c r="M2057" s="6">
        <v>73.239998</v>
      </c>
      <c r="N2057" s="6">
        <v>74.510002</v>
      </c>
      <c r="O2057" s="6">
        <v>73.069999999999993</v>
      </c>
      <c r="P2057" s="6">
        <v>74.019997000000004</v>
      </c>
      <c r="Q2057" s="6">
        <v>67.421745000000001</v>
      </c>
      <c r="R2057" s="58">
        <v>2097600</v>
      </c>
    </row>
    <row r="2058" spans="12:18" x14ac:dyDescent="0.25">
      <c r="L2058" s="26">
        <v>42430</v>
      </c>
      <c r="M2058" s="6">
        <v>74.559997999999993</v>
      </c>
      <c r="N2058" s="6">
        <v>74.669998000000007</v>
      </c>
      <c r="O2058" s="6">
        <v>74</v>
      </c>
      <c r="P2058" s="6">
        <v>74.169998000000007</v>
      </c>
      <c r="Q2058" s="6">
        <v>67.558364999999995</v>
      </c>
      <c r="R2058" s="58">
        <v>1841600</v>
      </c>
    </row>
    <row r="2059" spans="12:18" x14ac:dyDescent="0.25">
      <c r="L2059" s="26">
        <v>42431</v>
      </c>
      <c r="M2059" s="6">
        <v>73.900002000000001</v>
      </c>
      <c r="N2059" s="6">
        <v>75.139999000000003</v>
      </c>
      <c r="O2059" s="6">
        <v>73.110000999999997</v>
      </c>
      <c r="P2059" s="6">
        <v>75.089995999999999</v>
      </c>
      <c r="Q2059" s="6">
        <v>68.396361999999996</v>
      </c>
      <c r="R2059" s="58">
        <v>3353000</v>
      </c>
    </row>
    <row r="2060" spans="12:18" x14ac:dyDescent="0.25">
      <c r="L2060" s="26">
        <v>42432</v>
      </c>
      <c r="M2060" s="6">
        <v>74.709998999999996</v>
      </c>
      <c r="N2060" s="6">
        <v>74.900002000000001</v>
      </c>
      <c r="O2060" s="6">
        <v>74.160004000000001</v>
      </c>
      <c r="P2060" s="6">
        <v>74.839995999999999</v>
      </c>
      <c r="Q2060" s="6">
        <v>68.168639999999996</v>
      </c>
      <c r="R2060" s="58">
        <v>2161500</v>
      </c>
    </row>
    <row r="2061" spans="12:18" x14ac:dyDescent="0.25">
      <c r="L2061" s="26">
        <v>42433</v>
      </c>
      <c r="M2061" s="6">
        <v>74.839995999999999</v>
      </c>
      <c r="N2061" s="6">
        <v>75.5</v>
      </c>
      <c r="O2061" s="6">
        <v>74.510002</v>
      </c>
      <c r="P2061" s="6">
        <v>75.230002999999996</v>
      </c>
      <c r="Q2061" s="6">
        <v>68.523880000000005</v>
      </c>
      <c r="R2061" s="58">
        <v>1701300</v>
      </c>
    </row>
    <row r="2062" spans="12:18" x14ac:dyDescent="0.25">
      <c r="L2062" s="26">
        <v>42436</v>
      </c>
      <c r="M2062" s="6">
        <v>74.940002000000007</v>
      </c>
      <c r="N2062" s="6">
        <v>75.199996999999996</v>
      </c>
      <c r="O2062" s="6">
        <v>74.639999000000003</v>
      </c>
      <c r="P2062" s="6">
        <v>74.930000000000007</v>
      </c>
      <c r="Q2062" s="6">
        <v>68.250609999999995</v>
      </c>
      <c r="R2062" s="58">
        <v>1456600</v>
      </c>
    </row>
    <row r="2063" spans="12:18" x14ac:dyDescent="0.25">
      <c r="L2063" s="26">
        <v>42437</v>
      </c>
      <c r="M2063" s="6">
        <v>74.639999000000003</v>
      </c>
      <c r="N2063" s="6">
        <v>75.129997000000003</v>
      </c>
      <c r="O2063" s="6">
        <v>74.5</v>
      </c>
      <c r="P2063" s="6">
        <v>74.839995999999999</v>
      </c>
      <c r="Q2063" s="6">
        <v>68.168639999999996</v>
      </c>
      <c r="R2063" s="58">
        <v>1227600</v>
      </c>
    </row>
    <row r="2064" spans="12:18" x14ac:dyDescent="0.25">
      <c r="L2064" s="26">
        <v>42438</v>
      </c>
      <c r="M2064" s="6">
        <v>75.25</v>
      </c>
      <c r="N2064" s="6">
        <v>75.919998000000007</v>
      </c>
      <c r="O2064" s="6">
        <v>74.980002999999996</v>
      </c>
      <c r="P2064" s="6">
        <v>75.199996999999996</v>
      </c>
      <c r="Q2064" s="6">
        <v>68.496551999999994</v>
      </c>
      <c r="R2064" s="58">
        <v>1299100</v>
      </c>
    </row>
    <row r="2065" spans="12:18" x14ac:dyDescent="0.25">
      <c r="L2065" s="26">
        <v>42439</v>
      </c>
      <c r="M2065" s="6">
        <v>75.199996999999996</v>
      </c>
      <c r="N2065" s="6">
        <v>75.610000999999997</v>
      </c>
      <c r="O2065" s="6">
        <v>74.860000999999997</v>
      </c>
      <c r="P2065" s="6">
        <v>75.239998</v>
      </c>
      <c r="Q2065" s="6">
        <v>68.532989999999998</v>
      </c>
      <c r="R2065" s="58">
        <v>1358500</v>
      </c>
    </row>
    <row r="2066" spans="12:18" x14ac:dyDescent="0.25">
      <c r="L2066" s="26">
        <v>42440</v>
      </c>
      <c r="M2066" s="6">
        <v>75.5</v>
      </c>
      <c r="N2066" s="6">
        <v>75.699996999999996</v>
      </c>
      <c r="O2066" s="6">
        <v>75.099997999999999</v>
      </c>
      <c r="P2066" s="6">
        <v>75.529999000000004</v>
      </c>
      <c r="Q2066" s="6">
        <v>68.797127000000003</v>
      </c>
      <c r="R2066" s="58">
        <v>1205800</v>
      </c>
    </row>
    <row r="2067" spans="12:18" x14ac:dyDescent="0.25">
      <c r="L2067" s="26">
        <v>42443</v>
      </c>
      <c r="M2067" s="6">
        <v>75.300003000000004</v>
      </c>
      <c r="N2067" s="6">
        <v>75.419998000000007</v>
      </c>
      <c r="O2067" s="6">
        <v>74.720000999999996</v>
      </c>
      <c r="P2067" s="6">
        <v>74.949996999999996</v>
      </c>
      <c r="Q2067" s="6">
        <v>68.268822</v>
      </c>
      <c r="R2067" s="58">
        <v>2089700</v>
      </c>
    </row>
    <row r="2068" spans="12:18" x14ac:dyDescent="0.25">
      <c r="L2068" s="26">
        <v>42444</v>
      </c>
      <c r="M2068" s="6">
        <v>74.519997000000004</v>
      </c>
      <c r="N2068" s="6">
        <v>75.360000999999997</v>
      </c>
      <c r="O2068" s="6">
        <v>74.220000999999996</v>
      </c>
      <c r="P2068" s="6">
        <v>75.089995999999999</v>
      </c>
      <c r="Q2068" s="6">
        <v>68.396361999999996</v>
      </c>
      <c r="R2068" s="58">
        <v>1208000</v>
      </c>
    </row>
    <row r="2069" spans="12:18" x14ac:dyDescent="0.25">
      <c r="L2069" s="26">
        <v>42445</v>
      </c>
      <c r="M2069" s="6">
        <v>75.349997999999999</v>
      </c>
      <c r="N2069" s="6">
        <v>75.860000999999997</v>
      </c>
      <c r="O2069" s="6">
        <v>74.5</v>
      </c>
      <c r="P2069" s="6">
        <v>75.629997000000003</v>
      </c>
      <c r="Q2069" s="6">
        <v>68.888221999999999</v>
      </c>
      <c r="R2069" s="58">
        <v>1732200</v>
      </c>
    </row>
    <row r="2070" spans="12:18" x14ac:dyDescent="0.25">
      <c r="L2070" s="26">
        <v>42446</v>
      </c>
      <c r="M2070" s="6">
        <v>75.919998000000007</v>
      </c>
      <c r="N2070" s="6">
        <v>76.809997999999993</v>
      </c>
      <c r="O2070" s="6">
        <v>75.699996999999996</v>
      </c>
      <c r="P2070" s="6">
        <v>76.440002000000007</v>
      </c>
      <c r="Q2070" s="6">
        <v>69.626014999999995</v>
      </c>
      <c r="R2070" s="58">
        <v>2155500</v>
      </c>
    </row>
    <row r="2071" spans="12:18" x14ac:dyDescent="0.25">
      <c r="L2071" s="26">
        <v>42447</v>
      </c>
      <c r="M2071" s="6">
        <v>76.529999000000004</v>
      </c>
      <c r="N2071" s="6">
        <v>76.580001999999993</v>
      </c>
      <c r="O2071" s="6">
        <v>75.839995999999999</v>
      </c>
      <c r="P2071" s="6">
        <v>76.160004000000001</v>
      </c>
      <c r="Q2071" s="6">
        <v>69.370987</v>
      </c>
      <c r="R2071" s="58">
        <v>2632200</v>
      </c>
    </row>
    <row r="2072" spans="12:18" x14ac:dyDescent="0.25">
      <c r="L2072" s="26">
        <v>42450</v>
      </c>
      <c r="M2072" s="6">
        <v>75.790001000000004</v>
      </c>
      <c r="N2072" s="6">
        <v>76.050003000000004</v>
      </c>
      <c r="O2072" s="6">
        <v>75.389999000000003</v>
      </c>
      <c r="P2072" s="6">
        <v>75.489998</v>
      </c>
      <c r="Q2072" s="6">
        <v>68.760688999999999</v>
      </c>
      <c r="R2072" s="58">
        <v>1480900</v>
      </c>
    </row>
    <row r="2073" spans="12:18" x14ac:dyDescent="0.25">
      <c r="L2073" s="26">
        <v>42451</v>
      </c>
      <c r="M2073" s="6">
        <v>75.260002</v>
      </c>
      <c r="N2073" s="6">
        <v>75.440002000000007</v>
      </c>
      <c r="O2073" s="6">
        <v>74.099997999999999</v>
      </c>
      <c r="P2073" s="6">
        <v>74.430000000000007</v>
      </c>
      <c r="Q2073" s="6">
        <v>67.795180999999999</v>
      </c>
      <c r="R2073" s="58">
        <v>2415900</v>
      </c>
    </row>
    <row r="2074" spans="12:18" x14ac:dyDescent="0.25">
      <c r="L2074" s="26">
        <v>42452</v>
      </c>
      <c r="M2074" s="6">
        <v>74.339995999999999</v>
      </c>
      <c r="N2074" s="6">
        <v>75.360000999999997</v>
      </c>
      <c r="O2074" s="6">
        <v>74.199996999999996</v>
      </c>
      <c r="P2074" s="6">
        <v>75.040001000000004</v>
      </c>
      <c r="Q2074" s="6">
        <v>68.350814999999997</v>
      </c>
      <c r="R2074" s="58">
        <v>1841200</v>
      </c>
    </row>
    <row r="2075" spans="12:18" x14ac:dyDescent="0.25">
      <c r="L2075" s="26">
        <v>42453</v>
      </c>
      <c r="M2075" s="6">
        <v>74.930000000000007</v>
      </c>
      <c r="N2075" s="6">
        <v>75.629997000000003</v>
      </c>
      <c r="O2075" s="6">
        <v>74.680000000000007</v>
      </c>
      <c r="P2075" s="6">
        <v>75.440002000000007</v>
      </c>
      <c r="Q2075" s="6">
        <v>68.715157000000005</v>
      </c>
      <c r="R2075" s="58">
        <v>1212000</v>
      </c>
    </row>
    <row r="2076" spans="12:18" x14ac:dyDescent="0.25">
      <c r="L2076" s="26">
        <v>42457</v>
      </c>
      <c r="M2076" s="6">
        <v>75.370002999999997</v>
      </c>
      <c r="N2076" s="6">
        <v>75.959998999999996</v>
      </c>
      <c r="O2076" s="6">
        <v>75.330001999999993</v>
      </c>
      <c r="P2076" s="6">
        <v>75.669998000000007</v>
      </c>
      <c r="Q2076" s="6">
        <v>68.924644000000001</v>
      </c>
      <c r="R2076" s="58">
        <v>1088100</v>
      </c>
    </row>
    <row r="2077" spans="12:18" x14ac:dyDescent="0.25">
      <c r="L2077" s="26">
        <v>42458</v>
      </c>
      <c r="M2077" s="6">
        <v>75.779999000000004</v>
      </c>
      <c r="N2077" s="6">
        <v>76.889999000000003</v>
      </c>
      <c r="O2077" s="6">
        <v>75.629997000000003</v>
      </c>
      <c r="P2077" s="6">
        <v>76.589995999999999</v>
      </c>
      <c r="Q2077" s="6">
        <v>69.762634000000006</v>
      </c>
      <c r="R2077" s="58">
        <v>1524800</v>
      </c>
    </row>
    <row r="2078" spans="12:18" x14ac:dyDescent="0.25">
      <c r="L2078" s="26">
        <v>42459</v>
      </c>
      <c r="M2078" s="6">
        <v>76.849997999999999</v>
      </c>
      <c r="N2078" s="6">
        <v>77.050003000000004</v>
      </c>
      <c r="O2078" s="6">
        <v>76.5</v>
      </c>
      <c r="P2078" s="6">
        <v>76.830001999999993</v>
      </c>
      <c r="Q2078" s="6">
        <v>69.981246999999996</v>
      </c>
      <c r="R2078" s="58">
        <v>1698900</v>
      </c>
    </row>
    <row r="2079" spans="12:18" x14ac:dyDescent="0.25">
      <c r="L2079" s="26">
        <v>42460</v>
      </c>
      <c r="M2079" s="6">
        <v>76.529999000000004</v>
      </c>
      <c r="N2079" s="6">
        <v>76.870002999999997</v>
      </c>
      <c r="O2079" s="6">
        <v>76.389999000000003</v>
      </c>
      <c r="P2079" s="6">
        <v>76.550003000000004</v>
      </c>
      <c r="Q2079" s="6">
        <v>69.726219</v>
      </c>
      <c r="R2079" s="58">
        <v>1902300</v>
      </c>
    </row>
    <row r="2080" spans="12:18" x14ac:dyDescent="0.25">
      <c r="L2080" s="26">
        <v>42461</v>
      </c>
      <c r="M2080" s="6">
        <v>75.709998999999996</v>
      </c>
      <c r="N2080" s="6">
        <v>77.980002999999996</v>
      </c>
      <c r="O2080" s="6">
        <v>75.529999000000004</v>
      </c>
      <c r="P2080" s="6">
        <v>77.860000999999997</v>
      </c>
      <c r="Q2080" s="6">
        <v>70.919449</v>
      </c>
      <c r="R2080" s="58">
        <v>2277400</v>
      </c>
    </row>
    <row r="2081" spans="12:18" x14ac:dyDescent="0.25">
      <c r="L2081" s="26">
        <v>42464</v>
      </c>
      <c r="M2081" s="6">
        <v>77.879997000000003</v>
      </c>
      <c r="N2081" s="6">
        <v>78.099997999999999</v>
      </c>
      <c r="O2081" s="6">
        <v>77</v>
      </c>
      <c r="P2081" s="6">
        <v>78.069999999999993</v>
      </c>
      <c r="Q2081" s="6">
        <v>71.110718000000006</v>
      </c>
      <c r="R2081" s="58">
        <v>2986200</v>
      </c>
    </row>
    <row r="2082" spans="12:18" x14ac:dyDescent="0.25">
      <c r="L2082" s="26">
        <v>42465</v>
      </c>
      <c r="M2082" s="6">
        <v>77.900002000000001</v>
      </c>
      <c r="N2082" s="6">
        <v>78</v>
      </c>
      <c r="O2082" s="6">
        <v>76.650002000000001</v>
      </c>
      <c r="P2082" s="6">
        <v>76.809997999999993</v>
      </c>
      <c r="Q2082" s="6">
        <v>69.963036000000002</v>
      </c>
      <c r="R2082" s="58">
        <v>1991700</v>
      </c>
    </row>
    <row r="2083" spans="12:18" x14ac:dyDescent="0.25">
      <c r="L2083" s="26">
        <v>42466</v>
      </c>
      <c r="M2083" s="6">
        <v>78</v>
      </c>
      <c r="N2083" s="6">
        <v>78</v>
      </c>
      <c r="O2083" s="6">
        <v>77.269997000000004</v>
      </c>
      <c r="P2083" s="6">
        <v>77.779999000000004</v>
      </c>
      <c r="Q2083" s="6">
        <v>70.846573000000006</v>
      </c>
      <c r="R2083" s="58">
        <v>2271700</v>
      </c>
    </row>
    <row r="2084" spans="12:18" x14ac:dyDescent="0.25">
      <c r="L2084" s="26">
        <v>42467</v>
      </c>
      <c r="M2084" s="6">
        <v>77.580001999999993</v>
      </c>
      <c r="N2084" s="6">
        <v>77.680000000000007</v>
      </c>
      <c r="O2084" s="6">
        <v>76.900002000000001</v>
      </c>
      <c r="P2084" s="6">
        <v>77.110000999999997</v>
      </c>
      <c r="Q2084" s="6">
        <v>70.236289999999997</v>
      </c>
      <c r="R2084" s="58">
        <v>1232600</v>
      </c>
    </row>
    <row r="2085" spans="12:18" x14ac:dyDescent="0.25">
      <c r="L2085" s="26">
        <v>42468</v>
      </c>
      <c r="M2085" s="6">
        <v>77.209998999999996</v>
      </c>
      <c r="N2085" s="6">
        <v>77.5</v>
      </c>
      <c r="O2085" s="6">
        <v>76.809997999999993</v>
      </c>
      <c r="P2085" s="6">
        <v>77.25</v>
      </c>
      <c r="Q2085" s="6">
        <v>70.363815000000002</v>
      </c>
      <c r="R2085" s="58">
        <v>819000</v>
      </c>
    </row>
    <row r="2086" spans="12:18" x14ac:dyDescent="0.25">
      <c r="L2086" s="26">
        <v>42471</v>
      </c>
      <c r="M2086" s="6">
        <v>77.360000999999997</v>
      </c>
      <c r="N2086" s="6">
        <v>77.830001999999993</v>
      </c>
      <c r="O2086" s="6">
        <v>76.879997000000003</v>
      </c>
      <c r="P2086" s="6">
        <v>76.989998</v>
      </c>
      <c r="Q2086" s="6">
        <v>70.126983999999993</v>
      </c>
      <c r="R2086" s="58">
        <v>1091800</v>
      </c>
    </row>
    <row r="2087" spans="12:18" x14ac:dyDescent="0.25">
      <c r="L2087" s="26">
        <v>42472</v>
      </c>
      <c r="M2087" s="6">
        <v>77.050003000000004</v>
      </c>
      <c r="N2087" s="6">
        <v>77.529999000000004</v>
      </c>
      <c r="O2087" s="6">
        <v>77.050003000000004</v>
      </c>
      <c r="P2087" s="6">
        <v>77.339995999999999</v>
      </c>
      <c r="Q2087" s="6">
        <v>70.445778000000004</v>
      </c>
      <c r="R2087" s="58">
        <v>908300</v>
      </c>
    </row>
    <row r="2088" spans="12:18" x14ac:dyDescent="0.25">
      <c r="L2088" s="26">
        <v>42473</v>
      </c>
      <c r="M2088" s="6">
        <v>77.5</v>
      </c>
      <c r="N2088" s="6">
        <v>77.5</v>
      </c>
      <c r="O2088" s="6">
        <v>76.400002000000001</v>
      </c>
      <c r="P2088" s="6">
        <v>76.669998000000007</v>
      </c>
      <c r="Q2088" s="6">
        <v>69.835517999999993</v>
      </c>
      <c r="R2088" s="58">
        <v>1685100</v>
      </c>
    </row>
    <row r="2089" spans="12:18" x14ac:dyDescent="0.25">
      <c r="L2089" s="26">
        <v>42474</v>
      </c>
      <c r="M2089" s="6">
        <v>76.690002000000007</v>
      </c>
      <c r="N2089" s="6">
        <v>77.110000999999997</v>
      </c>
      <c r="O2089" s="6">
        <v>76.400002000000001</v>
      </c>
      <c r="P2089" s="6">
        <v>76.459998999999996</v>
      </c>
      <c r="Q2089" s="6">
        <v>69.644217999999995</v>
      </c>
      <c r="R2089" s="58">
        <v>2090400</v>
      </c>
    </row>
    <row r="2090" spans="12:18" x14ac:dyDescent="0.25">
      <c r="L2090" s="26">
        <v>42475</v>
      </c>
      <c r="M2090" s="6">
        <v>76.510002</v>
      </c>
      <c r="N2090" s="6">
        <v>77.599997999999999</v>
      </c>
      <c r="O2090" s="6">
        <v>76.400002000000001</v>
      </c>
      <c r="P2090" s="6">
        <v>77.550003000000004</v>
      </c>
      <c r="Q2090" s="6">
        <v>70.637069999999994</v>
      </c>
      <c r="R2090" s="58">
        <v>2237500</v>
      </c>
    </row>
    <row r="2091" spans="12:18" x14ac:dyDescent="0.25">
      <c r="L2091" s="26">
        <v>42478</v>
      </c>
      <c r="M2091" s="6">
        <v>77.550003000000004</v>
      </c>
      <c r="N2091" s="6">
        <v>77.849997999999999</v>
      </c>
      <c r="O2091" s="6">
        <v>77.139999000000003</v>
      </c>
      <c r="P2091" s="6">
        <v>77.669998000000007</v>
      </c>
      <c r="Q2091" s="6">
        <v>70.746368000000004</v>
      </c>
      <c r="R2091" s="58">
        <v>1399200</v>
      </c>
    </row>
    <row r="2092" spans="12:18" x14ac:dyDescent="0.25">
      <c r="L2092" s="26">
        <v>42479</v>
      </c>
      <c r="M2092" s="6">
        <v>77.690002000000007</v>
      </c>
      <c r="N2092" s="6">
        <v>77.790001000000004</v>
      </c>
      <c r="O2092" s="6">
        <v>77.050003000000004</v>
      </c>
      <c r="P2092" s="6">
        <v>77.599997999999999</v>
      </c>
      <c r="Q2092" s="6">
        <v>70.682616999999993</v>
      </c>
      <c r="R2092" s="58">
        <v>1541800</v>
      </c>
    </row>
    <row r="2093" spans="12:18" x14ac:dyDescent="0.25">
      <c r="L2093" s="26">
        <v>42480</v>
      </c>
      <c r="M2093" s="6">
        <v>77.540001000000004</v>
      </c>
      <c r="N2093" s="6">
        <v>77.769997000000004</v>
      </c>
      <c r="O2093" s="6">
        <v>76.580001999999993</v>
      </c>
      <c r="P2093" s="6">
        <v>76.709998999999996</v>
      </c>
      <c r="Q2093" s="6">
        <v>69.871941000000007</v>
      </c>
      <c r="R2093" s="58">
        <v>1373300</v>
      </c>
    </row>
    <row r="2094" spans="12:18" x14ac:dyDescent="0.25">
      <c r="L2094" s="26">
        <v>42481</v>
      </c>
      <c r="M2094" s="6">
        <v>76.75</v>
      </c>
      <c r="N2094" s="6">
        <v>76.75</v>
      </c>
      <c r="O2094" s="6">
        <v>74.959998999999996</v>
      </c>
      <c r="P2094" s="6">
        <v>74.989998</v>
      </c>
      <c r="Q2094" s="6">
        <v>68.305274999999995</v>
      </c>
      <c r="R2094" s="58">
        <v>1862300</v>
      </c>
    </row>
    <row r="2095" spans="12:18" x14ac:dyDescent="0.25">
      <c r="L2095" s="26">
        <v>42482</v>
      </c>
      <c r="M2095" s="6">
        <v>75.069999999999993</v>
      </c>
      <c r="N2095" s="6">
        <v>75.349997999999999</v>
      </c>
      <c r="O2095" s="6">
        <v>74.720000999999996</v>
      </c>
      <c r="P2095" s="6">
        <v>75.279999000000004</v>
      </c>
      <c r="Q2095" s="6">
        <v>68.569412</v>
      </c>
      <c r="R2095" s="58">
        <v>1210600</v>
      </c>
    </row>
    <row r="2096" spans="12:18" x14ac:dyDescent="0.25">
      <c r="L2096" s="26">
        <v>42485</v>
      </c>
      <c r="M2096" s="6">
        <v>75.150002000000001</v>
      </c>
      <c r="N2096" s="6">
        <v>76.099997999999999</v>
      </c>
      <c r="O2096" s="6">
        <v>75.120002999999997</v>
      </c>
      <c r="P2096" s="6">
        <v>75.800003000000004</v>
      </c>
      <c r="Q2096" s="6">
        <v>69.043075999999999</v>
      </c>
      <c r="R2096" s="58">
        <v>1312100</v>
      </c>
    </row>
    <row r="2097" spans="12:18" x14ac:dyDescent="0.25">
      <c r="L2097" s="26">
        <v>42486</v>
      </c>
      <c r="M2097" s="6">
        <v>75.910004000000001</v>
      </c>
      <c r="N2097" s="6">
        <v>76.040001000000004</v>
      </c>
      <c r="O2097" s="6">
        <v>75.190002000000007</v>
      </c>
      <c r="P2097" s="6">
        <v>75.319999999999993</v>
      </c>
      <c r="Q2097" s="6">
        <v>68.605850000000004</v>
      </c>
      <c r="R2097" s="58">
        <v>1767900</v>
      </c>
    </row>
    <row r="2098" spans="12:18" x14ac:dyDescent="0.25">
      <c r="L2098" s="26">
        <v>42487</v>
      </c>
      <c r="M2098" s="6">
        <v>75.559997999999993</v>
      </c>
      <c r="N2098" s="6">
        <v>76.639999000000003</v>
      </c>
      <c r="O2098" s="6">
        <v>75.489998</v>
      </c>
      <c r="P2098" s="6">
        <v>76.389999000000003</v>
      </c>
      <c r="Q2098" s="6">
        <v>69.580460000000002</v>
      </c>
      <c r="R2098" s="58">
        <v>1397100</v>
      </c>
    </row>
    <row r="2099" spans="12:18" x14ac:dyDescent="0.25">
      <c r="L2099" s="26">
        <v>42488</v>
      </c>
      <c r="M2099" s="6">
        <v>75.919998000000007</v>
      </c>
      <c r="N2099" s="6">
        <v>76.910004000000001</v>
      </c>
      <c r="O2099" s="6">
        <v>75.790001000000004</v>
      </c>
      <c r="P2099" s="6">
        <v>76.480002999999996</v>
      </c>
      <c r="Q2099" s="6">
        <v>69.662459999999996</v>
      </c>
      <c r="R2099" s="58">
        <v>859500</v>
      </c>
    </row>
    <row r="2100" spans="12:18" x14ac:dyDescent="0.25">
      <c r="L2100" s="26">
        <v>42489</v>
      </c>
      <c r="M2100" s="6">
        <v>76.410004000000001</v>
      </c>
      <c r="N2100" s="6">
        <v>76.940002000000007</v>
      </c>
      <c r="O2100" s="6">
        <v>76.059997999999993</v>
      </c>
      <c r="P2100" s="6">
        <v>76.809997999999993</v>
      </c>
      <c r="Q2100" s="6">
        <v>69.963036000000002</v>
      </c>
      <c r="R2100" s="58">
        <v>1300500</v>
      </c>
    </row>
    <row r="2101" spans="12:18" x14ac:dyDescent="0.25">
      <c r="L2101" s="26">
        <v>42492</v>
      </c>
      <c r="M2101" s="6">
        <v>77</v>
      </c>
      <c r="N2101" s="6">
        <v>77.690002000000007</v>
      </c>
      <c r="O2101" s="6">
        <v>76.800003000000004</v>
      </c>
      <c r="P2101" s="6">
        <v>77.440002000000007</v>
      </c>
      <c r="Q2101" s="6">
        <v>70.536873</v>
      </c>
      <c r="R2101" s="58">
        <v>1427300</v>
      </c>
    </row>
    <row r="2102" spans="12:18" x14ac:dyDescent="0.25">
      <c r="L2102" s="26">
        <v>42493</v>
      </c>
      <c r="M2102" s="6">
        <v>77.129997000000003</v>
      </c>
      <c r="N2102" s="6">
        <v>77.629997000000003</v>
      </c>
      <c r="O2102" s="6">
        <v>76.650002000000001</v>
      </c>
      <c r="P2102" s="6">
        <v>76.849997999999999</v>
      </c>
      <c r="Q2102" s="6">
        <v>69.999458000000004</v>
      </c>
      <c r="R2102" s="58">
        <v>1873200</v>
      </c>
    </row>
    <row r="2103" spans="12:18" x14ac:dyDescent="0.25">
      <c r="L2103" s="26">
        <v>42494</v>
      </c>
      <c r="M2103" s="6">
        <v>76.550003000000004</v>
      </c>
      <c r="N2103" s="6">
        <v>77.349997999999999</v>
      </c>
      <c r="O2103" s="6">
        <v>76.529999000000004</v>
      </c>
      <c r="P2103" s="6">
        <v>77.019997000000004</v>
      </c>
      <c r="Q2103" s="6">
        <v>70.154312000000004</v>
      </c>
      <c r="R2103" s="58">
        <v>3060200</v>
      </c>
    </row>
    <row r="2104" spans="12:18" x14ac:dyDescent="0.25">
      <c r="L2104" s="26">
        <v>42495</v>
      </c>
      <c r="M2104" s="6">
        <v>75.900002000000001</v>
      </c>
      <c r="N2104" s="6">
        <v>76.660004000000001</v>
      </c>
      <c r="O2104" s="6">
        <v>74.879997000000003</v>
      </c>
      <c r="P2104" s="6">
        <v>75.050003000000004</v>
      </c>
      <c r="Q2104" s="6">
        <v>68.359924000000007</v>
      </c>
      <c r="R2104" s="58">
        <v>3398600</v>
      </c>
    </row>
    <row r="2105" spans="12:18" x14ac:dyDescent="0.25">
      <c r="L2105" s="26">
        <v>42496</v>
      </c>
      <c r="M2105" s="6">
        <v>74.910004000000001</v>
      </c>
      <c r="N2105" s="6">
        <v>75.290001000000004</v>
      </c>
      <c r="O2105" s="6">
        <v>73.699996999999996</v>
      </c>
      <c r="P2105" s="6">
        <v>75.019997000000004</v>
      </c>
      <c r="Q2105" s="6">
        <v>68.332595999999995</v>
      </c>
      <c r="R2105" s="58">
        <v>3021200</v>
      </c>
    </row>
    <row r="2106" spans="12:18" x14ac:dyDescent="0.25">
      <c r="L2106" s="26">
        <v>42499</v>
      </c>
      <c r="M2106" s="6">
        <v>75</v>
      </c>
      <c r="N2106" s="6">
        <v>75.690002000000007</v>
      </c>
      <c r="O2106" s="6">
        <v>74.709998999999996</v>
      </c>
      <c r="P2106" s="6">
        <v>75.339995999999999</v>
      </c>
      <c r="Q2106" s="6">
        <v>68.624077</v>
      </c>
      <c r="R2106" s="58">
        <v>2101700</v>
      </c>
    </row>
    <row r="2107" spans="12:18" x14ac:dyDescent="0.25">
      <c r="L2107" s="26">
        <v>42500</v>
      </c>
      <c r="M2107" s="6">
        <v>75.660004000000001</v>
      </c>
      <c r="N2107" s="6">
        <v>76.379997000000003</v>
      </c>
      <c r="O2107" s="6">
        <v>75.599997999999999</v>
      </c>
      <c r="P2107" s="6">
        <v>76.370002999999997</v>
      </c>
      <c r="Q2107" s="6">
        <v>69.562256000000005</v>
      </c>
      <c r="R2107" s="58">
        <v>1957500</v>
      </c>
    </row>
    <row r="2108" spans="12:18" x14ac:dyDescent="0.25">
      <c r="L2108" s="26">
        <v>42501</v>
      </c>
      <c r="M2108" s="6">
        <v>76.25</v>
      </c>
      <c r="N2108" s="6">
        <v>76.919998000000007</v>
      </c>
      <c r="O2108" s="6">
        <v>76.069999999999993</v>
      </c>
      <c r="P2108" s="6">
        <v>76.180000000000007</v>
      </c>
      <c r="Q2108" s="6">
        <v>69.389190999999997</v>
      </c>
      <c r="R2108" s="58">
        <v>1941000</v>
      </c>
    </row>
    <row r="2109" spans="12:18" x14ac:dyDescent="0.25">
      <c r="L2109" s="26">
        <v>42502</v>
      </c>
      <c r="M2109" s="6">
        <v>76.720000999999996</v>
      </c>
      <c r="N2109" s="6">
        <v>77.540001000000004</v>
      </c>
      <c r="O2109" s="6">
        <v>76.620002999999997</v>
      </c>
      <c r="P2109" s="6">
        <v>77.309997999999993</v>
      </c>
      <c r="Q2109" s="6">
        <v>70.418457000000004</v>
      </c>
      <c r="R2109" s="58">
        <v>2172300</v>
      </c>
    </row>
    <row r="2110" spans="12:18" x14ac:dyDescent="0.25">
      <c r="L2110" s="26">
        <v>42503</v>
      </c>
      <c r="M2110" s="6">
        <v>77.110000999999997</v>
      </c>
      <c r="N2110" s="6">
        <v>77.940002000000007</v>
      </c>
      <c r="O2110" s="6">
        <v>76.949996999999996</v>
      </c>
      <c r="P2110" s="6">
        <v>77.190002000000007</v>
      </c>
      <c r="Q2110" s="6">
        <v>70.309157999999996</v>
      </c>
      <c r="R2110" s="58">
        <v>2378600</v>
      </c>
    </row>
    <row r="2111" spans="12:18" x14ac:dyDescent="0.25">
      <c r="L2111" s="26">
        <v>42506</v>
      </c>
      <c r="M2111" s="6">
        <v>77.010002</v>
      </c>
      <c r="N2111" s="6">
        <v>77.440002000000007</v>
      </c>
      <c r="O2111" s="6">
        <v>76.779999000000004</v>
      </c>
      <c r="P2111" s="6">
        <v>77.230002999999996</v>
      </c>
      <c r="Q2111" s="6">
        <v>70.345589000000004</v>
      </c>
      <c r="R2111" s="58">
        <v>1622600</v>
      </c>
    </row>
    <row r="2112" spans="12:18" x14ac:dyDescent="0.25">
      <c r="L2112" s="26">
        <v>42507</v>
      </c>
      <c r="M2112" s="6">
        <v>76.930000000000007</v>
      </c>
      <c r="N2112" s="6">
        <v>77.330001999999993</v>
      </c>
      <c r="O2112" s="6">
        <v>75.139999000000003</v>
      </c>
      <c r="P2112" s="6">
        <v>75.419998000000007</v>
      </c>
      <c r="Q2112" s="6">
        <v>68.696938000000003</v>
      </c>
      <c r="R2112" s="58">
        <v>2099800</v>
      </c>
    </row>
    <row r="2113" spans="12:18" x14ac:dyDescent="0.25">
      <c r="L2113" s="26">
        <v>42508</v>
      </c>
      <c r="M2113" s="6">
        <v>75.300003000000004</v>
      </c>
      <c r="N2113" s="6">
        <v>75.440002000000007</v>
      </c>
      <c r="O2113" s="6">
        <v>74.050003000000004</v>
      </c>
      <c r="P2113" s="6">
        <v>75.040001000000004</v>
      </c>
      <c r="Q2113" s="6">
        <v>68.350814999999997</v>
      </c>
      <c r="R2113" s="58">
        <v>3177800</v>
      </c>
    </row>
    <row r="2114" spans="12:18" x14ac:dyDescent="0.25">
      <c r="L2114" s="26">
        <v>42509</v>
      </c>
      <c r="M2114" s="6">
        <v>74.830001999999993</v>
      </c>
      <c r="N2114" s="6">
        <v>75.370002999999997</v>
      </c>
      <c r="O2114" s="6">
        <v>74.540001000000004</v>
      </c>
      <c r="P2114" s="6">
        <v>75.239998</v>
      </c>
      <c r="Q2114" s="6">
        <v>68.532989999999998</v>
      </c>
      <c r="R2114" s="58">
        <v>1877300</v>
      </c>
    </row>
    <row r="2115" spans="12:18" x14ac:dyDescent="0.25">
      <c r="L2115" s="26">
        <v>42510</v>
      </c>
      <c r="M2115" s="6">
        <v>75.220000999999996</v>
      </c>
      <c r="N2115" s="6">
        <v>75.220000999999996</v>
      </c>
      <c r="O2115" s="6">
        <v>74.110000999999997</v>
      </c>
      <c r="P2115" s="6">
        <v>74.300003000000004</v>
      </c>
      <c r="Q2115" s="6">
        <v>67.676772999999997</v>
      </c>
      <c r="R2115" s="58">
        <v>2587400</v>
      </c>
    </row>
    <row r="2116" spans="12:18" x14ac:dyDescent="0.25">
      <c r="L2116" s="26">
        <v>42513</v>
      </c>
      <c r="M2116" s="6">
        <v>74.300003000000004</v>
      </c>
      <c r="N2116" s="6">
        <v>75.050003000000004</v>
      </c>
      <c r="O2116" s="6">
        <v>74.260002</v>
      </c>
      <c r="P2116" s="6">
        <v>74.410004000000001</v>
      </c>
      <c r="Q2116" s="6">
        <v>67.776984999999996</v>
      </c>
      <c r="R2116" s="58">
        <v>1737800</v>
      </c>
    </row>
    <row r="2117" spans="12:18" x14ac:dyDescent="0.25">
      <c r="L2117" s="26">
        <v>42514</v>
      </c>
      <c r="M2117" s="6">
        <v>74.449996999999996</v>
      </c>
      <c r="N2117" s="6">
        <v>75</v>
      </c>
      <c r="O2117" s="6">
        <v>74.239998</v>
      </c>
      <c r="P2117" s="6">
        <v>74.650002000000001</v>
      </c>
      <c r="Q2117" s="6">
        <v>67.995590000000007</v>
      </c>
      <c r="R2117" s="58">
        <v>1758700</v>
      </c>
    </row>
    <row r="2118" spans="12:18" x14ac:dyDescent="0.25">
      <c r="L2118" s="26">
        <v>42515</v>
      </c>
      <c r="M2118" s="6">
        <v>74.709998999999996</v>
      </c>
      <c r="N2118" s="6">
        <v>75.120002999999997</v>
      </c>
      <c r="O2118" s="6">
        <v>74.5</v>
      </c>
      <c r="P2118" s="6">
        <v>74.75</v>
      </c>
      <c r="Q2118" s="6">
        <v>68.086654999999993</v>
      </c>
      <c r="R2118" s="58">
        <v>1479100</v>
      </c>
    </row>
    <row r="2119" spans="12:18" x14ac:dyDescent="0.25">
      <c r="L2119" s="26">
        <v>42516</v>
      </c>
      <c r="M2119" s="6">
        <v>74.800003000000004</v>
      </c>
      <c r="N2119" s="6">
        <v>75.589995999999999</v>
      </c>
      <c r="O2119" s="6">
        <v>74.790001000000004</v>
      </c>
      <c r="P2119" s="6">
        <v>75.330001999999993</v>
      </c>
      <c r="Q2119" s="6">
        <v>68.614943999999994</v>
      </c>
      <c r="R2119" s="58">
        <v>1653800</v>
      </c>
    </row>
    <row r="2120" spans="12:18" x14ac:dyDescent="0.25">
      <c r="L2120" s="26">
        <v>42517</v>
      </c>
      <c r="M2120" s="6">
        <v>74.980002999999996</v>
      </c>
      <c r="N2120" s="6">
        <v>75.239998</v>
      </c>
      <c r="O2120" s="6">
        <v>74.190002000000007</v>
      </c>
      <c r="P2120" s="6">
        <v>74.489998</v>
      </c>
      <c r="Q2120" s="6">
        <v>68.303191999999996</v>
      </c>
      <c r="R2120" s="58">
        <v>1434600</v>
      </c>
    </row>
    <row r="2121" spans="12:18" x14ac:dyDescent="0.25">
      <c r="L2121" s="26">
        <v>42521</v>
      </c>
      <c r="M2121" s="6">
        <v>74.480002999999996</v>
      </c>
      <c r="N2121" s="6">
        <v>74.919998000000007</v>
      </c>
      <c r="O2121" s="6">
        <v>74.010002</v>
      </c>
      <c r="P2121" s="6">
        <v>74.370002999999997</v>
      </c>
      <c r="Q2121" s="6">
        <v>68.193175999999994</v>
      </c>
      <c r="R2121" s="58">
        <v>3182300</v>
      </c>
    </row>
    <row r="2122" spans="12:18" x14ac:dyDescent="0.25">
      <c r="L2122" s="26">
        <v>42522</v>
      </c>
      <c r="M2122" s="6">
        <v>74.400002000000001</v>
      </c>
      <c r="N2122" s="6">
        <v>75.25</v>
      </c>
      <c r="O2122" s="6">
        <v>74.349997999999999</v>
      </c>
      <c r="P2122" s="6">
        <v>74.900002000000001</v>
      </c>
      <c r="Q2122" s="6">
        <v>68.679160999999993</v>
      </c>
      <c r="R2122" s="58">
        <v>2129500</v>
      </c>
    </row>
    <row r="2123" spans="12:18" x14ac:dyDescent="0.25">
      <c r="L2123" s="26">
        <v>42523</v>
      </c>
      <c r="M2123" s="6">
        <v>74.779999000000004</v>
      </c>
      <c r="N2123" s="6">
        <v>74.819999999999993</v>
      </c>
      <c r="O2123" s="6">
        <v>74.260002</v>
      </c>
      <c r="P2123" s="6">
        <v>74.529999000000004</v>
      </c>
      <c r="Q2123" s="6">
        <v>68.339882000000003</v>
      </c>
      <c r="R2123" s="58">
        <v>1214100</v>
      </c>
    </row>
    <row r="2124" spans="12:18" x14ac:dyDescent="0.25">
      <c r="L2124" s="26">
        <v>42524</v>
      </c>
      <c r="M2124" s="6">
        <v>74.569999999999993</v>
      </c>
      <c r="N2124" s="6">
        <v>75.550003000000004</v>
      </c>
      <c r="O2124" s="6">
        <v>74.569999999999993</v>
      </c>
      <c r="P2124" s="6">
        <v>75.129997000000003</v>
      </c>
      <c r="Q2124" s="6">
        <v>68.890052999999995</v>
      </c>
      <c r="R2124" s="58">
        <v>1636200</v>
      </c>
    </row>
    <row r="2125" spans="12:18" x14ac:dyDescent="0.25">
      <c r="L2125" s="26">
        <v>42527</v>
      </c>
      <c r="M2125" s="6">
        <v>75.139999000000003</v>
      </c>
      <c r="N2125" s="6">
        <v>75.339995999999999</v>
      </c>
      <c r="O2125" s="6">
        <v>74.330001999999993</v>
      </c>
      <c r="P2125" s="6">
        <v>74.519997000000004</v>
      </c>
      <c r="Q2125" s="6">
        <v>68.330696000000003</v>
      </c>
      <c r="R2125" s="58">
        <v>1117400</v>
      </c>
    </row>
    <row r="2126" spans="12:18" x14ac:dyDescent="0.25">
      <c r="L2126" s="26">
        <v>42528</v>
      </c>
      <c r="M2126" s="6">
        <v>74.529999000000004</v>
      </c>
      <c r="N2126" s="6">
        <v>75.459998999999996</v>
      </c>
      <c r="O2126" s="6">
        <v>74.400002000000001</v>
      </c>
      <c r="P2126" s="6">
        <v>75.160004000000001</v>
      </c>
      <c r="Q2126" s="6">
        <v>68.917557000000002</v>
      </c>
      <c r="R2126" s="58">
        <v>1971500</v>
      </c>
    </row>
    <row r="2127" spans="12:18" x14ac:dyDescent="0.25">
      <c r="L2127" s="26">
        <v>42529</v>
      </c>
      <c r="M2127" s="6">
        <v>75.169998000000007</v>
      </c>
      <c r="N2127" s="6">
        <v>76.300003000000004</v>
      </c>
      <c r="O2127" s="6">
        <v>75.080001999999993</v>
      </c>
      <c r="P2127" s="6">
        <v>76.080001999999993</v>
      </c>
      <c r="Q2127" s="6">
        <v>69.761154000000005</v>
      </c>
      <c r="R2127" s="58">
        <v>2052000</v>
      </c>
    </row>
    <row r="2128" spans="12:18" x14ac:dyDescent="0.25">
      <c r="L2128" s="26">
        <v>42530</v>
      </c>
      <c r="M2128" s="6">
        <v>76.040001000000004</v>
      </c>
      <c r="N2128" s="6">
        <v>77.699996999999996</v>
      </c>
      <c r="O2128" s="6">
        <v>75.959998999999996</v>
      </c>
      <c r="P2128" s="6">
        <v>77.690002000000007</v>
      </c>
      <c r="Q2128" s="6">
        <v>71.237442000000001</v>
      </c>
      <c r="R2128" s="58">
        <v>3129700</v>
      </c>
    </row>
    <row r="2129" spans="12:18" x14ac:dyDescent="0.25">
      <c r="L2129" s="26">
        <v>42531</v>
      </c>
      <c r="M2129" s="6">
        <v>77.349997999999999</v>
      </c>
      <c r="N2129" s="6">
        <v>78.180000000000007</v>
      </c>
      <c r="O2129" s="6">
        <v>77.279999000000004</v>
      </c>
      <c r="P2129" s="6">
        <v>78.120002999999997</v>
      </c>
      <c r="Q2129" s="6">
        <v>71.631714000000002</v>
      </c>
      <c r="R2129" s="58">
        <v>3924100</v>
      </c>
    </row>
    <row r="2130" spans="12:18" x14ac:dyDescent="0.25">
      <c r="L2130" s="26">
        <v>42534</v>
      </c>
      <c r="M2130" s="6">
        <v>78</v>
      </c>
      <c r="N2130" s="6">
        <v>78.260002</v>
      </c>
      <c r="O2130" s="6">
        <v>76.800003000000004</v>
      </c>
      <c r="P2130" s="6">
        <v>76.900002000000001</v>
      </c>
      <c r="Q2130" s="6">
        <v>70.513039000000006</v>
      </c>
      <c r="R2130" s="58">
        <v>2455400</v>
      </c>
    </row>
    <row r="2131" spans="12:18" x14ac:dyDescent="0.25">
      <c r="L2131" s="26">
        <v>42535</v>
      </c>
      <c r="M2131" s="6">
        <v>76.569999999999993</v>
      </c>
      <c r="N2131" s="6">
        <v>77.209998999999996</v>
      </c>
      <c r="O2131" s="6">
        <v>75.809997999999993</v>
      </c>
      <c r="P2131" s="6">
        <v>76.879997000000003</v>
      </c>
      <c r="Q2131" s="6">
        <v>70.494704999999996</v>
      </c>
      <c r="R2131" s="58">
        <v>2262900</v>
      </c>
    </row>
    <row r="2132" spans="12:18" x14ac:dyDescent="0.25">
      <c r="L2132" s="26">
        <v>42536</v>
      </c>
      <c r="M2132" s="6">
        <v>76.889999000000003</v>
      </c>
      <c r="N2132" s="6">
        <v>77.069999999999993</v>
      </c>
      <c r="O2132" s="6">
        <v>75.819999999999993</v>
      </c>
      <c r="P2132" s="6">
        <v>76.309997999999993</v>
      </c>
      <c r="Q2132" s="6">
        <v>69.972046000000006</v>
      </c>
      <c r="R2132" s="58">
        <v>1986100</v>
      </c>
    </row>
    <row r="2133" spans="12:18" x14ac:dyDescent="0.25">
      <c r="L2133" s="26">
        <v>42537</v>
      </c>
      <c r="M2133" s="6">
        <v>76.269997000000004</v>
      </c>
      <c r="N2133" s="6">
        <v>77.260002</v>
      </c>
      <c r="O2133" s="6">
        <v>76.099997999999999</v>
      </c>
      <c r="P2133" s="6">
        <v>77.029999000000004</v>
      </c>
      <c r="Q2133" s="6">
        <v>70.632232999999999</v>
      </c>
      <c r="R2133" s="58">
        <v>1740500</v>
      </c>
    </row>
    <row r="2134" spans="12:18" x14ac:dyDescent="0.25">
      <c r="L2134" s="26">
        <v>42538</v>
      </c>
      <c r="M2134" s="6">
        <v>76.970000999999996</v>
      </c>
      <c r="N2134" s="6">
        <v>76.980002999999996</v>
      </c>
      <c r="O2134" s="6">
        <v>75.949996999999996</v>
      </c>
      <c r="P2134" s="6">
        <v>76.769997000000004</v>
      </c>
      <c r="Q2134" s="6">
        <v>70.393828999999997</v>
      </c>
      <c r="R2134" s="58">
        <v>1863600</v>
      </c>
    </row>
    <row r="2135" spans="12:18" x14ac:dyDescent="0.25">
      <c r="L2135" s="26">
        <v>42541</v>
      </c>
      <c r="M2135" s="6">
        <v>77.069999999999993</v>
      </c>
      <c r="N2135" s="6">
        <v>77.470000999999996</v>
      </c>
      <c r="O2135" s="6">
        <v>76.819999999999993</v>
      </c>
      <c r="P2135" s="6">
        <v>76.860000999999997</v>
      </c>
      <c r="Q2135" s="6">
        <v>70.476371999999998</v>
      </c>
      <c r="R2135" s="58">
        <v>1478300</v>
      </c>
    </row>
    <row r="2136" spans="12:18" x14ac:dyDescent="0.25">
      <c r="L2136" s="26">
        <v>42542</v>
      </c>
      <c r="M2136" s="6">
        <v>77.120002999999997</v>
      </c>
      <c r="N2136" s="6">
        <v>77.709998999999996</v>
      </c>
      <c r="O2136" s="6">
        <v>76.959998999999996</v>
      </c>
      <c r="P2136" s="6">
        <v>77.330001999999993</v>
      </c>
      <c r="Q2136" s="6">
        <v>70.907318000000004</v>
      </c>
      <c r="R2136" s="58">
        <v>1735400</v>
      </c>
    </row>
    <row r="2137" spans="12:18" x14ac:dyDescent="0.25">
      <c r="L2137" s="26">
        <v>42543</v>
      </c>
      <c r="M2137" s="6">
        <v>77.379997000000003</v>
      </c>
      <c r="N2137" s="6">
        <v>77.660004000000001</v>
      </c>
      <c r="O2137" s="6">
        <v>77.180000000000007</v>
      </c>
      <c r="P2137" s="6">
        <v>77.349997999999999</v>
      </c>
      <c r="Q2137" s="6">
        <v>70.925667000000004</v>
      </c>
      <c r="R2137" s="58">
        <v>1201600</v>
      </c>
    </row>
    <row r="2138" spans="12:18" x14ac:dyDescent="0.25">
      <c r="L2138" s="26">
        <v>42544</v>
      </c>
      <c r="M2138" s="6">
        <v>77.739998</v>
      </c>
      <c r="N2138" s="6">
        <v>77.830001999999993</v>
      </c>
      <c r="O2138" s="6">
        <v>77.160004000000001</v>
      </c>
      <c r="P2138" s="6">
        <v>77.830001999999993</v>
      </c>
      <c r="Q2138" s="6">
        <v>71.365798999999996</v>
      </c>
      <c r="R2138" s="58">
        <v>978100</v>
      </c>
    </row>
    <row r="2139" spans="12:18" x14ac:dyDescent="0.25">
      <c r="L2139" s="26">
        <v>42545</v>
      </c>
      <c r="M2139" s="6">
        <v>76.419998000000007</v>
      </c>
      <c r="N2139" s="6">
        <v>77.830001999999993</v>
      </c>
      <c r="O2139" s="6">
        <v>76.169998000000007</v>
      </c>
      <c r="P2139" s="6">
        <v>77.190002000000007</v>
      </c>
      <c r="Q2139" s="6">
        <v>70.778960999999995</v>
      </c>
      <c r="R2139" s="58">
        <v>2932400</v>
      </c>
    </row>
    <row r="2140" spans="12:18" x14ac:dyDescent="0.25">
      <c r="L2140" s="26">
        <v>42548</v>
      </c>
      <c r="M2140" s="6">
        <v>76.790001000000004</v>
      </c>
      <c r="N2140" s="6">
        <v>77.269997000000004</v>
      </c>
      <c r="O2140" s="6">
        <v>76.400002000000001</v>
      </c>
      <c r="P2140" s="6">
        <v>76.830001999999993</v>
      </c>
      <c r="Q2140" s="6">
        <v>70.448853</v>
      </c>
      <c r="R2140" s="58">
        <v>2523900</v>
      </c>
    </row>
    <row r="2141" spans="12:18" x14ac:dyDescent="0.25">
      <c r="L2141" s="26">
        <v>42549</v>
      </c>
      <c r="M2141" s="6">
        <v>76.919998000000007</v>
      </c>
      <c r="N2141" s="6">
        <v>77.129997000000003</v>
      </c>
      <c r="O2141" s="6">
        <v>75.580001999999993</v>
      </c>
      <c r="P2141" s="6">
        <v>76.160004000000001</v>
      </c>
      <c r="Q2141" s="6">
        <v>69.834496000000001</v>
      </c>
      <c r="R2141" s="58">
        <v>2092800</v>
      </c>
    </row>
    <row r="2142" spans="12:18" x14ac:dyDescent="0.25">
      <c r="L2142" s="26">
        <v>42550</v>
      </c>
      <c r="M2142" s="6">
        <v>76.580001999999993</v>
      </c>
      <c r="N2142" s="6">
        <v>77.709998999999996</v>
      </c>
      <c r="O2142" s="6">
        <v>76.019997000000004</v>
      </c>
      <c r="P2142" s="6">
        <v>77.569999999999993</v>
      </c>
      <c r="Q2142" s="6">
        <v>71.127396000000005</v>
      </c>
      <c r="R2142" s="58">
        <v>3037600</v>
      </c>
    </row>
    <row r="2143" spans="12:18" x14ac:dyDescent="0.25">
      <c r="L2143" s="26">
        <v>42551</v>
      </c>
      <c r="M2143" s="6">
        <v>77.580001999999993</v>
      </c>
      <c r="N2143" s="6">
        <v>82.57</v>
      </c>
      <c r="O2143" s="6">
        <v>77.550003000000004</v>
      </c>
      <c r="P2143" s="6">
        <v>81.650002000000001</v>
      </c>
      <c r="Q2143" s="6">
        <v>74.868522999999996</v>
      </c>
      <c r="R2143" s="58">
        <v>9125300</v>
      </c>
    </row>
    <row r="2144" spans="12:18" x14ac:dyDescent="0.25">
      <c r="L2144" s="26">
        <v>42552</v>
      </c>
      <c r="M2144" s="6">
        <v>81.440002000000007</v>
      </c>
      <c r="N2144" s="6">
        <v>82.050003000000004</v>
      </c>
      <c r="O2144" s="6">
        <v>80.639999000000003</v>
      </c>
      <c r="P2144" s="6">
        <v>81.599997999999999</v>
      </c>
      <c r="Q2144" s="6">
        <v>74.822685000000007</v>
      </c>
      <c r="R2144" s="58">
        <v>3806000</v>
      </c>
    </row>
    <row r="2145" spans="12:18" x14ac:dyDescent="0.25">
      <c r="L2145" s="26">
        <v>42556</v>
      </c>
      <c r="M2145" s="6">
        <v>81.529999000000004</v>
      </c>
      <c r="N2145" s="6">
        <v>82.589995999999999</v>
      </c>
      <c r="O2145" s="6">
        <v>81.040001000000004</v>
      </c>
      <c r="P2145" s="6">
        <v>82.260002</v>
      </c>
      <c r="Q2145" s="6">
        <v>75.427864</v>
      </c>
      <c r="R2145" s="58">
        <v>2919500</v>
      </c>
    </row>
    <row r="2146" spans="12:18" x14ac:dyDescent="0.25">
      <c r="L2146" s="26">
        <v>42557</v>
      </c>
      <c r="M2146" s="6">
        <v>82.169998000000007</v>
      </c>
      <c r="N2146" s="6">
        <v>82.889999000000003</v>
      </c>
      <c r="O2146" s="6">
        <v>81.989998</v>
      </c>
      <c r="P2146" s="6">
        <v>82.480002999999996</v>
      </c>
      <c r="Q2146" s="6">
        <v>75.629585000000006</v>
      </c>
      <c r="R2146" s="58">
        <v>2938200</v>
      </c>
    </row>
    <row r="2147" spans="12:18" x14ac:dyDescent="0.25">
      <c r="L2147" s="26">
        <v>42558</v>
      </c>
      <c r="M2147" s="6">
        <v>82.940002000000007</v>
      </c>
      <c r="N2147" s="6">
        <v>83.190002000000007</v>
      </c>
      <c r="O2147" s="6">
        <v>82</v>
      </c>
      <c r="P2147" s="6">
        <v>82.269997000000004</v>
      </c>
      <c r="Q2147" s="6">
        <v>75.437034999999995</v>
      </c>
      <c r="R2147" s="58">
        <v>1865600</v>
      </c>
    </row>
    <row r="2148" spans="12:18" x14ac:dyDescent="0.25">
      <c r="L2148" s="26">
        <v>42559</v>
      </c>
      <c r="M2148" s="6">
        <v>82.580001999999993</v>
      </c>
      <c r="N2148" s="6">
        <v>82.709998999999996</v>
      </c>
      <c r="O2148" s="6">
        <v>81.730002999999996</v>
      </c>
      <c r="P2148" s="6">
        <v>82.639999000000003</v>
      </c>
      <c r="Q2148" s="6">
        <v>75.776291000000001</v>
      </c>
      <c r="R2148" s="58">
        <v>1805800</v>
      </c>
    </row>
    <row r="2149" spans="12:18" x14ac:dyDescent="0.25">
      <c r="L2149" s="26">
        <v>42562</v>
      </c>
      <c r="M2149" s="6">
        <v>82.5</v>
      </c>
      <c r="N2149" s="6">
        <v>82.550003000000004</v>
      </c>
      <c r="O2149" s="6">
        <v>81.569999999999993</v>
      </c>
      <c r="P2149" s="6">
        <v>81.690002000000007</v>
      </c>
      <c r="Q2149" s="6">
        <v>74.905204999999995</v>
      </c>
      <c r="R2149" s="58">
        <v>2208100</v>
      </c>
    </row>
    <row r="2150" spans="12:18" x14ac:dyDescent="0.25">
      <c r="L2150" s="26">
        <v>42563</v>
      </c>
      <c r="M2150" s="6">
        <v>81.660004000000001</v>
      </c>
      <c r="N2150" s="6">
        <v>81.949996999999996</v>
      </c>
      <c r="O2150" s="6">
        <v>81.230002999999996</v>
      </c>
      <c r="P2150" s="6">
        <v>81.519997000000004</v>
      </c>
      <c r="Q2150" s="6">
        <v>74.749320999999995</v>
      </c>
      <c r="R2150" s="58">
        <v>1939800</v>
      </c>
    </row>
    <row r="2151" spans="12:18" x14ac:dyDescent="0.25">
      <c r="L2151" s="26">
        <v>42564</v>
      </c>
      <c r="M2151" s="6">
        <v>81.669998000000007</v>
      </c>
      <c r="N2151" s="6">
        <v>83.290001000000004</v>
      </c>
      <c r="O2151" s="6">
        <v>81.449996999999996</v>
      </c>
      <c r="P2151" s="6">
        <v>83.110000999999997</v>
      </c>
      <c r="Q2151" s="6">
        <v>76.207274999999996</v>
      </c>
      <c r="R2151" s="58">
        <v>3009700</v>
      </c>
    </row>
    <row r="2152" spans="12:18" x14ac:dyDescent="0.25">
      <c r="L2152" s="26">
        <v>42565</v>
      </c>
      <c r="M2152" s="6">
        <v>83</v>
      </c>
      <c r="N2152" s="6">
        <v>85.699996999999996</v>
      </c>
      <c r="O2152" s="6">
        <v>83</v>
      </c>
      <c r="P2152" s="6">
        <v>85.32</v>
      </c>
      <c r="Q2152" s="6">
        <v>78.233727000000002</v>
      </c>
      <c r="R2152" s="58">
        <v>7542200</v>
      </c>
    </row>
    <row r="2153" spans="12:18" x14ac:dyDescent="0.25">
      <c r="L2153" s="26">
        <v>42566</v>
      </c>
      <c r="M2153" s="6">
        <v>85.470000999999996</v>
      </c>
      <c r="N2153" s="6">
        <v>86.220000999999996</v>
      </c>
      <c r="O2153" s="6">
        <v>84.93</v>
      </c>
      <c r="P2153" s="6">
        <v>85.989998</v>
      </c>
      <c r="Q2153" s="6">
        <v>78.848061000000001</v>
      </c>
      <c r="R2153" s="58">
        <v>8330900</v>
      </c>
    </row>
    <row r="2154" spans="12:18" x14ac:dyDescent="0.25">
      <c r="L2154" s="26">
        <v>42569</v>
      </c>
      <c r="M2154" s="6">
        <v>85.949996999999996</v>
      </c>
      <c r="N2154" s="6">
        <v>86.379997000000003</v>
      </c>
      <c r="O2154" s="6">
        <v>85.400002000000001</v>
      </c>
      <c r="P2154" s="6">
        <v>85.610000999999997</v>
      </c>
      <c r="Q2154" s="6">
        <v>78.499626000000006</v>
      </c>
      <c r="R2154" s="58">
        <v>3282000</v>
      </c>
    </row>
    <row r="2155" spans="12:18" x14ac:dyDescent="0.25">
      <c r="L2155" s="26">
        <v>42570</v>
      </c>
      <c r="M2155" s="6">
        <v>85.589995999999999</v>
      </c>
      <c r="N2155" s="6">
        <v>87.160004000000001</v>
      </c>
      <c r="O2155" s="6">
        <v>85.400002000000001</v>
      </c>
      <c r="P2155" s="6">
        <v>86.980002999999996</v>
      </c>
      <c r="Q2155" s="6">
        <v>79.755836000000002</v>
      </c>
      <c r="R2155" s="58">
        <v>3168100</v>
      </c>
    </row>
    <row r="2156" spans="12:18" x14ac:dyDescent="0.25">
      <c r="L2156" s="26">
        <v>42571</v>
      </c>
      <c r="M2156" s="6">
        <v>86.900002000000001</v>
      </c>
      <c r="N2156" s="6">
        <v>87</v>
      </c>
      <c r="O2156" s="6">
        <v>82.190002000000007</v>
      </c>
      <c r="P2156" s="6">
        <v>82.260002</v>
      </c>
      <c r="Q2156" s="6">
        <v>75.427864</v>
      </c>
      <c r="R2156" s="58">
        <v>8305000</v>
      </c>
    </row>
    <row r="2157" spans="12:18" x14ac:dyDescent="0.25">
      <c r="L2157" s="26">
        <v>42572</v>
      </c>
      <c r="M2157" s="6">
        <v>82.489998</v>
      </c>
      <c r="N2157" s="6">
        <v>82.940002000000007</v>
      </c>
      <c r="O2157" s="6">
        <v>82.139999000000003</v>
      </c>
      <c r="P2157" s="6">
        <v>82.480002999999996</v>
      </c>
      <c r="Q2157" s="6">
        <v>75.629585000000006</v>
      </c>
      <c r="R2157" s="58">
        <v>2670700</v>
      </c>
    </row>
    <row r="2158" spans="12:18" x14ac:dyDescent="0.25">
      <c r="L2158" s="26">
        <v>42573</v>
      </c>
      <c r="M2158" s="6">
        <v>82.769997000000004</v>
      </c>
      <c r="N2158" s="6">
        <v>82.870002999999997</v>
      </c>
      <c r="O2158" s="6">
        <v>82.260002</v>
      </c>
      <c r="P2158" s="6">
        <v>82.860000999999997</v>
      </c>
      <c r="Q2158" s="6">
        <v>75.978035000000006</v>
      </c>
      <c r="R2158" s="58">
        <v>1555900</v>
      </c>
    </row>
    <row r="2159" spans="12:18" x14ac:dyDescent="0.25">
      <c r="L2159" s="26">
        <v>42576</v>
      </c>
      <c r="M2159" s="6">
        <v>82.800003000000004</v>
      </c>
      <c r="N2159" s="6">
        <v>83.660004000000001</v>
      </c>
      <c r="O2159" s="6">
        <v>82.760002</v>
      </c>
      <c r="P2159" s="6">
        <v>83.510002</v>
      </c>
      <c r="Q2159" s="6">
        <v>76.574036000000007</v>
      </c>
      <c r="R2159" s="58">
        <v>1553100</v>
      </c>
    </row>
    <row r="2160" spans="12:18" x14ac:dyDescent="0.25">
      <c r="L2160" s="26">
        <v>42577</v>
      </c>
      <c r="M2160" s="6">
        <v>83.510002</v>
      </c>
      <c r="N2160" s="6">
        <v>84.029999000000004</v>
      </c>
      <c r="O2160" s="6">
        <v>82.769997000000004</v>
      </c>
      <c r="P2160" s="6">
        <v>82.839995999999999</v>
      </c>
      <c r="Q2160" s="6">
        <v>75.959671</v>
      </c>
      <c r="R2160" s="58">
        <v>1563600</v>
      </c>
    </row>
    <row r="2161" spans="12:18" x14ac:dyDescent="0.25">
      <c r="L2161" s="26">
        <v>42578</v>
      </c>
      <c r="M2161" s="6">
        <v>82.639999000000003</v>
      </c>
      <c r="N2161" s="6">
        <v>82.790001000000004</v>
      </c>
      <c r="O2161" s="6">
        <v>81.080001999999993</v>
      </c>
      <c r="P2161" s="6">
        <v>81.269997000000004</v>
      </c>
      <c r="Q2161" s="6">
        <v>74.520072999999996</v>
      </c>
      <c r="R2161" s="58">
        <v>2944400</v>
      </c>
    </row>
    <row r="2162" spans="12:18" x14ac:dyDescent="0.25">
      <c r="L2162" s="26">
        <v>42579</v>
      </c>
      <c r="M2162" s="6">
        <v>81.349997999999999</v>
      </c>
      <c r="N2162" s="6">
        <v>81.919998000000007</v>
      </c>
      <c r="O2162" s="6">
        <v>81.160004000000001</v>
      </c>
      <c r="P2162" s="6">
        <v>81.790001000000004</v>
      </c>
      <c r="Q2162" s="6">
        <v>74.996894999999995</v>
      </c>
      <c r="R2162" s="58">
        <v>1954100</v>
      </c>
    </row>
    <row r="2163" spans="12:18" x14ac:dyDescent="0.25">
      <c r="L2163" s="26">
        <v>42580</v>
      </c>
      <c r="M2163" s="6">
        <v>81.919998000000007</v>
      </c>
      <c r="N2163" s="6">
        <v>83.089995999999999</v>
      </c>
      <c r="O2163" s="6">
        <v>81.800003000000004</v>
      </c>
      <c r="P2163" s="6">
        <v>82.709998999999996</v>
      </c>
      <c r="Q2163" s="6">
        <v>75.840491999999998</v>
      </c>
      <c r="R2163" s="58">
        <v>1943300</v>
      </c>
    </row>
    <row r="2164" spans="12:18" x14ac:dyDescent="0.25">
      <c r="L2164" s="26">
        <v>42583</v>
      </c>
      <c r="M2164" s="6">
        <v>82.620002999999997</v>
      </c>
      <c r="N2164" s="6">
        <v>82.779999000000004</v>
      </c>
      <c r="O2164" s="6">
        <v>82.019997000000004</v>
      </c>
      <c r="P2164" s="6">
        <v>82.370002999999997</v>
      </c>
      <c r="Q2164" s="6">
        <v>75.528724999999994</v>
      </c>
      <c r="R2164" s="58">
        <v>2005000</v>
      </c>
    </row>
    <row r="2165" spans="12:18" x14ac:dyDescent="0.25">
      <c r="L2165" s="26">
        <v>42584</v>
      </c>
      <c r="M2165" s="6">
        <v>82.379997000000003</v>
      </c>
      <c r="N2165" s="6">
        <v>82.57</v>
      </c>
      <c r="O2165" s="6">
        <v>81.610000999999997</v>
      </c>
      <c r="P2165" s="6">
        <v>81.870002999999997</v>
      </c>
      <c r="Q2165" s="6">
        <v>75.070250999999999</v>
      </c>
      <c r="R2165" s="58">
        <v>1231200</v>
      </c>
    </row>
    <row r="2166" spans="12:18" x14ac:dyDescent="0.25">
      <c r="L2166" s="26">
        <v>42585</v>
      </c>
      <c r="M2166" s="6">
        <v>81.889999000000003</v>
      </c>
      <c r="N2166" s="6">
        <v>81.959998999999996</v>
      </c>
      <c r="O2166" s="6">
        <v>80.569999999999993</v>
      </c>
      <c r="P2166" s="6">
        <v>81.080001999999993</v>
      </c>
      <c r="Q2166" s="6">
        <v>74.345878999999996</v>
      </c>
      <c r="R2166" s="58">
        <v>2330000</v>
      </c>
    </row>
    <row r="2167" spans="12:18" x14ac:dyDescent="0.25">
      <c r="L2167" s="26">
        <v>42586</v>
      </c>
      <c r="M2167" s="6">
        <v>82.440002000000007</v>
      </c>
      <c r="N2167" s="6">
        <v>84.099997999999999</v>
      </c>
      <c r="O2167" s="6">
        <v>82.07</v>
      </c>
      <c r="P2167" s="6">
        <v>82.419998000000007</v>
      </c>
      <c r="Q2167" s="6">
        <v>75.574562</v>
      </c>
      <c r="R2167" s="58">
        <v>2629600</v>
      </c>
    </row>
    <row r="2168" spans="12:18" x14ac:dyDescent="0.25">
      <c r="L2168" s="26">
        <v>42587</v>
      </c>
      <c r="M2168" s="6">
        <v>82.839995999999999</v>
      </c>
      <c r="N2168" s="6">
        <v>83.599997999999999</v>
      </c>
      <c r="O2168" s="6">
        <v>82.370002999999997</v>
      </c>
      <c r="P2168" s="6">
        <v>82.709998999999996</v>
      </c>
      <c r="Q2168" s="6">
        <v>75.840491999999998</v>
      </c>
      <c r="R2168" s="58">
        <v>2490300</v>
      </c>
    </row>
    <row r="2169" spans="12:18" x14ac:dyDescent="0.25">
      <c r="L2169" s="26">
        <v>42590</v>
      </c>
      <c r="M2169" s="6">
        <v>82.889999000000003</v>
      </c>
      <c r="N2169" s="6">
        <v>82.949996999999996</v>
      </c>
      <c r="O2169" s="6">
        <v>81.940002000000007</v>
      </c>
      <c r="P2169" s="6">
        <v>82.919998000000007</v>
      </c>
      <c r="Q2169" s="6">
        <v>76.033051</v>
      </c>
      <c r="R2169" s="58">
        <v>1636300</v>
      </c>
    </row>
    <row r="2170" spans="12:18" x14ac:dyDescent="0.25">
      <c r="L2170" s="26">
        <v>42591</v>
      </c>
      <c r="M2170" s="6">
        <v>82.919998000000007</v>
      </c>
      <c r="N2170" s="6">
        <v>83.209998999999996</v>
      </c>
      <c r="O2170" s="6">
        <v>82.68</v>
      </c>
      <c r="P2170" s="6">
        <v>82.980002999999996</v>
      </c>
      <c r="Q2170" s="6">
        <v>76.088065999999998</v>
      </c>
      <c r="R2170" s="58">
        <v>1048900</v>
      </c>
    </row>
    <row r="2171" spans="12:18" x14ac:dyDescent="0.25">
      <c r="L2171" s="26">
        <v>42592</v>
      </c>
      <c r="M2171" s="6">
        <v>83.029999000000004</v>
      </c>
      <c r="N2171" s="6">
        <v>83.330001999999993</v>
      </c>
      <c r="O2171" s="6">
        <v>82.809997999999993</v>
      </c>
      <c r="P2171" s="6">
        <v>82.959998999999996</v>
      </c>
      <c r="Q2171" s="6">
        <v>76.069716999999997</v>
      </c>
      <c r="R2171" s="58">
        <v>842900</v>
      </c>
    </row>
    <row r="2172" spans="12:18" x14ac:dyDescent="0.25">
      <c r="L2172" s="26">
        <v>42593</v>
      </c>
      <c r="M2172" s="6">
        <v>83.169998000000007</v>
      </c>
      <c r="N2172" s="6">
        <v>84.279999000000004</v>
      </c>
      <c r="O2172" s="6">
        <v>83</v>
      </c>
      <c r="P2172" s="6">
        <v>83.459998999999996</v>
      </c>
      <c r="Q2172" s="6">
        <v>76.528198000000003</v>
      </c>
      <c r="R2172" s="58">
        <v>1826100</v>
      </c>
    </row>
    <row r="2173" spans="12:18" x14ac:dyDescent="0.25">
      <c r="L2173" s="26">
        <v>42594</v>
      </c>
      <c r="M2173" s="6">
        <v>83.5</v>
      </c>
      <c r="N2173" s="6">
        <v>84.010002</v>
      </c>
      <c r="O2173" s="6">
        <v>83.349997999999999</v>
      </c>
      <c r="P2173" s="6">
        <v>83.529999000000004</v>
      </c>
      <c r="Q2173" s="6">
        <v>76.592369000000005</v>
      </c>
      <c r="R2173" s="58">
        <v>1079200</v>
      </c>
    </row>
    <row r="2174" spans="12:18" x14ac:dyDescent="0.25">
      <c r="L2174" s="26">
        <v>42597</v>
      </c>
      <c r="M2174" s="6">
        <v>83.379997000000003</v>
      </c>
      <c r="N2174" s="6">
        <v>83.830001999999993</v>
      </c>
      <c r="O2174" s="6">
        <v>83.18</v>
      </c>
      <c r="P2174" s="6">
        <v>83.389999000000003</v>
      </c>
      <c r="Q2174" s="6">
        <v>76.463988999999998</v>
      </c>
      <c r="R2174" s="58">
        <v>1466500</v>
      </c>
    </row>
    <row r="2175" spans="12:18" x14ac:dyDescent="0.25">
      <c r="L2175" s="26">
        <v>42598</v>
      </c>
      <c r="M2175" s="6">
        <v>83.230002999999996</v>
      </c>
      <c r="N2175" s="6">
        <v>83.360000999999997</v>
      </c>
      <c r="O2175" s="6">
        <v>82.389999000000003</v>
      </c>
      <c r="P2175" s="6">
        <v>82.449996999999996</v>
      </c>
      <c r="Q2175" s="6">
        <v>75.602080999999998</v>
      </c>
      <c r="R2175" s="58">
        <v>1239200</v>
      </c>
    </row>
    <row r="2176" spans="12:18" x14ac:dyDescent="0.25">
      <c r="L2176" s="26">
        <v>42599</v>
      </c>
      <c r="M2176" s="6">
        <v>82.75</v>
      </c>
      <c r="N2176" s="6">
        <v>83.290001000000004</v>
      </c>
      <c r="O2176" s="6">
        <v>81.760002</v>
      </c>
      <c r="P2176" s="6">
        <v>82.57</v>
      </c>
      <c r="Q2176" s="6">
        <v>75.712112000000005</v>
      </c>
      <c r="R2176" s="58">
        <v>2067300</v>
      </c>
    </row>
    <row r="2177" spans="12:18" x14ac:dyDescent="0.25">
      <c r="L2177" s="26">
        <v>42600</v>
      </c>
      <c r="M2177" s="6">
        <v>82.489998</v>
      </c>
      <c r="N2177" s="6">
        <v>83.040001000000004</v>
      </c>
      <c r="O2177" s="6">
        <v>82.330001999999993</v>
      </c>
      <c r="P2177" s="6">
        <v>83.019997000000004</v>
      </c>
      <c r="Q2177" s="6">
        <v>76.124741</v>
      </c>
      <c r="R2177" s="58">
        <v>1671700</v>
      </c>
    </row>
    <row r="2178" spans="12:18" x14ac:dyDescent="0.25">
      <c r="L2178" s="26">
        <v>42601</v>
      </c>
      <c r="M2178" s="6">
        <v>82.849997999999999</v>
      </c>
      <c r="N2178" s="6">
        <v>83.139999000000003</v>
      </c>
      <c r="O2178" s="6">
        <v>82.279999000000004</v>
      </c>
      <c r="P2178" s="6">
        <v>83.040001000000004</v>
      </c>
      <c r="Q2178" s="6">
        <v>76.143073999999999</v>
      </c>
      <c r="R2178" s="58">
        <v>2149000</v>
      </c>
    </row>
    <row r="2179" spans="12:18" x14ac:dyDescent="0.25">
      <c r="L2179" s="26">
        <v>42604</v>
      </c>
      <c r="M2179" s="6">
        <v>83.099997999999999</v>
      </c>
      <c r="N2179" s="6">
        <v>83.349997999999999</v>
      </c>
      <c r="O2179" s="6">
        <v>82.720000999999996</v>
      </c>
      <c r="P2179" s="6">
        <v>83.050003000000004</v>
      </c>
      <c r="Q2179" s="6">
        <v>76.152252000000004</v>
      </c>
      <c r="R2179" s="58">
        <v>1498400</v>
      </c>
    </row>
    <row r="2180" spans="12:18" x14ac:dyDescent="0.25">
      <c r="L2180" s="26">
        <v>42605</v>
      </c>
      <c r="M2180" s="6">
        <v>83.040001000000004</v>
      </c>
      <c r="N2180" s="6">
        <v>83.18</v>
      </c>
      <c r="O2180" s="6">
        <v>82.300003000000004</v>
      </c>
      <c r="P2180" s="6">
        <v>82.690002000000007</v>
      </c>
      <c r="Q2180" s="6">
        <v>75.822151000000005</v>
      </c>
      <c r="R2180" s="58">
        <v>849700</v>
      </c>
    </row>
    <row r="2181" spans="12:18" x14ac:dyDescent="0.25">
      <c r="L2181" s="26">
        <v>42606</v>
      </c>
      <c r="M2181" s="6">
        <v>82.650002000000001</v>
      </c>
      <c r="N2181" s="6">
        <v>82.75</v>
      </c>
      <c r="O2181" s="6">
        <v>81.860000999999997</v>
      </c>
      <c r="P2181" s="6">
        <v>82.339995999999999</v>
      </c>
      <c r="Q2181" s="6">
        <v>75.501213000000007</v>
      </c>
      <c r="R2181" s="58">
        <v>1076700</v>
      </c>
    </row>
    <row r="2182" spans="12:18" x14ac:dyDescent="0.25">
      <c r="L2182" s="26">
        <v>42607</v>
      </c>
      <c r="M2182" s="6">
        <v>82.389999000000003</v>
      </c>
      <c r="N2182" s="6">
        <v>83.650002000000001</v>
      </c>
      <c r="O2182" s="6">
        <v>82.389999000000003</v>
      </c>
      <c r="P2182" s="6">
        <v>82.82</v>
      </c>
      <c r="Q2182" s="6">
        <v>75.941329999999994</v>
      </c>
      <c r="R2182" s="58">
        <v>1674700</v>
      </c>
    </row>
    <row r="2183" spans="12:18" x14ac:dyDescent="0.25">
      <c r="L2183" s="26">
        <v>42608</v>
      </c>
      <c r="M2183" s="6">
        <v>82.790001000000004</v>
      </c>
      <c r="N2183" s="6">
        <v>83.370002999999997</v>
      </c>
      <c r="O2183" s="6">
        <v>82.220000999999996</v>
      </c>
      <c r="P2183" s="6">
        <v>82.370002999999997</v>
      </c>
      <c r="Q2183" s="6">
        <v>75.528724999999994</v>
      </c>
      <c r="R2183" s="58">
        <v>1494800</v>
      </c>
    </row>
    <row r="2184" spans="12:18" x14ac:dyDescent="0.25">
      <c r="L2184" s="26">
        <v>42611</v>
      </c>
      <c r="M2184" s="6">
        <v>82.510002</v>
      </c>
      <c r="N2184" s="6">
        <v>83.230002999999996</v>
      </c>
      <c r="O2184" s="6">
        <v>82.419998000000007</v>
      </c>
      <c r="P2184" s="6">
        <v>83.110000999999997</v>
      </c>
      <c r="Q2184" s="6">
        <v>76.207274999999996</v>
      </c>
      <c r="R2184" s="58">
        <v>2182100</v>
      </c>
    </row>
    <row r="2185" spans="12:18" x14ac:dyDescent="0.25">
      <c r="L2185" s="26">
        <v>42612</v>
      </c>
      <c r="M2185" s="6">
        <v>82.400002000000001</v>
      </c>
      <c r="N2185" s="6">
        <v>82.699996999999996</v>
      </c>
      <c r="O2185" s="6">
        <v>81.669998000000007</v>
      </c>
      <c r="P2185" s="6">
        <v>81.779999000000004</v>
      </c>
      <c r="Q2185" s="6">
        <v>75.459868999999998</v>
      </c>
      <c r="R2185" s="58">
        <v>1636900</v>
      </c>
    </row>
    <row r="2186" spans="12:18" x14ac:dyDescent="0.25">
      <c r="L2186" s="26">
        <v>42613</v>
      </c>
      <c r="M2186" s="6">
        <v>81.889999000000003</v>
      </c>
      <c r="N2186" s="6">
        <v>82.32</v>
      </c>
      <c r="O2186" s="6">
        <v>81.589995999999999</v>
      </c>
      <c r="P2186" s="6">
        <v>82.209998999999996</v>
      </c>
      <c r="Q2186" s="6">
        <v>75.856628000000001</v>
      </c>
      <c r="R2186" s="58">
        <v>1269600</v>
      </c>
    </row>
    <row r="2187" spans="12:18" x14ac:dyDescent="0.25">
      <c r="L2187" s="26">
        <v>42614</v>
      </c>
      <c r="M2187" s="6">
        <v>81.879997000000003</v>
      </c>
      <c r="N2187" s="6">
        <v>82.040001000000004</v>
      </c>
      <c r="O2187" s="6">
        <v>81.309997999999993</v>
      </c>
      <c r="P2187" s="6">
        <v>81.690002000000007</v>
      </c>
      <c r="Q2187" s="6">
        <v>75.376823000000002</v>
      </c>
      <c r="R2187" s="58">
        <v>1543100</v>
      </c>
    </row>
    <row r="2188" spans="12:18" x14ac:dyDescent="0.25">
      <c r="L2188" s="26">
        <v>42615</v>
      </c>
      <c r="M2188" s="6">
        <v>82.169998000000007</v>
      </c>
      <c r="N2188" s="6">
        <v>82.779999000000004</v>
      </c>
      <c r="O2188" s="6">
        <v>82.120002999999997</v>
      </c>
      <c r="P2188" s="6">
        <v>82.419998000000007</v>
      </c>
      <c r="Q2188" s="6">
        <v>76.050385000000006</v>
      </c>
      <c r="R2188" s="58">
        <v>1055500</v>
      </c>
    </row>
    <row r="2189" spans="12:18" x14ac:dyDescent="0.25">
      <c r="L2189" s="26">
        <v>42619</v>
      </c>
      <c r="M2189" s="6">
        <v>82.470000999999996</v>
      </c>
      <c r="N2189" s="6">
        <v>82.779999000000004</v>
      </c>
      <c r="O2189" s="6">
        <v>82.150002000000001</v>
      </c>
      <c r="P2189" s="6">
        <v>82.559997999999993</v>
      </c>
      <c r="Q2189" s="6">
        <v>76.179580999999999</v>
      </c>
      <c r="R2189" s="58">
        <v>944900</v>
      </c>
    </row>
    <row r="2190" spans="12:18" x14ac:dyDescent="0.25">
      <c r="L2190" s="26">
        <v>42620</v>
      </c>
      <c r="M2190" s="6">
        <v>82.25</v>
      </c>
      <c r="N2190" s="6">
        <v>82.379997000000003</v>
      </c>
      <c r="O2190" s="6">
        <v>80.660004000000001</v>
      </c>
      <c r="P2190" s="6">
        <v>80.800003000000004</v>
      </c>
      <c r="Q2190" s="6">
        <v>74.555594999999997</v>
      </c>
      <c r="R2190" s="58">
        <v>2046200</v>
      </c>
    </row>
    <row r="2191" spans="12:18" x14ac:dyDescent="0.25">
      <c r="L2191" s="26">
        <v>42621</v>
      </c>
      <c r="M2191" s="6">
        <v>80.580001999999993</v>
      </c>
      <c r="N2191" s="6">
        <v>80.720000999999996</v>
      </c>
      <c r="O2191" s="6">
        <v>79.919998000000007</v>
      </c>
      <c r="P2191" s="6">
        <v>79.989998</v>
      </c>
      <c r="Q2191" s="6">
        <v>73.808197000000007</v>
      </c>
      <c r="R2191" s="58">
        <v>1897000</v>
      </c>
    </row>
    <row r="2192" spans="12:18" x14ac:dyDescent="0.25">
      <c r="L2192" s="26">
        <v>42622</v>
      </c>
      <c r="M2192" s="6">
        <v>79.489998</v>
      </c>
      <c r="N2192" s="6">
        <v>79.5</v>
      </c>
      <c r="O2192" s="6">
        <v>77.129997000000003</v>
      </c>
      <c r="P2192" s="6">
        <v>77.129997000000003</v>
      </c>
      <c r="Q2192" s="6">
        <v>71.169219999999996</v>
      </c>
      <c r="R2192" s="58">
        <v>2806100</v>
      </c>
    </row>
    <row r="2193" spans="12:18" x14ac:dyDescent="0.25">
      <c r="L2193" s="26">
        <v>42625</v>
      </c>
      <c r="M2193" s="6">
        <v>77.279999000000004</v>
      </c>
      <c r="N2193" s="6">
        <v>79.370002999999997</v>
      </c>
      <c r="O2193" s="6">
        <v>77.25</v>
      </c>
      <c r="P2193" s="6">
        <v>79.129997000000003</v>
      </c>
      <c r="Q2193" s="6">
        <v>73.014656000000002</v>
      </c>
      <c r="R2193" s="58">
        <v>2443700</v>
      </c>
    </row>
    <row r="2194" spans="12:18" x14ac:dyDescent="0.25">
      <c r="L2194" s="26">
        <v>42626</v>
      </c>
      <c r="M2194" s="6">
        <v>78.599997999999999</v>
      </c>
      <c r="N2194" s="6">
        <v>79.059997999999993</v>
      </c>
      <c r="O2194" s="6">
        <v>77.900002000000001</v>
      </c>
      <c r="P2194" s="6">
        <v>78.129997000000003</v>
      </c>
      <c r="Q2194" s="6">
        <v>72.091933999999995</v>
      </c>
      <c r="R2194" s="58">
        <v>1630400</v>
      </c>
    </row>
    <row r="2195" spans="12:18" x14ac:dyDescent="0.25">
      <c r="L2195" s="26">
        <v>42627</v>
      </c>
      <c r="M2195" s="6">
        <v>78.300003000000004</v>
      </c>
      <c r="N2195" s="6">
        <v>78.739998</v>
      </c>
      <c r="O2195" s="6">
        <v>77.830001999999993</v>
      </c>
      <c r="P2195" s="6">
        <v>78.089995999999999</v>
      </c>
      <c r="Q2195" s="6">
        <v>72.055031</v>
      </c>
      <c r="R2195" s="58">
        <v>2302300</v>
      </c>
    </row>
    <row r="2196" spans="12:18" x14ac:dyDescent="0.25">
      <c r="L2196" s="26">
        <v>42628</v>
      </c>
      <c r="M2196" s="6">
        <v>77.769997000000004</v>
      </c>
      <c r="N2196" s="6">
        <v>78.5</v>
      </c>
      <c r="O2196" s="6">
        <v>77.739998</v>
      </c>
      <c r="P2196" s="6">
        <v>78.260002</v>
      </c>
      <c r="Q2196" s="6">
        <v>72.211913999999993</v>
      </c>
      <c r="R2196" s="58">
        <v>2872400</v>
      </c>
    </row>
    <row r="2197" spans="12:18" x14ac:dyDescent="0.25">
      <c r="L2197" s="26">
        <v>42629</v>
      </c>
      <c r="M2197" s="6">
        <v>77.900002000000001</v>
      </c>
      <c r="N2197" s="6">
        <v>78.309997999999993</v>
      </c>
      <c r="O2197" s="6">
        <v>77.589995999999999</v>
      </c>
      <c r="P2197" s="6">
        <v>78.019997000000004</v>
      </c>
      <c r="Q2197" s="6">
        <v>71.990440000000007</v>
      </c>
      <c r="R2197" s="58">
        <v>1957300</v>
      </c>
    </row>
    <row r="2198" spans="12:18" x14ac:dyDescent="0.25">
      <c r="L2198" s="26">
        <v>42632</v>
      </c>
      <c r="M2198" s="6">
        <v>78.040001000000004</v>
      </c>
      <c r="N2198" s="6">
        <v>78.540001000000004</v>
      </c>
      <c r="O2198" s="6">
        <v>77.839995999999999</v>
      </c>
      <c r="P2198" s="6">
        <v>78.169998000000007</v>
      </c>
      <c r="Q2198" s="6">
        <v>72.128853000000007</v>
      </c>
      <c r="R2198" s="58">
        <v>1139400</v>
      </c>
    </row>
    <row r="2199" spans="12:18" x14ac:dyDescent="0.25">
      <c r="L2199" s="26">
        <v>42633</v>
      </c>
      <c r="M2199" s="6">
        <v>78.580001999999993</v>
      </c>
      <c r="N2199" s="6">
        <v>78.690002000000007</v>
      </c>
      <c r="O2199" s="6">
        <v>77.269997000000004</v>
      </c>
      <c r="P2199" s="6">
        <v>77.279999000000004</v>
      </c>
      <c r="Q2199" s="6">
        <v>71.307640000000006</v>
      </c>
      <c r="R2199" s="58">
        <v>1448600</v>
      </c>
    </row>
    <row r="2200" spans="12:18" x14ac:dyDescent="0.25">
      <c r="L2200" s="26">
        <v>42634</v>
      </c>
      <c r="M2200" s="6">
        <v>77.379997000000003</v>
      </c>
      <c r="N2200" s="6">
        <v>77.709998999999996</v>
      </c>
      <c r="O2200" s="6">
        <v>76.900002000000001</v>
      </c>
      <c r="P2200" s="6">
        <v>77.580001999999993</v>
      </c>
      <c r="Q2200" s="6">
        <v>71.584450000000004</v>
      </c>
      <c r="R2200" s="58">
        <v>1581900</v>
      </c>
    </row>
    <row r="2201" spans="12:18" x14ac:dyDescent="0.25">
      <c r="L2201" s="26">
        <v>42635</v>
      </c>
      <c r="M2201" s="6">
        <v>77.919998000000007</v>
      </c>
      <c r="N2201" s="6">
        <v>78.400002000000001</v>
      </c>
      <c r="O2201" s="6">
        <v>77.790001000000004</v>
      </c>
      <c r="P2201" s="6">
        <v>78.220000999999996</v>
      </c>
      <c r="Q2201" s="6">
        <v>72.174980000000005</v>
      </c>
      <c r="R2201" s="58">
        <v>2098400</v>
      </c>
    </row>
    <row r="2202" spans="12:18" x14ac:dyDescent="0.25">
      <c r="L2202" s="26">
        <v>42636</v>
      </c>
      <c r="M2202" s="6">
        <v>77.900002000000001</v>
      </c>
      <c r="N2202" s="6">
        <v>78.099997999999999</v>
      </c>
      <c r="O2202" s="6">
        <v>77.680000000000007</v>
      </c>
      <c r="P2202" s="6">
        <v>77.709998999999996</v>
      </c>
      <c r="Q2202" s="6">
        <v>71.704398999999995</v>
      </c>
      <c r="R2202" s="58">
        <v>780000</v>
      </c>
    </row>
    <row r="2203" spans="12:18" x14ac:dyDescent="0.25">
      <c r="L2203" s="26">
        <v>42639</v>
      </c>
      <c r="M2203" s="6">
        <v>77.5</v>
      </c>
      <c r="N2203" s="6">
        <v>77.660004000000001</v>
      </c>
      <c r="O2203" s="6">
        <v>77.25</v>
      </c>
      <c r="P2203" s="6">
        <v>77.389999000000003</v>
      </c>
      <c r="Q2203" s="6">
        <v>71.409126000000001</v>
      </c>
      <c r="R2203" s="58">
        <v>1211000</v>
      </c>
    </row>
    <row r="2204" spans="12:18" x14ac:dyDescent="0.25">
      <c r="L2204" s="26">
        <v>42640</v>
      </c>
      <c r="M2204" s="6">
        <v>77.660004000000001</v>
      </c>
      <c r="N2204" s="6">
        <v>77.730002999999996</v>
      </c>
      <c r="O2204" s="6">
        <v>77.059997999999993</v>
      </c>
      <c r="P2204" s="6">
        <v>77.379997000000003</v>
      </c>
      <c r="Q2204" s="6">
        <v>71.399910000000006</v>
      </c>
      <c r="R2204" s="58">
        <v>825400</v>
      </c>
    </row>
    <row r="2205" spans="12:18" x14ac:dyDescent="0.25">
      <c r="L2205" s="26">
        <v>42641</v>
      </c>
      <c r="M2205" s="6">
        <v>77.379997000000003</v>
      </c>
      <c r="N2205" s="6">
        <v>77.889999000000003</v>
      </c>
      <c r="O2205" s="6">
        <v>77.349997999999999</v>
      </c>
      <c r="P2205" s="6">
        <v>77.819999999999993</v>
      </c>
      <c r="Q2205" s="6">
        <v>71.805892999999998</v>
      </c>
      <c r="R2205" s="58">
        <v>1117700</v>
      </c>
    </row>
    <row r="2206" spans="12:18" x14ac:dyDescent="0.25">
      <c r="L2206" s="26">
        <v>42642</v>
      </c>
      <c r="M2206" s="6">
        <v>77.809997999999993</v>
      </c>
      <c r="N2206" s="6">
        <v>78.069999999999993</v>
      </c>
      <c r="O2206" s="6">
        <v>77.230002999999996</v>
      </c>
      <c r="P2206" s="6">
        <v>77.260002</v>
      </c>
      <c r="Q2206" s="6">
        <v>71.289176999999995</v>
      </c>
      <c r="R2206" s="58">
        <v>845400</v>
      </c>
    </row>
    <row r="2207" spans="12:18" x14ac:dyDescent="0.25">
      <c r="L2207" s="26">
        <v>42643</v>
      </c>
      <c r="M2207" s="6">
        <v>77.440002000000007</v>
      </c>
      <c r="N2207" s="6">
        <v>78.019997000000004</v>
      </c>
      <c r="O2207" s="6">
        <v>77.440002000000007</v>
      </c>
      <c r="P2207" s="6">
        <v>77.470000999999996</v>
      </c>
      <c r="Q2207" s="6">
        <v>71.482956000000001</v>
      </c>
      <c r="R2207" s="58">
        <v>1444700</v>
      </c>
    </row>
    <row r="2208" spans="12:18" x14ac:dyDescent="0.25">
      <c r="L2208" s="26">
        <v>42646</v>
      </c>
      <c r="M2208" s="6">
        <v>77.209998999999996</v>
      </c>
      <c r="N2208" s="6">
        <v>77.419998000000007</v>
      </c>
      <c r="O2208" s="6">
        <v>76.830001999999993</v>
      </c>
      <c r="P2208" s="6">
        <v>77.25</v>
      </c>
      <c r="Q2208" s="6">
        <v>71.279961</v>
      </c>
      <c r="R2208" s="58">
        <v>1311200</v>
      </c>
    </row>
    <row r="2209" spans="12:18" x14ac:dyDescent="0.25">
      <c r="L2209" s="26">
        <v>42647</v>
      </c>
      <c r="M2209" s="6">
        <v>77.010002</v>
      </c>
      <c r="N2209" s="6">
        <v>77.129997000000003</v>
      </c>
      <c r="O2209" s="6">
        <v>76.040001000000004</v>
      </c>
      <c r="P2209" s="6">
        <v>76.150002000000001</v>
      </c>
      <c r="Q2209" s="6">
        <v>70.264961</v>
      </c>
      <c r="R2209" s="58">
        <v>1601800</v>
      </c>
    </row>
    <row r="2210" spans="12:18" x14ac:dyDescent="0.25">
      <c r="L2210" s="26">
        <v>42648</v>
      </c>
      <c r="M2210" s="6">
        <v>76.25</v>
      </c>
      <c r="N2210" s="6">
        <v>76.470000999999996</v>
      </c>
      <c r="O2210" s="6">
        <v>75.290001000000004</v>
      </c>
      <c r="P2210" s="6">
        <v>76.180000000000007</v>
      </c>
      <c r="Q2210" s="6">
        <v>70.292641000000003</v>
      </c>
      <c r="R2210" s="58">
        <v>2441300</v>
      </c>
    </row>
    <row r="2211" spans="12:18" x14ac:dyDescent="0.25">
      <c r="L2211" s="26">
        <v>42649</v>
      </c>
      <c r="M2211" s="6">
        <v>75.940002000000007</v>
      </c>
      <c r="N2211" s="6">
        <v>76.169998000000007</v>
      </c>
      <c r="O2211" s="6">
        <v>75.480002999999996</v>
      </c>
      <c r="P2211" s="6">
        <v>75.970000999999996</v>
      </c>
      <c r="Q2211" s="6">
        <v>70.098868999999993</v>
      </c>
      <c r="R2211" s="58">
        <v>1688800</v>
      </c>
    </row>
    <row r="2212" spans="12:18" x14ac:dyDescent="0.25">
      <c r="L2212" s="26">
        <v>42650</v>
      </c>
      <c r="M2212" s="6">
        <v>76.059997999999993</v>
      </c>
      <c r="N2212" s="6">
        <v>76.849997999999999</v>
      </c>
      <c r="O2212" s="6">
        <v>75.900002000000001</v>
      </c>
      <c r="P2212" s="6">
        <v>76.339995999999999</v>
      </c>
      <c r="Q2212" s="6">
        <v>70.440269000000001</v>
      </c>
      <c r="R2212" s="58">
        <v>2190700</v>
      </c>
    </row>
    <row r="2213" spans="12:18" x14ac:dyDescent="0.25">
      <c r="L2213" s="26">
        <v>42653</v>
      </c>
      <c r="M2213" s="6">
        <v>76.5</v>
      </c>
      <c r="N2213" s="6">
        <v>77.059997999999993</v>
      </c>
      <c r="O2213" s="6">
        <v>76.230002999999996</v>
      </c>
      <c r="P2213" s="6">
        <v>76.470000999999996</v>
      </c>
      <c r="Q2213" s="6">
        <v>70.560226</v>
      </c>
      <c r="R2213" s="58">
        <v>1657800</v>
      </c>
    </row>
    <row r="2214" spans="12:18" x14ac:dyDescent="0.25">
      <c r="L2214" s="26">
        <v>42654</v>
      </c>
      <c r="M2214" s="6">
        <v>76.470000999999996</v>
      </c>
      <c r="N2214" s="6">
        <v>76.519997000000004</v>
      </c>
      <c r="O2214" s="6">
        <v>75.769997000000004</v>
      </c>
      <c r="P2214" s="6">
        <v>76.050003000000004</v>
      </c>
      <c r="Q2214" s="6">
        <v>70.172691</v>
      </c>
      <c r="R2214" s="58">
        <v>1617700</v>
      </c>
    </row>
    <row r="2215" spans="12:18" x14ac:dyDescent="0.25">
      <c r="L2215" s="26">
        <v>42655</v>
      </c>
      <c r="M2215" s="6">
        <v>76.010002</v>
      </c>
      <c r="N2215" s="6">
        <v>76.720000999999996</v>
      </c>
      <c r="O2215" s="6">
        <v>75.870002999999997</v>
      </c>
      <c r="P2215" s="6">
        <v>76.459998999999996</v>
      </c>
      <c r="Q2215" s="6">
        <v>70.550987000000006</v>
      </c>
      <c r="R2215" s="58">
        <v>1036800</v>
      </c>
    </row>
    <row r="2216" spans="12:18" x14ac:dyDescent="0.25">
      <c r="L2216" s="26">
        <v>42656</v>
      </c>
      <c r="M2216" s="6">
        <v>76.059997999999993</v>
      </c>
      <c r="N2216" s="6">
        <v>76.069999999999993</v>
      </c>
      <c r="O2216" s="6">
        <v>75.110000999999997</v>
      </c>
      <c r="P2216" s="6">
        <v>75.779999000000004</v>
      </c>
      <c r="Q2216" s="6">
        <v>69.923546000000002</v>
      </c>
      <c r="R2216" s="58">
        <v>1808400</v>
      </c>
    </row>
    <row r="2217" spans="12:18" x14ac:dyDescent="0.25">
      <c r="L2217" s="26">
        <v>42657</v>
      </c>
      <c r="M2217" s="6">
        <v>75.989998</v>
      </c>
      <c r="N2217" s="6">
        <v>76.319999999999993</v>
      </c>
      <c r="O2217" s="6">
        <v>75.449996999999996</v>
      </c>
      <c r="P2217" s="6">
        <v>75.489998</v>
      </c>
      <c r="Q2217" s="6">
        <v>69.655959999999993</v>
      </c>
      <c r="R2217" s="58">
        <v>2295300</v>
      </c>
    </row>
    <row r="2218" spans="12:18" x14ac:dyDescent="0.25">
      <c r="L2218" s="26">
        <v>42660</v>
      </c>
      <c r="M2218" s="6">
        <v>75.660004000000001</v>
      </c>
      <c r="N2218" s="6">
        <v>75.669998000000007</v>
      </c>
      <c r="O2218" s="6">
        <v>74.930000000000007</v>
      </c>
      <c r="P2218" s="6">
        <v>74.989998</v>
      </c>
      <c r="Q2218" s="6">
        <v>69.194603000000001</v>
      </c>
      <c r="R2218" s="58">
        <v>2703400</v>
      </c>
    </row>
    <row r="2219" spans="12:18" x14ac:dyDescent="0.25">
      <c r="L2219" s="26">
        <v>42661</v>
      </c>
      <c r="M2219" s="6">
        <v>75.440002000000007</v>
      </c>
      <c r="N2219" s="6">
        <v>75.690002000000007</v>
      </c>
      <c r="O2219" s="6">
        <v>75.120002999999997</v>
      </c>
      <c r="P2219" s="6">
        <v>75.360000999999997</v>
      </c>
      <c r="Q2219" s="6">
        <v>69.536017999999999</v>
      </c>
      <c r="R2219" s="58">
        <v>1279900</v>
      </c>
    </row>
    <row r="2220" spans="12:18" x14ac:dyDescent="0.25">
      <c r="L2220" s="26">
        <v>42662</v>
      </c>
      <c r="M2220" s="6">
        <v>75.370002999999997</v>
      </c>
      <c r="N2220" s="6">
        <v>75.410004000000001</v>
      </c>
      <c r="O2220" s="6">
        <v>74.569999999999993</v>
      </c>
      <c r="P2220" s="6">
        <v>74.930000000000007</v>
      </c>
      <c r="Q2220" s="6">
        <v>69.139235999999997</v>
      </c>
      <c r="R2220" s="58">
        <v>1309800</v>
      </c>
    </row>
    <row r="2221" spans="12:18" x14ac:dyDescent="0.25">
      <c r="L2221" s="26">
        <v>42663</v>
      </c>
      <c r="M2221" s="6">
        <v>74.970000999999996</v>
      </c>
      <c r="N2221" s="6">
        <v>74.970000999999996</v>
      </c>
      <c r="O2221" s="6">
        <v>74.040001000000004</v>
      </c>
      <c r="P2221" s="6">
        <v>74.230002999999996</v>
      </c>
      <c r="Q2221" s="6">
        <v>68.493347</v>
      </c>
      <c r="R2221" s="58">
        <v>1815800</v>
      </c>
    </row>
    <row r="2222" spans="12:18" x14ac:dyDescent="0.25">
      <c r="L2222" s="26">
        <v>42664</v>
      </c>
      <c r="M2222" s="6">
        <v>74.019997000000004</v>
      </c>
      <c r="N2222" s="6">
        <v>74.580001999999993</v>
      </c>
      <c r="O2222" s="6">
        <v>73.660004000000001</v>
      </c>
      <c r="P2222" s="6">
        <v>74.339995999999999</v>
      </c>
      <c r="Q2222" s="6">
        <v>68.594832999999994</v>
      </c>
      <c r="R2222" s="58">
        <v>1730700</v>
      </c>
    </row>
    <row r="2223" spans="12:18" x14ac:dyDescent="0.25">
      <c r="L2223" s="26">
        <v>42667</v>
      </c>
      <c r="M2223" s="6">
        <v>74.540001000000004</v>
      </c>
      <c r="N2223" s="6">
        <v>74.800003000000004</v>
      </c>
      <c r="O2223" s="6">
        <v>73.870002999999997</v>
      </c>
      <c r="P2223" s="6">
        <v>74.279999000000004</v>
      </c>
      <c r="Q2223" s="6">
        <v>68.539473999999998</v>
      </c>
      <c r="R2223" s="58">
        <v>1728700</v>
      </c>
    </row>
    <row r="2224" spans="12:18" x14ac:dyDescent="0.25">
      <c r="L2224" s="26">
        <v>42668</v>
      </c>
      <c r="M2224" s="6">
        <v>74.239998</v>
      </c>
      <c r="N2224" s="6">
        <v>74.489998</v>
      </c>
      <c r="O2224" s="6">
        <v>74.160004000000001</v>
      </c>
      <c r="P2224" s="6">
        <v>74.209998999999996</v>
      </c>
      <c r="Q2224" s="6">
        <v>68.474891999999997</v>
      </c>
      <c r="R2224" s="58">
        <v>1092800</v>
      </c>
    </row>
    <row r="2225" spans="12:18" x14ac:dyDescent="0.25">
      <c r="L2225" s="26">
        <v>42669</v>
      </c>
      <c r="M2225" s="6">
        <v>74.190002000000007</v>
      </c>
      <c r="N2225" s="6">
        <v>74.529999000000004</v>
      </c>
      <c r="O2225" s="6">
        <v>73.959998999999996</v>
      </c>
      <c r="P2225" s="6">
        <v>74.069999999999993</v>
      </c>
      <c r="Q2225" s="6">
        <v>68.345710999999994</v>
      </c>
      <c r="R2225" s="58">
        <v>1296100</v>
      </c>
    </row>
    <row r="2226" spans="12:18" x14ac:dyDescent="0.25">
      <c r="L2226" s="26">
        <v>42670</v>
      </c>
      <c r="M2226" s="6">
        <v>74.069999999999993</v>
      </c>
      <c r="N2226" s="6">
        <v>74.660004000000001</v>
      </c>
      <c r="O2226" s="6">
        <v>74</v>
      </c>
      <c r="P2226" s="6">
        <v>74.160004000000001</v>
      </c>
      <c r="Q2226" s="6">
        <v>68.428764000000001</v>
      </c>
      <c r="R2226" s="58">
        <v>1928300</v>
      </c>
    </row>
    <row r="2227" spans="12:18" x14ac:dyDescent="0.25">
      <c r="L2227" s="26">
        <v>42671</v>
      </c>
      <c r="M2227" s="6">
        <v>74.269997000000004</v>
      </c>
      <c r="N2227" s="6">
        <v>74.980002999999996</v>
      </c>
      <c r="O2227" s="6">
        <v>74.129997000000003</v>
      </c>
      <c r="P2227" s="6">
        <v>74.629997000000003</v>
      </c>
      <c r="Q2227" s="6">
        <v>68.862433999999993</v>
      </c>
      <c r="R2227" s="58">
        <v>2139600</v>
      </c>
    </row>
    <row r="2228" spans="12:18" x14ac:dyDescent="0.25">
      <c r="L2228" s="26">
        <v>42674</v>
      </c>
      <c r="M2228" s="6">
        <v>74.900002000000001</v>
      </c>
      <c r="N2228" s="6">
        <v>75.150002000000001</v>
      </c>
      <c r="O2228" s="6">
        <v>74.650002000000001</v>
      </c>
      <c r="P2228" s="6">
        <v>75.129997000000003</v>
      </c>
      <c r="Q2228" s="6">
        <v>69.323791999999997</v>
      </c>
      <c r="R2228" s="58">
        <v>2416100</v>
      </c>
    </row>
    <row r="2229" spans="12:18" x14ac:dyDescent="0.25">
      <c r="L2229" s="26">
        <v>42675</v>
      </c>
      <c r="M2229" s="6">
        <v>75.620002999999997</v>
      </c>
      <c r="N2229" s="6">
        <v>76.040001000000004</v>
      </c>
      <c r="O2229" s="6">
        <v>74.720000999999996</v>
      </c>
      <c r="P2229" s="6">
        <v>75.209998999999996</v>
      </c>
      <c r="Q2229" s="6">
        <v>69.397605999999996</v>
      </c>
      <c r="R2229" s="58">
        <v>3058000</v>
      </c>
    </row>
    <row r="2230" spans="12:18" x14ac:dyDescent="0.25">
      <c r="L2230" s="26">
        <v>42676</v>
      </c>
      <c r="M2230" s="6">
        <v>75.269997000000004</v>
      </c>
      <c r="N2230" s="6">
        <v>75.819999999999993</v>
      </c>
      <c r="O2230" s="6">
        <v>74.860000999999997</v>
      </c>
      <c r="P2230" s="6">
        <v>75.089995999999999</v>
      </c>
      <c r="Q2230" s="6">
        <v>69.286879999999996</v>
      </c>
      <c r="R2230" s="58">
        <v>2281900</v>
      </c>
    </row>
    <row r="2231" spans="12:18" x14ac:dyDescent="0.25">
      <c r="L2231" s="26">
        <v>42677</v>
      </c>
      <c r="M2231" s="6">
        <v>74.989998</v>
      </c>
      <c r="N2231" s="6">
        <v>75.120002999999997</v>
      </c>
      <c r="O2231" s="6">
        <v>73.75</v>
      </c>
      <c r="P2231" s="6">
        <v>73.970000999999996</v>
      </c>
      <c r="Q2231" s="6">
        <v>68.253440999999995</v>
      </c>
      <c r="R2231" s="58">
        <v>1623400</v>
      </c>
    </row>
    <row r="2232" spans="12:18" x14ac:dyDescent="0.25">
      <c r="L2232" s="26">
        <v>42678</v>
      </c>
      <c r="M2232" s="6">
        <v>73.940002000000007</v>
      </c>
      <c r="N2232" s="6">
        <v>74.099997999999999</v>
      </c>
      <c r="O2232" s="6">
        <v>73.529999000000004</v>
      </c>
      <c r="P2232" s="6">
        <v>73.669998000000007</v>
      </c>
      <c r="Q2232" s="6">
        <v>67.976624000000001</v>
      </c>
      <c r="R2232" s="58">
        <v>1324900</v>
      </c>
    </row>
    <row r="2233" spans="12:18" x14ac:dyDescent="0.25">
      <c r="L2233" s="26">
        <v>42681</v>
      </c>
      <c r="M2233" s="6">
        <v>74.370002999999997</v>
      </c>
      <c r="N2233" s="6">
        <v>75.059997999999993</v>
      </c>
      <c r="O2233" s="6">
        <v>74.059997999999993</v>
      </c>
      <c r="P2233" s="6">
        <v>74.949996999999996</v>
      </c>
      <c r="Q2233" s="6">
        <v>69.157700000000006</v>
      </c>
      <c r="R2233" s="58">
        <v>1283600</v>
      </c>
    </row>
    <row r="2234" spans="12:18" x14ac:dyDescent="0.25">
      <c r="L2234" s="26">
        <v>42682</v>
      </c>
      <c r="M2234" s="6">
        <v>74.75</v>
      </c>
      <c r="N2234" s="6">
        <v>78.370002999999997</v>
      </c>
      <c r="O2234" s="6">
        <v>74.75</v>
      </c>
      <c r="P2234" s="6">
        <v>76.959998999999996</v>
      </c>
      <c r="Q2234" s="6">
        <v>71.012366999999998</v>
      </c>
      <c r="R2234" s="58">
        <v>3255200</v>
      </c>
    </row>
    <row r="2235" spans="12:18" x14ac:dyDescent="0.25">
      <c r="L2235" s="26">
        <v>42683</v>
      </c>
      <c r="M2235" s="6">
        <v>75.419998000000007</v>
      </c>
      <c r="N2235" s="6">
        <v>75.449996999999996</v>
      </c>
      <c r="O2235" s="6">
        <v>73.370002999999997</v>
      </c>
      <c r="P2235" s="6">
        <v>74.879997000000003</v>
      </c>
      <c r="Q2235" s="6">
        <v>69.093108999999998</v>
      </c>
      <c r="R2235" s="58">
        <v>1923100</v>
      </c>
    </row>
    <row r="2236" spans="12:18" x14ac:dyDescent="0.25">
      <c r="L2236" s="26">
        <v>42684</v>
      </c>
      <c r="M2236" s="6">
        <v>74.459998999999996</v>
      </c>
      <c r="N2236" s="6">
        <v>74.629997000000003</v>
      </c>
      <c r="O2236" s="6">
        <v>72.459998999999996</v>
      </c>
      <c r="P2236" s="6">
        <v>72.650002000000001</v>
      </c>
      <c r="Q2236" s="6">
        <v>67.035460999999998</v>
      </c>
      <c r="R2236" s="58">
        <v>2972400</v>
      </c>
    </row>
    <row r="2237" spans="12:18" x14ac:dyDescent="0.25">
      <c r="L2237" s="26">
        <v>42685</v>
      </c>
      <c r="M2237" s="6">
        <v>72.720000999999996</v>
      </c>
      <c r="N2237" s="6">
        <v>73.25</v>
      </c>
      <c r="O2237" s="6">
        <v>72.050003000000004</v>
      </c>
      <c r="P2237" s="6">
        <v>72.5</v>
      </c>
      <c r="Q2237" s="6">
        <v>66.897041000000002</v>
      </c>
      <c r="R2237" s="58">
        <v>1784700</v>
      </c>
    </row>
    <row r="2238" spans="12:18" x14ac:dyDescent="0.25">
      <c r="L2238" s="26">
        <v>42688</v>
      </c>
      <c r="M2238" s="6">
        <v>72.430000000000007</v>
      </c>
      <c r="N2238" s="6">
        <v>72.959998999999996</v>
      </c>
      <c r="O2238" s="6">
        <v>71.830001999999993</v>
      </c>
      <c r="P2238" s="6">
        <v>72.529999000000004</v>
      </c>
      <c r="Q2238" s="6">
        <v>66.924721000000005</v>
      </c>
      <c r="R2238" s="58">
        <v>2319000</v>
      </c>
    </row>
    <row r="2239" spans="12:18" x14ac:dyDescent="0.25">
      <c r="L2239" s="26">
        <v>42689</v>
      </c>
      <c r="M2239" s="6">
        <v>72.730002999999996</v>
      </c>
      <c r="N2239" s="6">
        <v>73.5</v>
      </c>
      <c r="O2239" s="6">
        <v>72.699996999999996</v>
      </c>
      <c r="P2239" s="6">
        <v>73.400002000000001</v>
      </c>
      <c r="Q2239" s="6">
        <v>67.727492999999996</v>
      </c>
      <c r="R2239" s="58">
        <v>1884300</v>
      </c>
    </row>
    <row r="2240" spans="12:18" x14ac:dyDescent="0.25">
      <c r="L2240" s="26">
        <v>42690</v>
      </c>
      <c r="M2240" s="6">
        <v>73.449996999999996</v>
      </c>
      <c r="N2240" s="6">
        <v>73.629997000000003</v>
      </c>
      <c r="O2240" s="6">
        <v>72.959998999999996</v>
      </c>
      <c r="P2240" s="6">
        <v>73.260002</v>
      </c>
      <c r="Q2240" s="6">
        <v>67.598312000000007</v>
      </c>
      <c r="R2240" s="58">
        <v>1104500</v>
      </c>
    </row>
    <row r="2241" spans="12:18" x14ac:dyDescent="0.25">
      <c r="L2241" s="26">
        <v>42691</v>
      </c>
      <c r="M2241" s="6">
        <v>73.059997999999993</v>
      </c>
      <c r="N2241" s="6">
        <v>73.769997000000004</v>
      </c>
      <c r="O2241" s="6">
        <v>72.580001999999993</v>
      </c>
      <c r="P2241" s="6">
        <v>73.440002000000007</v>
      </c>
      <c r="Q2241" s="6">
        <v>67.764397000000002</v>
      </c>
      <c r="R2241" s="58">
        <v>1197500</v>
      </c>
    </row>
    <row r="2242" spans="12:18" x14ac:dyDescent="0.25">
      <c r="L2242" s="26">
        <v>42692</v>
      </c>
      <c r="M2242" s="6">
        <v>73.349997999999999</v>
      </c>
      <c r="N2242" s="6">
        <v>73.540001000000004</v>
      </c>
      <c r="O2242" s="6">
        <v>72.830001999999993</v>
      </c>
      <c r="P2242" s="6">
        <v>73.069999999999993</v>
      </c>
      <c r="Q2242" s="6">
        <v>67.422989000000001</v>
      </c>
      <c r="R2242" s="58">
        <v>1183200</v>
      </c>
    </row>
    <row r="2243" spans="12:18" x14ac:dyDescent="0.25">
      <c r="L2243" s="26">
        <v>42695</v>
      </c>
      <c r="M2243" s="6">
        <v>73.069999999999993</v>
      </c>
      <c r="N2243" s="6">
        <v>73.599997999999999</v>
      </c>
      <c r="O2243" s="6">
        <v>72.830001999999993</v>
      </c>
      <c r="P2243" s="6">
        <v>73.389999000000003</v>
      </c>
      <c r="Q2243" s="6">
        <v>67.718254000000002</v>
      </c>
      <c r="R2243" s="58">
        <v>1308700</v>
      </c>
    </row>
    <row r="2244" spans="12:18" x14ac:dyDescent="0.25">
      <c r="L2244" s="26">
        <v>42696</v>
      </c>
      <c r="M2244" s="6">
        <v>73.610000999999997</v>
      </c>
      <c r="N2244" s="6">
        <v>74.660004000000001</v>
      </c>
      <c r="O2244" s="6">
        <v>73.610000999999997</v>
      </c>
      <c r="P2244" s="6">
        <v>74.489998</v>
      </c>
      <c r="Q2244" s="6">
        <v>68.733245999999994</v>
      </c>
      <c r="R2244" s="58">
        <v>1281800</v>
      </c>
    </row>
    <row r="2245" spans="12:18" x14ac:dyDescent="0.25">
      <c r="L2245" s="26">
        <v>42697</v>
      </c>
      <c r="M2245" s="6">
        <v>74.120002999999997</v>
      </c>
      <c r="N2245" s="6">
        <v>74.599997999999999</v>
      </c>
      <c r="O2245" s="6">
        <v>73.190002000000007</v>
      </c>
      <c r="P2245" s="6">
        <v>73.389999000000003</v>
      </c>
      <c r="Q2245" s="6">
        <v>67.718254000000002</v>
      </c>
      <c r="R2245" s="58">
        <v>963300</v>
      </c>
    </row>
    <row r="2246" spans="12:18" x14ac:dyDescent="0.25">
      <c r="L2246" s="26">
        <v>42699</v>
      </c>
      <c r="M2246" s="6">
        <v>73.709998999999996</v>
      </c>
      <c r="N2246" s="6">
        <v>74.480002999999996</v>
      </c>
      <c r="O2246" s="6">
        <v>73.529999000000004</v>
      </c>
      <c r="P2246" s="6">
        <v>74.160004000000001</v>
      </c>
      <c r="Q2246" s="6">
        <v>68.428764000000001</v>
      </c>
      <c r="R2246" s="58">
        <v>497300</v>
      </c>
    </row>
    <row r="2247" spans="12:18" x14ac:dyDescent="0.25">
      <c r="L2247" s="26">
        <v>42702</v>
      </c>
      <c r="M2247" s="6">
        <v>74.010002</v>
      </c>
      <c r="N2247" s="6">
        <v>74.580001999999993</v>
      </c>
      <c r="O2247" s="6">
        <v>73.680000000000007</v>
      </c>
      <c r="P2247" s="6">
        <v>73.889999000000003</v>
      </c>
      <c r="Q2247" s="6">
        <v>68.179619000000002</v>
      </c>
      <c r="R2247" s="58">
        <v>1095000</v>
      </c>
    </row>
    <row r="2248" spans="12:18" x14ac:dyDescent="0.25">
      <c r="L2248" s="26">
        <v>42703</v>
      </c>
      <c r="M2248" s="6">
        <v>73.519997000000004</v>
      </c>
      <c r="N2248" s="6">
        <v>73.730002999999996</v>
      </c>
      <c r="O2248" s="6">
        <v>72.830001999999993</v>
      </c>
      <c r="P2248" s="6">
        <v>73.620002999999997</v>
      </c>
      <c r="Q2248" s="6">
        <v>68.411941999999996</v>
      </c>
      <c r="R2248" s="58">
        <v>959900</v>
      </c>
    </row>
    <row r="2249" spans="12:18" x14ac:dyDescent="0.25">
      <c r="L2249" s="26">
        <v>42704</v>
      </c>
      <c r="M2249" s="6">
        <v>73.260002</v>
      </c>
      <c r="N2249" s="6">
        <v>73.379997000000003</v>
      </c>
      <c r="O2249" s="6">
        <v>71.959998999999996</v>
      </c>
      <c r="P2249" s="6">
        <v>72</v>
      </c>
      <c r="Q2249" s="6">
        <v>66.906531999999999</v>
      </c>
      <c r="R2249" s="58">
        <v>1854600</v>
      </c>
    </row>
    <row r="2250" spans="12:18" x14ac:dyDescent="0.25">
      <c r="L2250" s="26">
        <v>42705</v>
      </c>
      <c r="M2250" s="6">
        <v>71.610000999999997</v>
      </c>
      <c r="N2250" s="6">
        <v>71.849997999999999</v>
      </c>
      <c r="O2250" s="6">
        <v>70.739998</v>
      </c>
      <c r="P2250" s="6">
        <v>70.959998999999996</v>
      </c>
      <c r="Q2250" s="6">
        <v>65.940101999999996</v>
      </c>
      <c r="R2250" s="58">
        <v>2359700</v>
      </c>
    </row>
    <row r="2251" spans="12:18" x14ac:dyDescent="0.25">
      <c r="L2251" s="26">
        <v>42706</v>
      </c>
      <c r="M2251" s="6">
        <v>71.230002999999996</v>
      </c>
      <c r="N2251" s="6">
        <v>71.5</v>
      </c>
      <c r="O2251" s="6">
        <v>70.790001000000004</v>
      </c>
      <c r="P2251" s="6">
        <v>71.169998000000007</v>
      </c>
      <c r="Q2251" s="6">
        <v>66.135254000000003</v>
      </c>
      <c r="R2251" s="58">
        <v>1352600</v>
      </c>
    </row>
    <row r="2252" spans="12:18" x14ac:dyDescent="0.25">
      <c r="L2252" s="26">
        <v>42709</v>
      </c>
      <c r="M2252" s="6">
        <v>71.230002999999996</v>
      </c>
      <c r="N2252" s="6">
        <v>71.690002000000007</v>
      </c>
      <c r="O2252" s="6">
        <v>71.110000999999997</v>
      </c>
      <c r="P2252" s="6">
        <v>71.669998000000007</v>
      </c>
      <c r="Q2252" s="6">
        <v>66.599884000000003</v>
      </c>
      <c r="R2252" s="58">
        <v>2075600</v>
      </c>
    </row>
    <row r="2253" spans="12:18" x14ac:dyDescent="0.25">
      <c r="L2253" s="26">
        <v>42710</v>
      </c>
      <c r="M2253" s="6">
        <v>71.870002999999997</v>
      </c>
      <c r="N2253" s="6">
        <v>72.160004000000001</v>
      </c>
      <c r="O2253" s="6">
        <v>71.610000999999997</v>
      </c>
      <c r="P2253" s="6">
        <v>71.970000999999996</v>
      </c>
      <c r="Q2253" s="6">
        <v>66.878662000000006</v>
      </c>
      <c r="R2253" s="58">
        <v>1108200</v>
      </c>
    </row>
    <row r="2254" spans="12:18" x14ac:dyDescent="0.25">
      <c r="L2254" s="26">
        <v>42711</v>
      </c>
      <c r="M2254" s="6">
        <v>70.980002999999996</v>
      </c>
      <c r="N2254" s="6">
        <v>72.75</v>
      </c>
      <c r="O2254" s="6">
        <v>70.980002999999996</v>
      </c>
      <c r="P2254" s="6">
        <v>72.650002000000001</v>
      </c>
      <c r="Q2254" s="6">
        <v>67.510566999999995</v>
      </c>
      <c r="R2254" s="58">
        <v>1958800</v>
      </c>
    </row>
    <row r="2255" spans="12:18" x14ac:dyDescent="0.25">
      <c r="L2255" s="26">
        <v>42712</v>
      </c>
      <c r="M2255" s="6">
        <v>72.330001999999993</v>
      </c>
      <c r="N2255" s="6">
        <v>72.389999000000003</v>
      </c>
      <c r="O2255" s="6">
        <v>71.860000999999997</v>
      </c>
      <c r="P2255" s="6">
        <v>72.089995999999999</v>
      </c>
      <c r="Q2255" s="6">
        <v>66.990166000000002</v>
      </c>
      <c r="R2255" s="58">
        <v>1128000</v>
      </c>
    </row>
    <row r="2256" spans="12:18" x14ac:dyDescent="0.25">
      <c r="L2256" s="26">
        <v>42713</v>
      </c>
      <c r="M2256" s="6">
        <v>72.160004000000001</v>
      </c>
      <c r="N2256" s="6">
        <v>73.330001999999993</v>
      </c>
      <c r="O2256" s="6">
        <v>72.080001999999993</v>
      </c>
      <c r="P2256" s="6">
        <v>73.110000999999997</v>
      </c>
      <c r="Q2256" s="6">
        <v>67.938011000000003</v>
      </c>
      <c r="R2256" s="58">
        <v>2393600</v>
      </c>
    </row>
    <row r="2257" spans="12:18" x14ac:dyDescent="0.25">
      <c r="L2257" s="26">
        <v>42716</v>
      </c>
      <c r="M2257" s="6">
        <v>72.949996999999996</v>
      </c>
      <c r="N2257" s="6">
        <v>73.970000999999996</v>
      </c>
      <c r="O2257" s="6">
        <v>72.879997000000003</v>
      </c>
      <c r="P2257" s="6">
        <v>73.800003000000004</v>
      </c>
      <c r="Q2257" s="6">
        <v>68.579200999999998</v>
      </c>
      <c r="R2257" s="58">
        <v>1778500</v>
      </c>
    </row>
    <row r="2258" spans="12:18" x14ac:dyDescent="0.25">
      <c r="L2258" s="26">
        <v>42717</v>
      </c>
      <c r="M2258" s="6">
        <v>73.800003000000004</v>
      </c>
      <c r="N2258" s="6">
        <v>74.489998</v>
      </c>
      <c r="O2258" s="6">
        <v>73.650002000000001</v>
      </c>
      <c r="P2258" s="6">
        <v>73.949996999999996</v>
      </c>
      <c r="Q2258" s="6">
        <v>68.718581999999998</v>
      </c>
      <c r="R2258" s="58">
        <v>1685100</v>
      </c>
    </row>
    <row r="2259" spans="12:18" x14ac:dyDescent="0.25">
      <c r="L2259" s="26">
        <v>42718</v>
      </c>
      <c r="M2259" s="6">
        <v>74.139999000000003</v>
      </c>
      <c r="N2259" s="6">
        <v>74.379997000000003</v>
      </c>
      <c r="O2259" s="6">
        <v>72.949996999999996</v>
      </c>
      <c r="P2259" s="6">
        <v>73.120002999999997</v>
      </c>
      <c r="Q2259" s="6">
        <v>67.947295999999994</v>
      </c>
      <c r="R2259" s="58">
        <v>1320600</v>
      </c>
    </row>
    <row r="2260" spans="12:18" x14ac:dyDescent="0.25">
      <c r="L2260" s="26">
        <v>42719</v>
      </c>
      <c r="M2260" s="6">
        <v>73.019997000000004</v>
      </c>
      <c r="N2260" s="6">
        <v>73.849997999999999</v>
      </c>
      <c r="O2260" s="6">
        <v>72.839995999999999</v>
      </c>
      <c r="P2260" s="6">
        <v>73.410004000000001</v>
      </c>
      <c r="Q2260" s="6">
        <v>68.216789000000006</v>
      </c>
      <c r="R2260" s="58">
        <v>1285400</v>
      </c>
    </row>
    <row r="2261" spans="12:18" x14ac:dyDescent="0.25">
      <c r="L2261" s="26">
        <v>42720</v>
      </c>
      <c r="M2261" s="6">
        <v>73.459998999999996</v>
      </c>
      <c r="N2261" s="6">
        <v>74.050003000000004</v>
      </c>
      <c r="O2261" s="6">
        <v>73.069999999999993</v>
      </c>
      <c r="P2261" s="6">
        <v>73.290001000000004</v>
      </c>
      <c r="Q2261" s="6">
        <v>68.105277999999998</v>
      </c>
      <c r="R2261" s="58">
        <v>2376200</v>
      </c>
    </row>
    <row r="2262" spans="12:18" x14ac:dyDescent="0.25">
      <c r="L2262" s="26">
        <v>42723</v>
      </c>
      <c r="M2262" s="6">
        <v>73.319999999999993</v>
      </c>
      <c r="N2262" s="6">
        <v>73.470000999999996</v>
      </c>
      <c r="O2262" s="6">
        <v>72.639999000000003</v>
      </c>
      <c r="P2262" s="6">
        <v>72.919998000000007</v>
      </c>
      <c r="Q2262" s="6">
        <v>67.761452000000006</v>
      </c>
      <c r="R2262" s="58">
        <v>5504600</v>
      </c>
    </row>
    <row r="2263" spans="12:18" x14ac:dyDescent="0.25">
      <c r="L2263" s="26">
        <v>42724</v>
      </c>
      <c r="M2263" s="6">
        <v>71.930000000000007</v>
      </c>
      <c r="N2263" s="6">
        <v>73.279999000000004</v>
      </c>
      <c r="O2263" s="6">
        <v>71.830001999999993</v>
      </c>
      <c r="P2263" s="6">
        <v>73.269997000000004</v>
      </c>
      <c r="Q2263" s="6">
        <v>68.086699999999993</v>
      </c>
      <c r="R2263" s="58">
        <v>1409900</v>
      </c>
    </row>
    <row r="2264" spans="12:18" x14ac:dyDescent="0.25">
      <c r="L2264" s="26">
        <v>42725</v>
      </c>
      <c r="M2264" s="6">
        <v>73.209998999999996</v>
      </c>
      <c r="N2264" s="6">
        <v>73.989998</v>
      </c>
      <c r="O2264" s="6">
        <v>72.989998</v>
      </c>
      <c r="P2264" s="6">
        <v>73.150002000000001</v>
      </c>
      <c r="Q2264" s="6">
        <v>67.975182000000004</v>
      </c>
      <c r="R2264" s="58">
        <v>1714700</v>
      </c>
    </row>
    <row r="2265" spans="12:18" x14ac:dyDescent="0.25">
      <c r="L2265" s="26">
        <v>42726</v>
      </c>
      <c r="M2265" s="6">
        <v>73.300003000000004</v>
      </c>
      <c r="N2265" s="6">
        <v>73.830001999999993</v>
      </c>
      <c r="O2265" s="6">
        <v>72.699996999999996</v>
      </c>
      <c r="P2265" s="6">
        <v>73.660004000000001</v>
      </c>
      <c r="Q2265" s="6">
        <v>68.449112</v>
      </c>
      <c r="R2265" s="58">
        <v>1687300</v>
      </c>
    </row>
    <row r="2266" spans="12:18" x14ac:dyDescent="0.25">
      <c r="L2266" s="26">
        <v>42727</v>
      </c>
      <c r="M2266" s="6">
        <v>73.569999999999993</v>
      </c>
      <c r="N2266" s="6">
        <v>73.650002000000001</v>
      </c>
      <c r="O2266" s="6">
        <v>73.080001999999993</v>
      </c>
      <c r="P2266" s="6">
        <v>73.569999999999993</v>
      </c>
      <c r="Q2266" s="6">
        <v>68.365463000000005</v>
      </c>
      <c r="R2266" s="58">
        <v>615000</v>
      </c>
    </row>
    <row r="2267" spans="12:18" x14ac:dyDescent="0.25">
      <c r="L2267" s="26">
        <v>42731</v>
      </c>
      <c r="M2267" s="6">
        <v>73.569999999999993</v>
      </c>
      <c r="N2267" s="6">
        <v>74.059997999999993</v>
      </c>
      <c r="O2267" s="6">
        <v>73.260002</v>
      </c>
      <c r="P2267" s="6">
        <v>73.849997999999999</v>
      </c>
      <c r="Q2267" s="6">
        <v>68.625670999999997</v>
      </c>
      <c r="R2267" s="58">
        <v>656900</v>
      </c>
    </row>
    <row r="2268" spans="12:18" x14ac:dyDescent="0.25">
      <c r="L2268" s="26">
        <v>42732</v>
      </c>
      <c r="M2268" s="6">
        <v>73.819999999999993</v>
      </c>
      <c r="N2268" s="6">
        <v>73.900002000000001</v>
      </c>
      <c r="O2268" s="6">
        <v>73.319999999999993</v>
      </c>
      <c r="P2268" s="6">
        <v>73.430000000000007</v>
      </c>
      <c r="Q2268" s="6">
        <v>68.235382000000001</v>
      </c>
      <c r="R2268" s="58">
        <v>674800</v>
      </c>
    </row>
    <row r="2269" spans="12:18" x14ac:dyDescent="0.25">
      <c r="L2269" s="26">
        <v>42733</v>
      </c>
      <c r="M2269" s="6">
        <v>73.510002</v>
      </c>
      <c r="N2269" s="6">
        <v>74.139999000000003</v>
      </c>
      <c r="O2269" s="6">
        <v>73.330001999999993</v>
      </c>
      <c r="P2269" s="6">
        <v>73.959998999999996</v>
      </c>
      <c r="Q2269" s="6">
        <v>68.727874999999997</v>
      </c>
      <c r="R2269" s="58">
        <v>1452300</v>
      </c>
    </row>
    <row r="2270" spans="12:18" x14ac:dyDescent="0.25">
      <c r="L2270" s="26">
        <v>42734</v>
      </c>
      <c r="M2270" s="6">
        <v>74</v>
      </c>
      <c r="N2270" s="6">
        <v>74.160004000000001</v>
      </c>
      <c r="O2270" s="6">
        <v>73.419998000000007</v>
      </c>
      <c r="P2270" s="6">
        <v>73.709998999999996</v>
      </c>
      <c r="Q2270" s="6">
        <v>68.495552000000004</v>
      </c>
      <c r="R2270" s="58">
        <v>1042000</v>
      </c>
    </row>
    <row r="2271" spans="12:18" x14ac:dyDescent="0.25">
      <c r="L2271" s="26">
        <v>42738</v>
      </c>
      <c r="M2271" s="6">
        <v>73.709998999999996</v>
      </c>
      <c r="N2271" s="6">
        <v>73.709998999999996</v>
      </c>
      <c r="O2271" s="6">
        <v>72.830001999999993</v>
      </c>
      <c r="P2271" s="6">
        <v>73.370002999999997</v>
      </c>
      <c r="Q2271" s="6">
        <v>68.179625999999999</v>
      </c>
      <c r="R2271" s="58">
        <v>1699800</v>
      </c>
    </row>
    <row r="2272" spans="12:18" x14ac:dyDescent="0.25">
      <c r="L2272" s="26">
        <v>42739</v>
      </c>
      <c r="M2272" s="6">
        <v>73.540001000000004</v>
      </c>
      <c r="N2272" s="6">
        <v>73.730002999999996</v>
      </c>
      <c r="O2272" s="6">
        <v>73.129997000000003</v>
      </c>
      <c r="P2272" s="6">
        <v>73.180000000000007</v>
      </c>
      <c r="Q2272" s="6">
        <v>68.003067000000001</v>
      </c>
      <c r="R2272" s="58">
        <v>1097800</v>
      </c>
    </row>
    <row r="2273" spans="12:18" x14ac:dyDescent="0.25">
      <c r="L2273" s="26">
        <v>42740</v>
      </c>
      <c r="M2273" s="6">
        <v>73.040001000000004</v>
      </c>
      <c r="N2273" s="6">
        <v>73.379997000000003</v>
      </c>
      <c r="O2273" s="6">
        <v>72.360000999999997</v>
      </c>
      <c r="P2273" s="6">
        <v>73.110000999999997</v>
      </c>
      <c r="Q2273" s="6">
        <v>67.938011000000003</v>
      </c>
      <c r="R2273" s="58">
        <v>1576100</v>
      </c>
    </row>
    <row r="2274" spans="12:18" x14ac:dyDescent="0.25">
      <c r="L2274" s="26">
        <v>42741</v>
      </c>
      <c r="M2274" s="6">
        <v>72.769997000000004</v>
      </c>
      <c r="N2274" s="6">
        <v>73.419998000000007</v>
      </c>
      <c r="O2274" s="6">
        <v>72.599997999999999</v>
      </c>
      <c r="P2274" s="6">
        <v>73.129997000000003</v>
      </c>
      <c r="Q2274" s="6">
        <v>67.956603999999999</v>
      </c>
      <c r="R2274" s="58">
        <v>1078300</v>
      </c>
    </row>
    <row r="2275" spans="12:18" x14ac:dyDescent="0.25">
      <c r="L2275" s="26">
        <v>42744</v>
      </c>
      <c r="M2275" s="6">
        <v>73.260002</v>
      </c>
      <c r="N2275" s="6">
        <v>73.260002</v>
      </c>
      <c r="O2275" s="6">
        <v>72.029999000000004</v>
      </c>
      <c r="P2275" s="6">
        <v>72.129997000000003</v>
      </c>
      <c r="Q2275" s="6">
        <v>67.027336000000005</v>
      </c>
      <c r="R2275" s="58">
        <v>1213600</v>
      </c>
    </row>
    <row r="2276" spans="12:18" x14ac:dyDescent="0.25">
      <c r="L2276" s="26">
        <v>42745</v>
      </c>
      <c r="M2276" s="6">
        <v>72.279999000000004</v>
      </c>
      <c r="N2276" s="6">
        <v>72.349997999999999</v>
      </c>
      <c r="O2276" s="6">
        <v>71.620002999999997</v>
      </c>
      <c r="P2276" s="6">
        <v>71.660004000000001</v>
      </c>
      <c r="Q2276" s="6">
        <v>66.590591000000003</v>
      </c>
      <c r="R2276" s="58">
        <v>1198500</v>
      </c>
    </row>
    <row r="2277" spans="12:18" x14ac:dyDescent="0.25">
      <c r="L2277" s="26">
        <v>42746</v>
      </c>
      <c r="M2277" s="6">
        <v>71.639999000000003</v>
      </c>
      <c r="N2277" s="6">
        <v>72.209998999999996</v>
      </c>
      <c r="O2277" s="6">
        <v>71.580001999999993</v>
      </c>
      <c r="P2277" s="6">
        <v>71.870002999999997</v>
      </c>
      <c r="Q2277" s="6">
        <v>66.785736</v>
      </c>
      <c r="R2277" s="58">
        <v>1154100</v>
      </c>
    </row>
    <row r="2278" spans="12:18" x14ac:dyDescent="0.25">
      <c r="L2278" s="26">
        <v>42747</v>
      </c>
      <c r="M2278" s="6">
        <v>71.809997999999993</v>
      </c>
      <c r="N2278" s="6">
        <v>72.330001999999993</v>
      </c>
      <c r="O2278" s="6">
        <v>71.669998000000007</v>
      </c>
      <c r="P2278" s="6">
        <v>71.919998000000007</v>
      </c>
      <c r="Q2278" s="6">
        <v>66.832190999999995</v>
      </c>
      <c r="R2278" s="58">
        <v>1428700</v>
      </c>
    </row>
    <row r="2279" spans="12:18" x14ac:dyDescent="0.25">
      <c r="L2279" s="26">
        <v>42748</v>
      </c>
      <c r="M2279" s="6">
        <v>71.790001000000004</v>
      </c>
      <c r="N2279" s="6">
        <v>71.900002000000001</v>
      </c>
      <c r="O2279" s="6">
        <v>71.050003000000004</v>
      </c>
      <c r="P2279" s="6">
        <v>71.379997000000003</v>
      </c>
      <c r="Q2279" s="6">
        <v>66.330391000000006</v>
      </c>
      <c r="R2279" s="58">
        <v>2150100</v>
      </c>
    </row>
    <row r="2280" spans="12:18" x14ac:dyDescent="0.25">
      <c r="L2280" s="26">
        <v>42752</v>
      </c>
      <c r="M2280" s="6">
        <v>71.5</v>
      </c>
      <c r="N2280" s="6">
        <v>72.050003000000004</v>
      </c>
      <c r="O2280" s="6">
        <v>71.480002999999996</v>
      </c>
      <c r="P2280" s="6">
        <v>72.029999000000004</v>
      </c>
      <c r="Q2280" s="6">
        <v>66.93441</v>
      </c>
      <c r="R2280" s="58">
        <v>2447800</v>
      </c>
    </row>
    <row r="2281" spans="12:18" x14ac:dyDescent="0.25">
      <c r="L2281" s="26">
        <v>42753</v>
      </c>
      <c r="M2281" s="6">
        <v>72.010002</v>
      </c>
      <c r="N2281" s="6">
        <v>72.550003000000004</v>
      </c>
      <c r="O2281" s="6">
        <v>71.830001999999993</v>
      </c>
      <c r="P2281" s="6">
        <v>71.980002999999996</v>
      </c>
      <c r="Q2281" s="6">
        <v>66.887955000000005</v>
      </c>
      <c r="R2281" s="58">
        <v>1975500</v>
      </c>
    </row>
    <row r="2282" spans="12:18" x14ac:dyDescent="0.25">
      <c r="L2282" s="26">
        <v>42754</v>
      </c>
      <c r="M2282" s="6">
        <v>71.910004000000001</v>
      </c>
      <c r="N2282" s="6">
        <v>72.099997999999999</v>
      </c>
      <c r="O2282" s="6">
        <v>71.680000000000007</v>
      </c>
      <c r="P2282" s="6">
        <v>71.779999000000004</v>
      </c>
      <c r="Q2282" s="6">
        <v>66.702095</v>
      </c>
      <c r="R2282" s="58">
        <v>1538400</v>
      </c>
    </row>
    <row r="2283" spans="12:18" x14ac:dyDescent="0.25">
      <c r="L2283" s="26">
        <v>42755</v>
      </c>
      <c r="M2283" s="6">
        <v>71.910004000000001</v>
      </c>
      <c r="N2283" s="6">
        <v>72.650002000000001</v>
      </c>
      <c r="O2283" s="6">
        <v>71.769997000000004</v>
      </c>
      <c r="P2283" s="6">
        <v>72.209998999999996</v>
      </c>
      <c r="Q2283" s="6">
        <v>67.101676999999995</v>
      </c>
      <c r="R2283" s="58">
        <v>2522400</v>
      </c>
    </row>
    <row r="2284" spans="12:18" x14ac:dyDescent="0.25">
      <c r="L2284" s="26">
        <v>42758</v>
      </c>
      <c r="M2284" s="6">
        <v>72.199996999999996</v>
      </c>
      <c r="N2284" s="6">
        <v>72.459998999999996</v>
      </c>
      <c r="O2284" s="6">
        <v>71.660004000000001</v>
      </c>
      <c r="P2284" s="6">
        <v>72.290001000000004</v>
      </c>
      <c r="Q2284" s="6">
        <v>67.176017999999999</v>
      </c>
      <c r="R2284" s="58">
        <v>1655100</v>
      </c>
    </row>
    <row r="2285" spans="12:18" x14ac:dyDescent="0.25">
      <c r="L2285" s="26">
        <v>42759</v>
      </c>
      <c r="M2285" s="6">
        <v>72.300003000000004</v>
      </c>
      <c r="N2285" s="6">
        <v>72.870002999999997</v>
      </c>
      <c r="O2285" s="6">
        <v>72.160004000000001</v>
      </c>
      <c r="P2285" s="6">
        <v>72.610000999999997</v>
      </c>
      <c r="Q2285" s="6">
        <v>67.473372999999995</v>
      </c>
      <c r="R2285" s="58">
        <v>1955400</v>
      </c>
    </row>
    <row r="2286" spans="12:18" x14ac:dyDescent="0.25">
      <c r="L2286" s="26">
        <v>42760</v>
      </c>
      <c r="M2286" s="6">
        <v>72.830001999999993</v>
      </c>
      <c r="N2286" s="6">
        <v>72.830001999999993</v>
      </c>
      <c r="O2286" s="6">
        <v>72.209998999999996</v>
      </c>
      <c r="P2286" s="6">
        <v>72.309997999999993</v>
      </c>
      <c r="Q2286" s="6">
        <v>67.194610999999995</v>
      </c>
      <c r="R2286" s="58">
        <v>1605500</v>
      </c>
    </row>
    <row r="2287" spans="12:18" x14ac:dyDescent="0.25">
      <c r="L2287" s="26">
        <v>42761</v>
      </c>
      <c r="M2287" s="6">
        <v>72.309997999999993</v>
      </c>
      <c r="N2287" s="6">
        <v>72.580001999999993</v>
      </c>
      <c r="O2287" s="6">
        <v>71.949996999999996</v>
      </c>
      <c r="P2287" s="6">
        <v>72.089995999999999</v>
      </c>
      <c r="Q2287" s="6">
        <v>66.990166000000002</v>
      </c>
      <c r="R2287" s="58">
        <v>1700400</v>
      </c>
    </row>
    <row r="2288" spans="12:18" x14ac:dyDescent="0.25">
      <c r="L2288" s="26">
        <v>42762</v>
      </c>
      <c r="M2288" s="6">
        <v>72.129997000000003</v>
      </c>
      <c r="N2288" s="6">
        <v>73.129997000000003</v>
      </c>
      <c r="O2288" s="6">
        <v>71.839995999999999</v>
      </c>
      <c r="P2288" s="6">
        <v>73</v>
      </c>
      <c r="Q2288" s="6">
        <v>67.835785000000001</v>
      </c>
      <c r="R2288" s="58">
        <v>1911000</v>
      </c>
    </row>
    <row r="2289" spans="12:18" x14ac:dyDescent="0.25">
      <c r="L2289" s="26">
        <v>42765</v>
      </c>
      <c r="M2289" s="6">
        <v>73.050003000000004</v>
      </c>
      <c r="N2289" s="6">
        <v>73.050003000000004</v>
      </c>
      <c r="O2289" s="6">
        <v>72.300003000000004</v>
      </c>
      <c r="P2289" s="6">
        <v>72.669998000000007</v>
      </c>
      <c r="Q2289" s="6">
        <v>67.529137000000006</v>
      </c>
      <c r="R2289" s="58">
        <v>1038500</v>
      </c>
    </row>
    <row r="2290" spans="12:18" x14ac:dyDescent="0.25">
      <c r="L2290" s="26">
        <v>42766</v>
      </c>
      <c r="M2290" s="6">
        <v>72.730002999999996</v>
      </c>
      <c r="N2290" s="6">
        <v>72.989998</v>
      </c>
      <c r="O2290" s="6">
        <v>72.610000999999997</v>
      </c>
      <c r="P2290" s="6">
        <v>72.709998999999996</v>
      </c>
      <c r="Q2290" s="6">
        <v>67.566306999999995</v>
      </c>
      <c r="R2290" s="58">
        <v>1205600</v>
      </c>
    </row>
    <row r="2291" spans="12:18" x14ac:dyDescent="0.25">
      <c r="L2291" s="26">
        <v>42767</v>
      </c>
      <c r="M2291" s="6">
        <v>72.309997999999993</v>
      </c>
      <c r="N2291" s="6">
        <v>72.510002</v>
      </c>
      <c r="O2291" s="6">
        <v>71.449996999999996</v>
      </c>
      <c r="P2291" s="6">
        <v>71.900002000000001</v>
      </c>
      <c r="Q2291" s="6">
        <v>66.813614000000001</v>
      </c>
      <c r="R2291" s="58">
        <v>1448600</v>
      </c>
    </row>
    <row r="2292" spans="12:18" x14ac:dyDescent="0.25">
      <c r="L2292" s="26">
        <v>42768</v>
      </c>
      <c r="M2292" s="6">
        <v>72.129997000000003</v>
      </c>
      <c r="N2292" s="6">
        <v>73.430000000000007</v>
      </c>
      <c r="O2292" s="6">
        <v>72.019997000000004</v>
      </c>
      <c r="P2292" s="6">
        <v>72.769997000000004</v>
      </c>
      <c r="Q2292" s="6">
        <v>67.622062999999997</v>
      </c>
      <c r="R2292" s="58">
        <v>2030700</v>
      </c>
    </row>
    <row r="2293" spans="12:18" x14ac:dyDescent="0.25">
      <c r="L2293" s="26">
        <v>42769</v>
      </c>
      <c r="M2293" s="6">
        <v>73.019997000000004</v>
      </c>
      <c r="N2293" s="6">
        <v>73.790001000000004</v>
      </c>
      <c r="O2293" s="6">
        <v>72.569999999999993</v>
      </c>
      <c r="P2293" s="6">
        <v>73.360000999999997</v>
      </c>
      <c r="Q2293" s="6">
        <v>68.170326000000003</v>
      </c>
      <c r="R2293" s="58">
        <v>1420800</v>
      </c>
    </row>
    <row r="2294" spans="12:18" x14ac:dyDescent="0.25">
      <c r="L2294" s="26">
        <v>42772</v>
      </c>
      <c r="M2294" s="6">
        <v>73.160004000000001</v>
      </c>
      <c r="N2294" s="6">
        <v>73.319999999999993</v>
      </c>
      <c r="O2294" s="6">
        <v>72.269997000000004</v>
      </c>
      <c r="P2294" s="6">
        <v>72.330001999999993</v>
      </c>
      <c r="Q2294" s="6">
        <v>67.213195999999996</v>
      </c>
      <c r="R2294" s="58">
        <v>1061500</v>
      </c>
    </row>
    <row r="2295" spans="12:18" x14ac:dyDescent="0.25">
      <c r="L2295" s="26">
        <v>42773</v>
      </c>
      <c r="M2295" s="6">
        <v>72.599997999999999</v>
      </c>
      <c r="N2295" s="6">
        <v>73.069999999999993</v>
      </c>
      <c r="O2295" s="6">
        <v>72.379997000000003</v>
      </c>
      <c r="P2295" s="6">
        <v>72.849997999999999</v>
      </c>
      <c r="Q2295" s="6">
        <v>67.696404000000001</v>
      </c>
      <c r="R2295" s="58">
        <v>1972700</v>
      </c>
    </row>
    <row r="2296" spans="12:18" x14ac:dyDescent="0.25">
      <c r="L2296" s="26">
        <v>42774</v>
      </c>
      <c r="M2296" s="6">
        <v>72.849997999999999</v>
      </c>
      <c r="N2296" s="6">
        <v>73.599997999999999</v>
      </c>
      <c r="O2296" s="6">
        <v>72.680000000000007</v>
      </c>
      <c r="P2296" s="6">
        <v>73.489998</v>
      </c>
      <c r="Q2296" s="6">
        <v>68.291129999999995</v>
      </c>
      <c r="R2296" s="58">
        <v>2130000</v>
      </c>
    </row>
    <row r="2297" spans="12:18" x14ac:dyDescent="0.25">
      <c r="L2297" s="26">
        <v>42775</v>
      </c>
      <c r="M2297" s="6">
        <v>74.599997999999999</v>
      </c>
      <c r="N2297" s="6">
        <v>76.690002000000007</v>
      </c>
      <c r="O2297" s="6">
        <v>74.589995999999999</v>
      </c>
      <c r="P2297" s="6">
        <v>76.440002000000007</v>
      </c>
      <c r="Q2297" s="6">
        <v>71.032432999999997</v>
      </c>
      <c r="R2297" s="58">
        <v>3654200</v>
      </c>
    </row>
    <row r="2298" spans="12:18" x14ac:dyDescent="0.25">
      <c r="L2298" s="26">
        <v>42776</v>
      </c>
      <c r="M2298" s="6">
        <v>76.160004000000001</v>
      </c>
      <c r="N2298" s="6">
        <v>76.559997999999993</v>
      </c>
      <c r="O2298" s="6">
        <v>75.709998999999996</v>
      </c>
      <c r="P2298" s="6">
        <v>76</v>
      </c>
      <c r="Q2298" s="6">
        <v>70.623565999999997</v>
      </c>
      <c r="R2298" s="58">
        <v>2623200</v>
      </c>
    </row>
    <row r="2299" spans="12:18" x14ac:dyDescent="0.25">
      <c r="L2299" s="26">
        <v>42779</v>
      </c>
      <c r="M2299" s="6">
        <v>75.889999000000003</v>
      </c>
      <c r="N2299" s="6">
        <v>76.040001000000004</v>
      </c>
      <c r="O2299" s="6">
        <v>75.330001999999993</v>
      </c>
      <c r="P2299" s="6">
        <v>75.620002999999997</v>
      </c>
      <c r="Q2299" s="6">
        <v>70.270438999999996</v>
      </c>
      <c r="R2299" s="58">
        <v>2463900</v>
      </c>
    </row>
    <row r="2300" spans="12:18" x14ac:dyDescent="0.25">
      <c r="L2300" s="26">
        <v>42780</v>
      </c>
      <c r="M2300" s="6">
        <v>75.5</v>
      </c>
      <c r="N2300" s="6">
        <v>76.150002000000001</v>
      </c>
      <c r="O2300" s="6">
        <v>75.25</v>
      </c>
      <c r="P2300" s="6">
        <v>75.919998000000007</v>
      </c>
      <c r="Q2300" s="6">
        <v>70.549239999999998</v>
      </c>
      <c r="R2300" s="58">
        <v>1871700</v>
      </c>
    </row>
    <row r="2301" spans="12:18" x14ac:dyDescent="0.25">
      <c r="L2301" s="26">
        <v>42781</v>
      </c>
      <c r="M2301" s="6">
        <v>75.279999000000004</v>
      </c>
      <c r="N2301" s="6">
        <v>76.300003000000004</v>
      </c>
      <c r="O2301" s="6">
        <v>74.529999000000004</v>
      </c>
      <c r="P2301" s="6">
        <v>76.040001000000004</v>
      </c>
      <c r="Q2301" s="6">
        <v>70.660736</v>
      </c>
      <c r="R2301" s="58">
        <v>1934400</v>
      </c>
    </row>
    <row r="2302" spans="12:18" x14ac:dyDescent="0.25">
      <c r="L2302" s="26">
        <v>42782</v>
      </c>
      <c r="M2302" s="6">
        <v>75.889999000000003</v>
      </c>
      <c r="N2302" s="6">
        <v>76.440002000000007</v>
      </c>
      <c r="O2302" s="6">
        <v>74.370002999999997</v>
      </c>
      <c r="P2302" s="6">
        <v>74.709998999999996</v>
      </c>
      <c r="Q2302" s="6">
        <v>69.424828000000005</v>
      </c>
      <c r="R2302" s="58">
        <v>3254800</v>
      </c>
    </row>
    <row r="2303" spans="12:18" x14ac:dyDescent="0.25">
      <c r="L2303" s="26">
        <v>42783</v>
      </c>
      <c r="M2303" s="6">
        <v>72.989998</v>
      </c>
      <c r="N2303" s="6">
        <v>73.690002000000007</v>
      </c>
      <c r="O2303" s="6">
        <v>72.440002000000007</v>
      </c>
      <c r="P2303" s="6">
        <v>72.900002000000001</v>
      </c>
      <c r="Q2303" s="6">
        <v>67.742867000000004</v>
      </c>
      <c r="R2303" s="58">
        <v>4179500</v>
      </c>
    </row>
    <row r="2304" spans="12:18" x14ac:dyDescent="0.25">
      <c r="L2304" s="26">
        <v>42787</v>
      </c>
      <c r="M2304" s="6">
        <v>74.110000999999997</v>
      </c>
      <c r="N2304" s="6">
        <v>74.879997000000003</v>
      </c>
      <c r="O2304" s="6">
        <v>73.839995999999999</v>
      </c>
      <c r="P2304" s="6">
        <v>74.739998</v>
      </c>
      <c r="Q2304" s="6">
        <v>69.452681999999996</v>
      </c>
      <c r="R2304" s="58">
        <v>3602800</v>
      </c>
    </row>
    <row r="2305" spans="12:18" x14ac:dyDescent="0.25">
      <c r="L2305" s="26">
        <v>42788</v>
      </c>
      <c r="M2305" s="6">
        <v>74.639999000000003</v>
      </c>
      <c r="N2305" s="6">
        <v>75.169998000000007</v>
      </c>
      <c r="O2305" s="6">
        <v>74.110000999999997</v>
      </c>
      <c r="P2305" s="6">
        <v>74.489998</v>
      </c>
      <c r="Q2305" s="6">
        <v>69.220382999999998</v>
      </c>
      <c r="R2305" s="58">
        <v>2143400</v>
      </c>
    </row>
    <row r="2306" spans="12:18" x14ac:dyDescent="0.25">
      <c r="L2306" s="26">
        <v>42789</v>
      </c>
      <c r="M2306" s="6">
        <v>74.569999999999993</v>
      </c>
      <c r="N2306" s="6">
        <v>75.019997000000004</v>
      </c>
      <c r="O2306" s="6">
        <v>74.519997000000004</v>
      </c>
      <c r="P2306" s="6">
        <v>74.800003000000004</v>
      </c>
      <c r="Q2306" s="6">
        <v>69.508476000000002</v>
      </c>
      <c r="R2306" s="58">
        <v>1404800</v>
      </c>
    </row>
    <row r="2307" spans="12:18" x14ac:dyDescent="0.25">
      <c r="L2307" s="26">
        <v>42790</v>
      </c>
      <c r="M2307" s="6">
        <v>74.669998000000007</v>
      </c>
      <c r="N2307" s="6">
        <v>75.230002999999996</v>
      </c>
      <c r="O2307" s="6">
        <v>74.669998000000007</v>
      </c>
      <c r="P2307" s="6">
        <v>75.230002999999996</v>
      </c>
      <c r="Q2307" s="6">
        <v>69.908034999999998</v>
      </c>
      <c r="R2307" s="58">
        <v>1714700</v>
      </c>
    </row>
    <row r="2308" spans="12:18" x14ac:dyDescent="0.25">
      <c r="L2308" s="26">
        <v>42793</v>
      </c>
      <c r="M2308" s="6">
        <v>74.440002000000007</v>
      </c>
      <c r="N2308" s="6">
        <v>74.800003000000004</v>
      </c>
      <c r="O2308" s="6">
        <v>73.730002999999996</v>
      </c>
      <c r="P2308" s="6">
        <v>73.879997000000003</v>
      </c>
      <c r="Q2308" s="6">
        <v>69.131386000000006</v>
      </c>
      <c r="R2308" s="58">
        <v>1326700</v>
      </c>
    </row>
    <row r="2309" spans="12:18" x14ac:dyDescent="0.25">
      <c r="L2309" s="26">
        <v>42794</v>
      </c>
      <c r="M2309" s="6">
        <v>73.900002000000001</v>
      </c>
      <c r="N2309" s="6">
        <v>74.599997999999999</v>
      </c>
      <c r="O2309" s="6">
        <v>73.900002000000001</v>
      </c>
      <c r="P2309" s="6">
        <v>74.069999999999993</v>
      </c>
      <c r="Q2309" s="6">
        <v>69.309173999999999</v>
      </c>
      <c r="R2309" s="58">
        <v>1789300</v>
      </c>
    </row>
    <row r="2310" spans="12:18" x14ac:dyDescent="0.25">
      <c r="L2310" s="26">
        <v>42795</v>
      </c>
      <c r="M2310" s="6">
        <v>74.069999999999993</v>
      </c>
      <c r="N2310" s="6">
        <v>74.839995999999999</v>
      </c>
      <c r="O2310" s="6">
        <v>73.75</v>
      </c>
      <c r="P2310" s="6">
        <v>74.830001999999993</v>
      </c>
      <c r="Q2310" s="6">
        <v>70.020317000000006</v>
      </c>
      <c r="R2310" s="58">
        <v>1907700</v>
      </c>
    </row>
    <row r="2311" spans="12:18" x14ac:dyDescent="0.25">
      <c r="L2311" s="26">
        <v>42796</v>
      </c>
      <c r="M2311" s="6">
        <v>74.930000000000007</v>
      </c>
      <c r="N2311" s="6">
        <v>75.099997999999999</v>
      </c>
      <c r="O2311" s="6">
        <v>74.489998</v>
      </c>
      <c r="P2311" s="6">
        <v>75.019997000000004</v>
      </c>
      <c r="Q2311" s="6">
        <v>70.198104999999998</v>
      </c>
      <c r="R2311" s="58">
        <v>3104700</v>
      </c>
    </row>
    <row r="2312" spans="12:18" x14ac:dyDescent="0.25">
      <c r="L2312" s="26">
        <v>42797</v>
      </c>
      <c r="M2312" s="6">
        <v>75.029999000000004</v>
      </c>
      <c r="N2312" s="6">
        <v>75.029999000000004</v>
      </c>
      <c r="O2312" s="6">
        <v>74.069999999999993</v>
      </c>
      <c r="P2312" s="6">
        <v>74.470000999999996</v>
      </c>
      <c r="Q2312" s="6">
        <v>69.683464000000001</v>
      </c>
      <c r="R2312" s="58">
        <v>2676900</v>
      </c>
    </row>
    <row r="2313" spans="12:18" x14ac:dyDescent="0.25">
      <c r="L2313" s="26">
        <v>42800</v>
      </c>
      <c r="M2313" s="6">
        <v>74.050003000000004</v>
      </c>
      <c r="N2313" s="6">
        <v>74.400002000000001</v>
      </c>
      <c r="O2313" s="6">
        <v>73.760002</v>
      </c>
      <c r="P2313" s="6">
        <v>74.220000999999996</v>
      </c>
      <c r="Q2313" s="6">
        <v>69.449523999999997</v>
      </c>
      <c r="R2313" s="58">
        <v>1379500</v>
      </c>
    </row>
    <row r="2314" spans="12:18" x14ac:dyDescent="0.25">
      <c r="L2314" s="26">
        <v>42801</v>
      </c>
      <c r="M2314" s="6">
        <v>74.150002000000001</v>
      </c>
      <c r="N2314" s="6">
        <v>74.760002</v>
      </c>
      <c r="O2314" s="6">
        <v>74.080001999999993</v>
      </c>
      <c r="P2314" s="6">
        <v>74.139999000000003</v>
      </c>
      <c r="Q2314" s="6">
        <v>69.374672000000004</v>
      </c>
      <c r="R2314" s="58">
        <v>1740700</v>
      </c>
    </row>
    <row r="2315" spans="12:18" x14ac:dyDescent="0.25">
      <c r="L2315" s="26">
        <v>42802</v>
      </c>
      <c r="M2315" s="6">
        <v>73.940002000000007</v>
      </c>
      <c r="N2315" s="6">
        <v>74.080001999999993</v>
      </c>
      <c r="O2315" s="6">
        <v>73.639999000000003</v>
      </c>
      <c r="P2315" s="6">
        <v>73.860000999999997</v>
      </c>
      <c r="Q2315" s="6">
        <v>69.112671000000006</v>
      </c>
      <c r="R2315" s="58">
        <v>1365700</v>
      </c>
    </row>
    <row r="2316" spans="12:18" x14ac:dyDescent="0.25">
      <c r="L2316" s="26">
        <v>42803</v>
      </c>
      <c r="M2316" s="6">
        <v>74.110000999999997</v>
      </c>
      <c r="N2316" s="6">
        <v>74.290001000000004</v>
      </c>
      <c r="O2316" s="6">
        <v>73.720000999999996</v>
      </c>
      <c r="P2316" s="6">
        <v>74.099997999999999</v>
      </c>
      <c r="Q2316" s="6">
        <v>69.337233999999995</v>
      </c>
      <c r="R2316" s="58">
        <v>1959900</v>
      </c>
    </row>
    <row r="2317" spans="12:18" x14ac:dyDescent="0.25">
      <c r="L2317" s="26">
        <v>42804</v>
      </c>
      <c r="M2317" s="6">
        <v>74.529999000000004</v>
      </c>
      <c r="N2317" s="6">
        <v>74.650002000000001</v>
      </c>
      <c r="O2317" s="6">
        <v>74.029999000000004</v>
      </c>
      <c r="P2317" s="6">
        <v>74.190002000000007</v>
      </c>
      <c r="Q2317" s="6">
        <v>69.421463000000003</v>
      </c>
      <c r="R2317" s="58">
        <v>1271300</v>
      </c>
    </row>
    <row r="2318" spans="12:18" x14ac:dyDescent="0.25">
      <c r="L2318" s="26">
        <v>42807</v>
      </c>
      <c r="M2318" s="6">
        <v>74.040001000000004</v>
      </c>
      <c r="N2318" s="6">
        <v>74.180000000000007</v>
      </c>
      <c r="O2318" s="6">
        <v>73.839995999999999</v>
      </c>
      <c r="P2318" s="6">
        <v>74.150002000000001</v>
      </c>
      <c r="Q2318" s="6">
        <v>69.384017999999998</v>
      </c>
      <c r="R2318" s="58">
        <v>1346000</v>
      </c>
    </row>
    <row r="2319" spans="12:18" x14ac:dyDescent="0.25">
      <c r="L2319" s="26">
        <v>42808</v>
      </c>
      <c r="M2319" s="6">
        <v>73.870002999999997</v>
      </c>
      <c r="N2319" s="6">
        <v>74.480002999999996</v>
      </c>
      <c r="O2319" s="6">
        <v>73.870002999999997</v>
      </c>
      <c r="P2319" s="6">
        <v>74.230002999999996</v>
      </c>
      <c r="Q2319" s="6">
        <v>69.458884999999995</v>
      </c>
      <c r="R2319" s="58">
        <v>2105300</v>
      </c>
    </row>
    <row r="2320" spans="12:18" x14ac:dyDescent="0.25">
      <c r="L2320" s="26">
        <v>42809</v>
      </c>
      <c r="M2320" s="6">
        <v>74.379997000000003</v>
      </c>
      <c r="N2320" s="6">
        <v>75</v>
      </c>
      <c r="O2320" s="6">
        <v>74.230002999999996</v>
      </c>
      <c r="P2320" s="6">
        <v>74.75</v>
      </c>
      <c r="Q2320" s="6">
        <v>69.945449999999994</v>
      </c>
      <c r="R2320" s="58">
        <v>1538100</v>
      </c>
    </row>
    <row r="2321" spans="12:18" x14ac:dyDescent="0.25">
      <c r="L2321" s="26">
        <v>42810</v>
      </c>
      <c r="M2321" s="6">
        <v>74.650002000000001</v>
      </c>
      <c r="N2321" s="6">
        <v>74.760002</v>
      </c>
      <c r="O2321" s="6">
        <v>74.239998</v>
      </c>
      <c r="P2321" s="6">
        <v>74.760002</v>
      </c>
      <c r="Q2321" s="6">
        <v>69.954825999999997</v>
      </c>
      <c r="R2321" s="58">
        <v>2111800</v>
      </c>
    </row>
    <row r="2322" spans="12:18" x14ac:dyDescent="0.25">
      <c r="L2322" s="26">
        <v>42811</v>
      </c>
      <c r="M2322" s="6">
        <v>75.089995999999999</v>
      </c>
      <c r="N2322" s="6">
        <v>75.309997999999993</v>
      </c>
      <c r="O2322" s="6">
        <v>74.730002999999996</v>
      </c>
      <c r="P2322" s="6">
        <v>75.110000999999997</v>
      </c>
      <c r="Q2322" s="6">
        <v>70.282332999999994</v>
      </c>
      <c r="R2322" s="58">
        <v>3593600</v>
      </c>
    </row>
    <row r="2323" spans="12:18" x14ac:dyDescent="0.25">
      <c r="L2323" s="26">
        <v>42814</v>
      </c>
      <c r="M2323" s="6">
        <v>75.010002</v>
      </c>
      <c r="N2323" s="6">
        <v>75.190002000000007</v>
      </c>
      <c r="O2323" s="6">
        <v>74.660004000000001</v>
      </c>
      <c r="P2323" s="6">
        <v>74.980002999999996</v>
      </c>
      <c r="Q2323" s="6">
        <v>70.160674999999998</v>
      </c>
      <c r="R2323" s="58">
        <v>2655900</v>
      </c>
    </row>
    <row r="2324" spans="12:18" x14ac:dyDescent="0.25">
      <c r="L2324" s="26">
        <v>42815</v>
      </c>
      <c r="M2324" s="6">
        <v>74.059997999999993</v>
      </c>
      <c r="N2324" s="6">
        <v>74.290001000000004</v>
      </c>
      <c r="O2324" s="6">
        <v>73.459998999999996</v>
      </c>
      <c r="P2324" s="6">
        <v>73.599997999999999</v>
      </c>
      <c r="Q2324" s="6">
        <v>68.869377</v>
      </c>
      <c r="R2324" s="58">
        <v>4262800</v>
      </c>
    </row>
    <row r="2325" spans="12:18" x14ac:dyDescent="0.25">
      <c r="L2325" s="26">
        <v>42816</v>
      </c>
      <c r="M2325" s="6">
        <v>73.610000999999997</v>
      </c>
      <c r="N2325" s="6">
        <v>73.629997000000003</v>
      </c>
      <c r="O2325" s="6">
        <v>72.279999000000004</v>
      </c>
      <c r="P2325" s="6">
        <v>72.709998999999996</v>
      </c>
      <c r="Q2325" s="6">
        <v>68.036574999999999</v>
      </c>
      <c r="R2325" s="58">
        <v>4567900</v>
      </c>
    </row>
    <row r="2326" spans="12:18" x14ac:dyDescent="0.25">
      <c r="L2326" s="26">
        <v>42817</v>
      </c>
      <c r="M2326" s="6">
        <v>72.720000999999996</v>
      </c>
      <c r="N2326" s="6">
        <v>73.550003000000004</v>
      </c>
      <c r="O2326" s="6">
        <v>72.379997000000003</v>
      </c>
      <c r="P2326" s="6">
        <v>73.110000999999997</v>
      </c>
      <c r="Q2326" s="6">
        <v>68.410872999999995</v>
      </c>
      <c r="R2326" s="58">
        <v>3006300</v>
      </c>
    </row>
    <row r="2327" spans="12:18" x14ac:dyDescent="0.25">
      <c r="L2327" s="26">
        <v>42818</v>
      </c>
      <c r="M2327" s="6">
        <v>73.290001000000004</v>
      </c>
      <c r="N2327" s="6">
        <v>73.459998999999996</v>
      </c>
      <c r="O2327" s="6">
        <v>72.75</v>
      </c>
      <c r="P2327" s="6">
        <v>73</v>
      </c>
      <c r="Q2327" s="6">
        <v>68.307937999999993</v>
      </c>
      <c r="R2327" s="58">
        <v>2933000</v>
      </c>
    </row>
    <row r="2328" spans="12:18" x14ac:dyDescent="0.25">
      <c r="L2328" s="26">
        <v>42821</v>
      </c>
      <c r="M2328" s="6">
        <v>72.839995999999999</v>
      </c>
      <c r="N2328" s="6">
        <v>73</v>
      </c>
      <c r="O2328" s="6">
        <v>72.400002000000001</v>
      </c>
      <c r="P2328" s="6">
        <v>72.559997999999993</v>
      </c>
      <c r="Q2328" s="6">
        <v>67.896225000000001</v>
      </c>
      <c r="R2328" s="58">
        <v>2523300</v>
      </c>
    </row>
    <row r="2329" spans="12:18" x14ac:dyDescent="0.25">
      <c r="L2329" s="26">
        <v>42822</v>
      </c>
      <c r="M2329" s="6">
        <v>72.440002000000007</v>
      </c>
      <c r="N2329" s="6">
        <v>72.809997999999993</v>
      </c>
      <c r="O2329" s="6">
        <v>72.199996999999996</v>
      </c>
      <c r="P2329" s="6">
        <v>72.660004000000001</v>
      </c>
      <c r="Q2329" s="6">
        <v>67.989799000000005</v>
      </c>
      <c r="R2329" s="58">
        <v>1742100</v>
      </c>
    </row>
    <row r="2330" spans="12:18" x14ac:dyDescent="0.25">
      <c r="L2330" s="26">
        <v>42823</v>
      </c>
      <c r="M2330" s="6">
        <v>72.669998000000007</v>
      </c>
      <c r="N2330" s="6">
        <v>73.160004000000001</v>
      </c>
      <c r="O2330" s="6">
        <v>72.300003000000004</v>
      </c>
      <c r="P2330" s="6">
        <v>73.080001999999993</v>
      </c>
      <c r="Q2330" s="6">
        <v>68.382805000000005</v>
      </c>
      <c r="R2330" s="58">
        <v>2055700</v>
      </c>
    </row>
    <row r="2331" spans="12:18" x14ac:dyDescent="0.25">
      <c r="L2331" s="26">
        <v>42824</v>
      </c>
      <c r="M2331" s="6">
        <v>72.930000000000007</v>
      </c>
      <c r="N2331" s="6">
        <v>73.129997000000003</v>
      </c>
      <c r="O2331" s="6">
        <v>72.379997000000003</v>
      </c>
      <c r="P2331" s="6">
        <v>72.540001000000004</v>
      </c>
      <c r="Q2331" s="6">
        <v>67.877502000000007</v>
      </c>
      <c r="R2331" s="58">
        <v>2143400</v>
      </c>
    </row>
    <row r="2332" spans="12:18" x14ac:dyDescent="0.25">
      <c r="L2332" s="26">
        <v>42825</v>
      </c>
      <c r="M2332" s="6">
        <v>72.449996999999996</v>
      </c>
      <c r="N2332" s="6">
        <v>72.919998000000007</v>
      </c>
      <c r="O2332" s="6">
        <v>72.449996999999996</v>
      </c>
      <c r="P2332" s="6">
        <v>72.610000999999997</v>
      </c>
      <c r="Q2332" s="6">
        <v>67.943000999999995</v>
      </c>
      <c r="R2332" s="58">
        <v>2145600</v>
      </c>
    </row>
    <row r="2333" spans="12:18" x14ac:dyDescent="0.25">
      <c r="L2333" s="26">
        <v>42828</v>
      </c>
      <c r="M2333" s="6">
        <v>72.589995999999999</v>
      </c>
      <c r="N2333" s="6">
        <v>72.75</v>
      </c>
      <c r="O2333" s="6">
        <v>72.139999000000003</v>
      </c>
      <c r="P2333" s="6">
        <v>72.370002999999997</v>
      </c>
      <c r="Q2333" s="6">
        <v>67.718445000000003</v>
      </c>
      <c r="R2333" s="58">
        <v>2156100</v>
      </c>
    </row>
    <row r="2334" spans="12:18" x14ac:dyDescent="0.25">
      <c r="L2334" s="26">
        <v>42829</v>
      </c>
      <c r="M2334" s="6">
        <v>72.410004000000001</v>
      </c>
      <c r="N2334" s="6">
        <v>72.669998000000007</v>
      </c>
      <c r="O2334" s="6">
        <v>71.860000999999997</v>
      </c>
      <c r="P2334" s="6">
        <v>72.269997000000004</v>
      </c>
      <c r="Q2334" s="6">
        <v>67.624863000000005</v>
      </c>
      <c r="R2334" s="58">
        <v>1420900</v>
      </c>
    </row>
    <row r="2335" spans="12:18" x14ac:dyDescent="0.25">
      <c r="L2335" s="26">
        <v>42830</v>
      </c>
      <c r="M2335" s="6">
        <v>72.339995999999999</v>
      </c>
      <c r="N2335" s="6">
        <v>72.970000999999996</v>
      </c>
      <c r="O2335" s="6">
        <v>72.180000000000007</v>
      </c>
      <c r="P2335" s="6">
        <v>72.75</v>
      </c>
      <c r="Q2335" s="6">
        <v>68.074020000000004</v>
      </c>
      <c r="R2335" s="58">
        <v>1516600</v>
      </c>
    </row>
    <row r="2336" spans="12:18" x14ac:dyDescent="0.25">
      <c r="L2336" s="26">
        <v>42831</v>
      </c>
      <c r="M2336" s="6">
        <v>72.589995999999999</v>
      </c>
      <c r="N2336" s="6">
        <v>72.589995999999999</v>
      </c>
      <c r="O2336" s="6">
        <v>72.019997000000004</v>
      </c>
      <c r="P2336" s="6">
        <v>72.410004000000001</v>
      </c>
      <c r="Q2336" s="6">
        <v>67.755866999999995</v>
      </c>
      <c r="R2336" s="58">
        <v>1777700</v>
      </c>
    </row>
    <row r="2337" spans="12:18" x14ac:dyDescent="0.25">
      <c r="L2337" s="26">
        <v>42832</v>
      </c>
      <c r="M2337" s="6">
        <v>72.360000999999997</v>
      </c>
      <c r="N2337" s="6">
        <v>72.730002999999996</v>
      </c>
      <c r="O2337" s="6">
        <v>72.260002</v>
      </c>
      <c r="P2337" s="6">
        <v>72.589995999999999</v>
      </c>
      <c r="Q2337" s="6">
        <v>67.924294000000003</v>
      </c>
      <c r="R2337" s="58">
        <v>1811200</v>
      </c>
    </row>
    <row r="2338" spans="12:18" x14ac:dyDescent="0.25">
      <c r="L2338" s="26">
        <v>42835</v>
      </c>
      <c r="M2338" s="6">
        <v>72.480002999999996</v>
      </c>
      <c r="N2338" s="6">
        <v>72.760002</v>
      </c>
      <c r="O2338" s="6">
        <v>72.129997000000003</v>
      </c>
      <c r="P2338" s="6">
        <v>72.269997000000004</v>
      </c>
      <c r="Q2338" s="6">
        <v>67.624863000000005</v>
      </c>
      <c r="R2338" s="58">
        <v>1714900</v>
      </c>
    </row>
    <row r="2339" spans="12:18" x14ac:dyDescent="0.25">
      <c r="L2339" s="26">
        <v>42836</v>
      </c>
      <c r="M2339" s="6">
        <v>72.300003000000004</v>
      </c>
      <c r="N2339" s="6">
        <v>72.540001000000004</v>
      </c>
      <c r="O2339" s="6">
        <v>71.970000999999996</v>
      </c>
      <c r="P2339" s="6">
        <v>72.150002000000001</v>
      </c>
      <c r="Q2339" s="6">
        <v>67.512573000000003</v>
      </c>
      <c r="R2339" s="58">
        <v>2045100</v>
      </c>
    </row>
    <row r="2340" spans="12:18" x14ac:dyDescent="0.25">
      <c r="L2340" s="26">
        <v>42837</v>
      </c>
      <c r="M2340" s="6">
        <v>72.069999999999993</v>
      </c>
      <c r="N2340" s="6">
        <v>72.589995999999999</v>
      </c>
      <c r="O2340" s="6">
        <v>71.970000999999996</v>
      </c>
      <c r="P2340" s="6">
        <v>72.330001999999993</v>
      </c>
      <c r="Q2340" s="6">
        <v>67.681022999999996</v>
      </c>
      <c r="R2340" s="58">
        <v>2494400</v>
      </c>
    </row>
    <row r="2341" spans="12:18" x14ac:dyDescent="0.25">
      <c r="L2341" s="26">
        <v>42838</v>
      </c>
      <c r="M2341" s="6">
        <v>72.339995999999999</v>
      </c>
      <c r="N2341" s="6">
        <v>72.580001999999993</v>
      </c>
      <c r="O2341" s="6">
        <v>71.910004000000001</v>
      </c>
      <c r="P2341" s="6">
        <v>71.949996999999996</v>
      </c>
      <c r="Q2341" s="6">
        <v>67.325423999999998</v>
      </c>
      <c r="R2341" s="58">
        <v>1698100</v>
      </c>
    </row>
    <row r="2342" spans="12:18" x14ac:dyDescent="0.25">
      <c r="L2342" s="26">
        <v>42842</v>
      </c>
      <c r="M2342" s="6">
        <v>72.080001999999993</v>
      </c>
      <c r="N2342" s="6">
        <v>72.370002999999997</v>
      </c>
      <c r="O2342" s="6">
        <v>72</v>
      </c>
      <c r="P2342" s="6">
        <v>72.309997999999993</v>
      </c>
      <c r="Q2342" s="6">
        <v>67.662300000000002</v>
      </c>
      <c r="R2342" s="58">
        <v>1264900</v>
      </c>
    </row>
    <row r="2343" spans="12:18" x14ac:dyDescent="0.25">
      <c r="L2343" s="26">
        <v>42843</v>
      </c>
      <c r="M2343" s="6">
        <v>72.379997000000003</v>
      </c>
      <c r="N2343" s="6">
        <v>73.379997000000003</v>
      </c>
      <c r="O2343" s="6">
        <v>72.300003000000004</v>
      </c>
      <c r="P2343" s="6">
        <v>72.980002999999996</v>
      </c>
      <c r="Q2343" s="6">
        <v>68.289230000000003</v>
      </c>
      <c r="R2343" s="58">
        <v>1831700</v>
      </c>
    </row>
    <row r="2344" spans="12:18" x14ac:dyDescent="0.25">
      <c r="L2344" s="26">
        <v>42844</v>
      </c>
      <c r="M2344" s="6">
        <v>73.150002000000001</v>
      </c>
      <c r="N2344" s="6">
        <v>73.330001999999993</v>
      </c>
      <c r="O2344" s="6">
        <v>72.470000999999996</v>
      </c>
      <c r="P2344" s="6">
        <v>72.660004000000001</v>
      </c>
      <c r="Q2344" s="6">
        <v>67.989799000000005</v>
      </c>
      <c r="R2344" s="58">
        <v>1204600</v>
      </c>
    </row>
    <row r="2345" spans="12:18" x14ac:dyDescent="0.25">
      <c r="L2345" s="26">
        <v>42845</v>
      </c>
      <c r="M2345" s="6">
        <v>72.599997999999999</v>
      </c>
      <c r="N2345" s="6">
        <v>72.839995999999999</v>
      </c>
      <c r="O2345" s="6">
        <v>72.230002999999996</v>
      </c>
      <c r="P2345" s="6">
        <v>72.790001000000004</v>
      </c>
      <c r="Q2345" s="6">
        <v>68.111442999999994</v>
      </c>
      <c r="R2345" s="58">
        <v>2164000</v>
      </c>
    </row>
    <row r="2346" spans="12:18" x14ac:dyDescent="0.25">
      <c r="L2346" s="26">
        <v>42846</v>
      </c>
      <c r="M2346" s="6">
        <v>72.540001000000004</v>
      </c>
      <c r="N2346" s="6">
        <v>72.779999000000004</v>
      </c>
      <c r="O2346" s="6">
        <v>72.330001999999993</v>
      </c>
      <c r="P2346" s="6">
        <v>72.419998000000007</v>
      </c>
      <c r="Q2346" s="6">
        <v>67.765213000000003</v>
      </c>
      <c r="R2346" s="58">
        <v>2739200</v>
      </c>
    </row>
    <row r="2347" spans="12:18" x14ac:dyDescent="0.25">
      <c r="L2347" s="26">
        <v>42849</v>
      </c>
      <c r="M2347" s="6">
        <v>72.760002</v>
      </c>
      <c r="N2347" s="6">
        <v>73</v>
      </c>
      <c r="O2347" s="6">
        <v>72.540001000000004</v>
      </c>
      <c r="P2347" s="6">
        <v>72.769997000000004</v>
      </c>
      <c r="Q2347" s="6">
        <v>68.092712000000006</v>
      </c>
      <c r="R2347" s="58">
        <v>1863800</v>
      </c>
    </row>
    <row r="2348" spans="12:18" x14ac:dyDescent="0.25">
      <c r="L2348" s="26">
        <v>42850</v>
      </c>
      <c r="M2348" s="6">
        <v>72.809997999999993</v>
      </c>
      <c r="N2348" s="6">
        <v>72.970000999999996</v>
      </c>
      <c r="O2348" s="6">
        <v>72.339995999999999</v>
      </c>
      <c r="P2348" s="6">
        <v>72.349997999999999</v>
      </c>
      <c r="Q2348" s="6">
        <v>67.699721999999994</v>
      </c>
      <c r="R2348" s="58">
        <v>2218000</v>
      </c>
    </row>
    <row r="2349" spans="12:18" x14ac:dyDescent="0.25">
      <c r="L2349" s="26">
        <v>42851</v>
      </c>
      <c r="M2349" s="6">
        <v>72.379997000000003</v>
      </c>
      <c r="N2349" s="6">
        <v>72.430000000000007</v>
      </c>
      <c r="O2349" s="6">
        <v>71.470000999999996</v>
      </c>
      <c r="P2349" s="6">
        <v>71.489998</v>
      </c>
      <c r="Q2349" s="6">
        <v>66.894997000000004</v>
      </c>
      <c r="R2349" s="58">
        <v>2428700</v>
      </c>
    </row>
    <row r="2350" spans="12:18" x14ac:dyDescent="0.25">
      <c r="L2350" s="26">
        <v>42852</v>
      </c>
      <c r="M2350" s="6">
        <v>71.559997999999993</v>
      </c>
      <c r="N2350" s="6">
        <v>71.620002999999997</v>
      </c>
      <c r="O2350" s="6">
        <v>70.779999000000004</v>
      </c>
      <c r="P2350" s="6">
        <v>70.959998999999996</v>
      </c>
      <c r="Q2350" s="6">
        <v>66.399078000000003</v>
      </c>
      <c r="R2350" s="58">
        <v>2293800</v>
      </c>
    </row>
    <row r="2351" spans="12:18" x14ac:dyDescent="0.25">
      <c r="L2351" s="26">
        <v>42853</v>
      </c>
      <c r="M2351" s="6">
        <v>71.059997999999993</v>
      </c>
      <c r="N2351" s="6">
        <v>71.180000000000007</v>
      </c>
      <c r="O2351" s="6">
        <v>70.569999999999993</v>
      </c>
      <c r="P2351" s="6">
        <v>71</v>
      </c>
      <c r="Q2351" s="6">
        <v>66.436492999999999</v>
      </c>
      <c r="R2351" s="58">
        <v>3890800</v>
      </c>
    </row>
    <row r="2352" spans="12:18" x14ac:dyDescent="0.25">
      <c r="L2352" s="26">
        <v>42856</v>
      </c>
      <c r="M2352" s="6">
        <v>71.089995999999999</v>
      </c>
      <c r="N2352" s="6">
        <v>71.190002000000007</v>
      </c>
      <c r="O2352" s="6">
        <v>70.129997000000003</v>
      </c>
      <c r="P2352" s="6">
        <v>70.150002000000001</v>
      </c>
      <c r="Q2352" s="6">
        <v>65.641120999999998</v>
      </c>
      <c r="R2352" s="58">
        <v>2060900</v>
      </c>
    </row>
    <row r="2353" spans="12:18" x14ac:dyDescent="0.25">
      <c r="L2353" s="26">
        <v>42857</v>
      </c>
      <c r="M2353" s="6">
        <v>70.510002</v>
      </c>
      <c r="N2353" s="6">
        <v>70.510002</v>
      </c>
      <c r="O2353" s="6">
        <v>68.919998000000007</v>
      </c>
      <c r="P2353" s="6">
        <v>69.029999000000004</v>
      </c>
      <c r="Q2353" s="6">
        <v>64.593117000000007</v>
      </c>
      <c r="R2353" s="58">
        <v>3625900</v>
      </c>
    </row>
    <row r="2354" spans="12:18" x14ac:dyDescent="0.25">
      <c r="L2354" s="26">
        <v>42858</v>
      </c>
      <c r="M2354" s="6">
        <v>69.120002999999997</v>
      </c>
      <c r="N2354" s="6">
        <v>69.199996999999996</v>
      </c>
      <c r="O2354" s="6">
        <v>68.669998000000007</v>
      </c>
      <c r="P2354" s="6">
        <v>68.940002000000007</v>
      </c>
      <c r="Q2354" s="6">
        <v>64.508895999999993</v>
      </c>
      <c r="R2354" s="58">
        <v>2853700</v>
      </c>
    </row>
    <row r="2355" spans="12:18" x14ac:dyDescent="0.25">
      <c r="L2355" s="26">
        <v>42859</v>
      </c>
      <c r="M2355" s="6">
        <v>68.690002000000007</v>
      </c>
      <c r="N2355" s="6">
        <v>71.489998</v>
      </c>
      <c r="O2355" s="6">
        <v>68.690002000000007</v>
      </c>
      <c r="P2355" s="6">
        <v>70.400002000000001</v>
      </c>
      <c r="Q2355" s="6">
        <v>65.875052999999994</v>
      </c>
      <c r="R2355" s="58">
        <v>5349100</v>
      </c>
    </row>
    <row r="2356" spans="12:18" x14ac:dyDescent="0.25">
      <c r="L2356" s="26">
        <v>42860</v>
      </c>
      <c r="M2356" s="6">
        <v>70.739998</v>
      </c>
      <c r="N2356" s="6">
        <v>70.739998</v>
      </c>
      <c r="O2356" s="6">
        <v>69.989998</v>
      </c>
      <c r="P2356" s="6">
        <v>70.690002000000007</v>
      </c>
      <c r="Q2356" s="6">
        <v>66.146422999999999</v>
      </c>
      <c r="R2356" s="58">
        <v>2684900</v>
      </c>
    </row>
    <row r="2357" spans="12:18" x14ac:dyDescent="0.25">
      <c r="L2357" s="26">
        <v>42863</v>
      </c>
      <c r="M2357" s="6">
        <v>70.690002000000007</v>
      </c>
      <c r="N2357" s="6">
        <v>73.430000000000007</v>
      </c>
      <c r="O2357" s="6">
        <v>70.25</v>
      </c>
      <c r="P2357" s="6">
        <v>72.699996999999996</v>
      </c>
      <c r="Q2357" s="6">
        <v>68.027229000000005</v>
      </c>
      <c r="R2357" s="58">
        <v>6966700</v>
      </c>
    </row>
    <row r="2358" spans="12:18" x14ac:dyDescent="0.25">
      <c r="L2358" s="26">
        <v>42864</v>
      </c>
      <c r="M2358" s="6">
        <v>72.610000999999997</v>
      </c>
      <c r="N2358" s="6">
        <v>72.720000999999996</v>
      </c>
      <c r="O2358" s="6">
        <v>70.470000999999996</v>
      </c>
      <c r="P2358" s="6">
        <v>70.849997999999999</v>
      </c>
      <c r="Q2358" s="6">
        <v>66.296135000000007</v>
      </c>
      <c r="R2358" s="58">
        <v>3663200</v>
      </c>
    </row>
    <row r="2359" spans="12:18" x14ac:dyDescent="0.25">
      <c r="L2359" s="26">
        <v>42865</v>
      </c>
      <c r="M2359" s="6">
        <v>70.819999999999993</v>
      </c>
      <c r="N2359" s="6">
        <v>71.309997999999993</v>
      </c>
      <c r="O2359" s="6">
        <v>70.779999000000004</v>
      </c>
      <c r="P2359" s="6">
        <v>71.050003000000004</v>
      </c>
      <c r="Q2359" s="6">
        <v>66.483276000000004</v>
      </c>
      <c r="R2359" s="58">
        <v>1931500</v>
      </c>
    </row>
    <row r="2360" spans="12:18" x14ac:dyDescent="0.25">
      <c r="L2360" s="26">
        <v>42866</v>
      </c>
      <c r="M2360" s="6">
        <v>71.040001000000004</v>
      </c>
      <c r="N2360" s="6">
        <v>71.110000999999997</v>
      </c>
      <c r="O2360" s="6">
        <v>70.190002000000007</v>
      </c>
      <c r="P2360" s="6">
        <v>70.690002000000007</v>
      </c>
      <c r="Q2360" s="6">
        <v>66.146422999999999</v>
      </c>
      <c r="R2360" s="58">
        <v>3431400</v>
      </c>
    </row>
    <row r="2361" spans="12:18" x14ac:dyDescent="0.25">
      <c r="L2361" s="26">
        <v>42867</v>
      </c>
      <c r="M2361" s="6">
        <v>70.459998999999996</v>
      </c>
      <c r="N2361" s="6">
        <v>70.949996999999996</v>
      </c>
      <c r="O2361" s="6">
        <v>70.300003000000004</v>
      </c>
      <c r="P2361" s="6">
        <v>70.830001999999993</v>
      </c>
      <c r="Q2361" s="6">
        <v>66.277420000000006</v>
      </c>
      <c r="R2361" s="58">
        <v>1940500</v>
      </c>
    </row>
    <row r="2362" spans="12:18" x14ac:dyDescent="0.25">
      <c r="L2362" s="26">
        <v>42870</v>
      </c>
      <c r="M2362" s="6">
        <v>70.739998</v>
      </c>
      <c r="N2362" s="6">
        <v>71.139999000000003</v>
      </c>
      <c r="O2362" s="6">
        <v>70.730002999999996</v>
      </c>
      <c r="P2362" s="6">
        <v>71.019997000000004</v>
      </c>
      <c r="Q2362" s="6">
        <v>66.455207999999999</v>
      </c>
      <c r="R2362" s="58">
        <v>2310300</v>
      </c>
    </row>
    <row r="2363" spans="12:18" x14ac:dyDescent="0.25">
      <c r="L2363" s="26">
        <v>42871</v>
      </c>
      <c r="M2363" s="6">
        <v>71.139999000000003</v>
      </c>
      <c r="N2363" s="6">
        <v>71.169998000000007</v>
      </c>
      <c r="O2363" s="6">
        <v>70.190002000000007</v>
      </c>
      <c r="P2363" s="6">
        <v>70.349997999999999</v>
      </c>
      <c r="Q2363" s="6">
        <v>65.828270000000003</v>
      </c>
      <c r="R2363" s="58">
        <v>2292400</v>
      </c>
    </row>
    <row r="2364" spans="12:18" x14ac:dyDescent="0.25">
      <c r="L2364" s="26">
        <v>42872</v>
      </c>
      <c r="M2364" s="6">
        <v>70.349997999999999</v>
      </c>
      <c r="N2364" s="6">
        <v>70.949996999999996</v>
      </c>
      <c r="O2364" s="6">
        <v>69.970000999999996</v>
      </c>
      <c r="P2364" s="6">
        <v>70.529999000000004</v>
      </c>
      <c r="Q2364" s="6">
        <v>65.996703999999994</v>
      </c>
      <c r="R2364" s="58">
        <v>2528900</v>
      </c>
    </row>
    <row r="2365" spans="12:18" x14ac:dyDescent="0.25">
      <c r="L2365" s="26">
        <v>42873</v>
      </c>
      <c r="M2365" s="6">
        <v>70.379997000000003</v>
      </c>
      <c r="N2365" s="6">
        <v>70.540001000000004</v>
      </c>
      <c r="O2365" s="6">
        <v>69.849997999999999</v>
      </c>
      <c r="P2365" s="6">
        <v>70.080001999999993</v>
      </c>
      <c r="Q2365" s="6">
        <v>65.575622999999993</v>
      </c>
      <c r="R2365" s="58">
        <v>2434500</v>
      </c>
    </row>
    <row r="2366" spans="12:18" x14ac:dyDescent="0.25">
      <c r="L2366" s="26">
        <v>42874</v>
      </c>
      <c r="M2366" s="6">
        <v>70.199996999999996</v>
      </c>
      <c r="N2366" s="6">
        <v>71.099997999999999</v>
      </c>
      <c r="O2366" s="6">
        <v>69.819999999999993</v>
      </c>
      <c r="P2366" s="6">
        <v>71.029999000000004</v>
      </c>
      <c r="Q2366" s="6">
        <v>66.464561000000003</v>
      </c>
      <c r="R2366" s="58">
        <v>2606400</v>
      </c>
    </row>
    <row r="2367" spans="12:18" x14ac:dyDescent="0.25">
      <c r="L2367" s="26">
        <v>42877</v>
      </c>
      <c r="M2367" s="6">
        <v>70.599997999999999</v>
      </c>
      <c r="N2367" s="6">
        <v>71.430000000000007</v>
      </c>
      <c r="O2367" s="6">
        <v>70.599997999999999</v>
      </c>
      <c r="P2367" s="6">
        <v>71.309997999999993</v>
      </c>
      <c r="Q2367" s="6">
        <v>66.726562999999999</v>
      </c>
      <c r="R2367" s="58">
        <v>1222000</v>
      </c>
    </row>
    <row r="2368" spans="12:18" x14ac:dyDescent="0.25">
      <c r="L2368" s="26">
        <v>42878</v>
      </c>
      <c r="M2368" s="6">
        <v>71.349997999999999</v>
      </c>
      <c r="N2368" s="6">
        <v>71.819999999999993</v>
      </c>
      <c r="O2368" s="6">
        <v>71.260002</v>
      </c>
      <c r="P2368" s="6">
        <v>71.610000999999997</v>
      </c>
      <c r="Q2368" s="6">
        <v>67.007285999999993</v>
      </c>
      <c r="R2368" s="58">
        <v>1986100</v>
      </c>
    </row>
    <row r="2369" spans="12:18" x14ac:dyDescent="0.25">
      <c r="L2369" s="26">
        <v>42879</v>
      </c>
      <c r="M2369" s="6">
        <v>71.610000999999997</v>
      </c>
      <c r="N2369" s="6">
        <v>72.599997999999999</v>
      </c>
      <c r="O2369" s="6">
        <v>71.559997999999993</v>
      </c>
      <c r="P2369" s="6">
        <v>72.519997000000004</v>
      </c>
      <c r="Q2369" s="6">
        <v>67.858788000000004</v>
      </c>
      <c r="R2369" s="58">
        <v>2531900</v>
      </c>
    </row>
    <row r="2370" spans="12:18" x14ac:dyDescent="0.25">
      <c r="L2370" s="26">
        <v>42880</v>
      </c>
      <c r="M2370" s="6">
        <v>72.849997999999999</v>
      </c>
      <c r="N2370" s="6">
        <v>73.120002999999997</v>
      </c>
      <c r="O2370" s="6">
        <v>72.410004000000001</v>
      </c>
      <c r="P2370" s="6">
        <v>72.680000000000007</v>
      </c>
      <c r="Q2370" s="6">
        <v>68.008514000000005</v>
      </c>
      <c r="R2370" s="58">
        <v>2218300</v>
      </c>
    </row>
    <row r="2371" spans="12:18" x14ac:dyDescent="0.25">
      <c r="L2371" s="26">
        <v>42881</v>
      </c>
      <c r="M2371" s="6">
        <v>72.809997999999993</v>
      </c>
      <c r="N2371" s="6">
        <v>73.029999000000004</v>
      </c>
      <c r="O2371" s="6">
        <v>72.290001000000004</v>
      </c>
      <c r="P2371" s="6">
        <v>72.620002999999997</v>
      </c>
      <c r="Q2371" s="6">
        <v>67.952370000000002</v>
      </c>
      <c r="R2371" s="58">
        <v>1312600</v>
      </c>
    </row>
    <row r="2372" spans="12:18" x14ac:dyDescent="0.25">
      <c r="L2372" s="26">
        <v>42885</v>
      </c>
      <c r="M2372" s="6">
        <v>71.940002000000007</v>
      </c>
      <c r="N2372" s="6">
        <v>71.940002000000007</v>
      </c>
      <c r="O2372" s="6">
        <v>71.180000000000007</v>
      </c>
      <c r="P2372" s="6">
        <v>71.680000000000007</v>
      </c>
      <c r="Q2372" s="6">
        <v>67.556533999999999</v>
      </c>
      <c r="R2372" s="58">
        <v>1827200</v>
      </c>
    </row>
    <row r="2373" spans="12:18" x14ac:dyDescent="0.25">
      <c r="L2373" s="26">
        <v>42886</v>
      </c>
      <c r="M2373" s="6">
        <v>71.809997999999993</v>
      </c>
      <c r="N2373" s="6">
        <v>72.169998000000007</v>
      </c>
      <c r="O2373" s="6">
        <v>71.550003000000004</v>
      </c>
      <c r="P2373" s="6">
        <v>71.599997999999999</v>
      </c>
      <c r="Q2373" s="6">
        <v>67.481125000000006</v>
      </c>
      <c r="R2373" s="58">
        <v>1711800</v>
      </c>
    </row>
    <row r="2374" spans="12:18" x14ac:dyDescent="0.25">
      <c r="L2374" s="26">
        <v>42887</v>
      </c>
      <c r="M2374" s="6">
        <v>71.889999000000003</v>
      </c>
      <c r="N2374" s="6">
        <v>72.949996999999996</v>
      </c>
      <c r="O2374" s="6">
        <v>71.559997999999993</v>
      </c>
      <c r="P2374" s="6">
        <v>72.940002000000007</v>
      </c>
      <c r="Q2374" s="6">
        <v>68.744049000000004</v>
      </c>
      <c r="R2374" s="58">
        <v>2075300</v>
      </c>
    </row>
    <row r="2375" spans="12:18" x14ac:dyDescent="0.25">
      <c r="L2375" s="26">
        <v>42888</v>
      </c>
      <c r="M2375" s="6">
        <v>73.5</v>
      </c>
      <c r="N2375" s="6">
        <v>73.5</v>
      </c>
      <c r="O2375" s="6">
        <v>72.730002999999996</v>
      </c>
      <c r="P2375" s="6">
        <v>72.970000999999996</v>
      </c>
      <c r="Q2375" s="6">
        <v>68.772316000000004</v>
      </c>
      <c r="R2375" s="58">
        <v>1760000</v>
      </c>
    </row>
    <row r="2376" spans="12:18" x14ac:dyDescent="0.25">
      <c r="L2376" s="26">
        <v>42891</v>
      </c>
      <c r="M2376" s="6">
        <v>72.660004000000001</v>
      </c>
      <c r="N2376" s="6">
        <v>73.040001000000004</v>
      </c>
      <c r="O2376" s="6">
        <v>72.550003000000004</v>
      </c>
      <c r="P2376" s="6">
        <v>72.949996999999996</v>
      </c>
      <c r="Q2376" s="6">
        <v>68.753463999999994</v>
      </c>
      <c r="R2376" s="58">
        <v>1542900</v>
      </c>
    </row>
    <row r="2377" spans="12:18" x14ac:dyDescent="0.25">
      <c r="L2377" s="26">
        <v>42892</v>
      </c>
      <c r="M2377" s="6">
        <v>72.839995999999999</v>
      </c>
      <c r="N2377" s="6">
        <v>73.089995999999999</v>
      </c>
      <c r="O2377" s="6">
        <v>72.639999000000003</v>
      </c>
      <c r="P2377" s="6">
        <v>72.839995999999999</v>
      </c>
      <c r="Q2377" s="6">
        <v>68.649795999999995</v>
      </c>
      <c r="R2377" s="58">
        <v>1176700</v>
      </c>
    </row>
    <row r="2378" spans="12:18" x14ac:dyDescent="0.25">
      <c r="L2378" s="26">
        <v>42893</v>
      </c>
      <c r="M2378" s="6">
        <v>72.75</v>
      </c>
      <c r="N2378" s="6">
        <v>73.230002999999996</v>
      </c>
      <c r="O2378" s="6">
        <v>72.699996999999996</v>
      </c>
      <c r="P2378" s="6">
        <v>73.129997000000003</v>
      </c>
      <c r="Q2378" s="6">
        <v>68.923119</v>
      </c>
      <c r="R2378" s="58">
        <v>1631000</v>
      </c>
    </row>
    <row r="2379" spans="12:18" x14ac:dyDescent="0.25">
      <c r="L2379" s="26">
        <v>42894</v>
      </c>
      <c r="M2379" s="6">
        <v>73.129997000000003</v>
      </c>
      <c r="N2379" s="6">
        <v>73.25</v>
      </c>
      <c r="O2379" s="6">
        <v>72.230002999999996</v>
      </c>
      <c r="P2379" s="6">
        <v>72.25</v>
      </c>
      <c r="Q2379" s="6">
        <v>68.093727000000001</v>
      </c>
      <c r="R2379" s="58">
        <v>1856400</v>
      </c>
    </row>
    <row r="2380" spans="12:18" x14ac:dyDescent="0.25">
      <c r="L2380" s="26">
        <v>42895</v>
      </c>
      <c r="M2380" s="6">
        <v>72.190002000000007</v>
      </c>
      <c r="N2380" s="6">
        <v>72.769997000000004</v>
      </c>
      <c r="O2380" s="6">
        <v>72.080001999999993</v>
      </c>
      <c r="P2380" s="6">
        <v>72.660004000000001</v>
      </c>
      <c r="Q2380" s="6">
        <v>68.480155999999994</v>
      </c>
      <c r="R2380" s="58">
        <v>1403800</v>
      </c>
    </row>
    <row r="2381" spans="12:18" x14ac:dyDescent="0.25">
      <c r="L2381" s="26">
        <v>42898</v>
      </c>
      <c r="M2381" s="6">
        <v>72.790001000000004</v>
      </c>
      <c r="N2381" s="6">
        <v>73.629997000000003</v>
      </c>
      <c r="O2381" s="6">
        <v>72.75</v>
      </c>
      <c r="P2381" s="6">
        <v>73.080001999999993</v>
      </c>
      <c r="Q2381" s="6">
        <v>68.875991999999997</v>
      </c>
      <c r="R2381" s="58">
        <v>2518800</v>
      </c>
    </row>
    <row r="2382" spans="12:18" x14ac:dyDescent="0.25">
      <c r="L2382" s="26">
        <v>42899</v>
      </c>
      <c r="M2382" s="6">
        <v>72.870002999999997</v>
      </c>
      <c r="N2382" s="6">
        <v>73.470000999999996</v>
      </c>
      <c r="O2382" s="6">
        <v>72.330001999999993</v>
      </c>
      <c r="P2382" s="6">
        <v>73.300003000000004</v>
      </c>
      <c r="Q2382" s="6">
        <v>69.083343999999997</v>
      </c>
      <c r="R2382" s="58">
        <v>1675700</v>
      </c>
    </row>
    <row r="2383" spans="12:18" x14ac:dyDescent="0.25">
      <c r="L2383" s="26">
        <v>42900</v>
      </c>
      <c r="M2383" s="6">
        <v>73.559997999999993</v>
      </c>
      <c r="N2383" s="6">
        <v>74.279999000000004</v>
      </c>
      <c r="O2383" s="6">
        <v>73.440002000000007</v>
      </c>
      <c r="P2383" s="6">
        <v>73.489998</v>
      </c>
      <c r="Q2383" s="6">
        <v>69.262405000000001</v>
      </c>
      <c r="R2383" s="58">
        <v>1690500</v>
      </c>
    </row>
    <row r="2384" spans="12:18" x14ac:dyDescent="0.25">
      <c r="L2384" s="26">
        <v>42901</v>
      </c>
      <c r="M2384" s="6">
        <v>73.300003000000004</v>
      </c>
      <c r="N2384" s="6">
        <v>73.639999000000003</v>
      </c>
      <c r="O2384" s="6">
        <v>72.889999000000003</v>
      </c>
      <c r="P2384" s="6">
        <v>73.099997999999999</v>
      </c>
      <c r="Q2384" s="6">
        <v>68.894829000000001</v>
      </c>
      <c r="R2384" s="58">
        <v>1661000</v>
      </c>
    </row>
    <row r="2385" spans="12:18" x14ac:dyDescent="0.25">
      <c r="L2385" s="26">
        <v>42902</v>
      </c>
      <c r="M2385" s="6">
        <v>72.940002000000007</v>
      </c>
      <c r="N2385" s="6">
        <v>73</v>
      </c>
      <c r="O2385" s="6">
        <v>71.080001999999993</v>
      </c>
      <c r="P2385" s="6">
        <v>71.879997000000003</v>
      </c>
      <c r="Q2385" s="6">
        <v>67.745025999999996</v>
      </c>
      <c r="R2385" s="58">
        <v>3595800</v>
      </c>
    </row>
    <row r="2386" spans="12:18" x14ac:dyDescent="0.25">
      <c r="L2386" s="26">
        <v>42905</v>
      </c>
      <c r="M2386" s="6">
        <v>72</v>
      </c>
      <c r="N2386" s="6">
        <v>72.129997000000003</v>
      </c>
      <c r="O2386" s="6">
        <v>71.360000999999997</v>
      </c>
      <c r="P2386" s="6">
        <v>71.760002</v>
      </c>
      <c r="Q2386" s="6">
        <v>67.631927000000005</v>
      </c>
      <c r="R2386" s="58">
        <v>2270600</v>
      </c>
    </row>
    <row r="2387" spans="12:18" x14ac:dyDescent="0.25">
      <c r="L2387" s="26">
        <v>42906</v>
      </c>
      <c r="M2387" s="6">
        <v>71.800003000000004</v>
      </c>
      <c r="N2387" s="6">
        <v>72</v>
      </c>
      <c r="O2387" s="6">
        <v>71.059997999999993</v>
      </c>
      <c r="P2387" s="6">
        <v>71.089995999999999</v>
      </c>
      <c r="Q2387" s="6">
        <v>67.000473</v>
      </c>
      <c r="R2387" s="58">
        <v>1785300</v>
      </c>
    </row>
    <row r="2388" spans="12:18" x14ac:dyDescent="0.25">
      <c r="L2388" s="26">
        <v>42907</v>
      </c>
      <c r="M2388" s="6">
        <v>71.279999000000004</v>
      </c>
      <c r="N2388" s="6">
        <v>71.470000999999996</v>
      </c>
      <c r="O2388" s="6">
        <v>70.389999000000003</v>
      </c>
      <c r="P2388" s="6">
        <v>70.480002999999996</v>
      </c>
      <c r="Q2388" s="6">
        <v>66.425560000000004</v>
      </c>
      <c r="R2388" s="58">
        <v>1598200</v>
      </c>
    </row>
    <row r="2389" spans="12:18" x14ac:dyDescent="0.25">
      <c r="L2389" s="26">
        <v>42908</v>
      </c>
      <c r="M2389" s="6">
        <v>70.5</v>
      </c>
      <c r="N2389" s="6">
        <v>70.949996999999996</v>
      </c>
      <c r="O2389" s="6">
        <v>70.349997999999999</v>
      </c>
      <c r="P2389" s="6">
        <v>70.410004000000001</v>
      </c>
      <c r="Q2389" s="6">
        <v>66.359589</v>
      </c>
      <c r="R2389" s="58">
        <v>1602100</v>
      </c>
    </row>
    <row r="2390" spans="12:18" x14ac:dyDescent="0.25">
      <c r="L2390" s="26">
        <v>42909</v>
      </c>
      <c r="M2390" s="6">
        <v>70.5</v>
      </c>
      <c r="N2390" s="6">
        <v>70.889999000000003</v>
      </c>
      <c r="O2390" s="6">
        <v>70.389999000000003</v>
      </c>
      <c r="P2390" s="6">
        <v>70.559997999999993</v>
      </c>
      <c r="Q2390" s="6">
        <v>66.500953999999993</v>
      </c>
      <c r="R2390" s="58">
        <v>1715000</v>
      </c>
    </row>
    <row r="2391" spans="12:18" x14ac:dyDescent="0.25">
      <c r="L2391" s="26">
        <v>42912</v>
      </c>
      <c r="M2391" s="6">
        <v>70.769997000000004</v>
      </c>
      <c r="N2391" s="6">
        <v>71.360000999999997</v>
      </c>
      <c r="O2391" s="6">
        <v>70.529999000000004</v>
      </c>
      <c r="P2391" s="6">
        <v>70.989998</v>
      </c>
      <c r="Q2391" s="6">
        <v>66.906218999999993</v>
      </c>
      <c r="R2391" s="58">
        <v>1204900</v>
      </c>
    </row>
    <row r="2392" spans="12:18" x14ac:dyDescent="0.25">
      <c r="L2392" s="26">
        <v>42913</v>
      </c>
      <c r="M2392" s="6">
        <v>70.120002999999997</v>
      </c>
      <c r="N2392" s="6">
        <v>70.269997000000004</v>
      </c>
      <c r="O2392" s="6">
        <v>69.290001000000004</v>
      </c>
      <c r="P2392" s="6">
        <v>69.339995999999999</v>
      </c>
      <c r="Q2392" s="6">
        <v>65.351134999999999</v>
      </c>
      <c r="R2392" s="58">
        <v>3023600</v>
      </c>
    </row>
    <row r="2393" spans="12:18" x14ac:dyDescent="0.25">
      <c r="L2393" s="26">
        <v>42914</v>
      </c>
      <c r="M2393" s="6">
        <v>69.870002999999997</v>
      </c>
      <c r="N2393" s="6">
        <v>70.360000999999997</v>
      </c>
      <c r="O2393" s="6">
        <v>69.5</v>
      </c>
      <c r="P2393" s="6">
        <v>69.529999000000004</v>
      </c>
      <c r="Q2393" s="6">
        <v>65.530197000000001</v>
      </c>
      <c r="R2393" s="58">
        <v>2100800</v>
      </c>
    </row>
    <row r="2394" spans="12:18" x14ac:dyDescent="0.25">
      <c r="L2394" s="26">
        <v>42915</v>
      </c>
      <c r="M2394" s="6">
        <v>69.5</v>
      </c>
      <c r="N2394" s="6">
        <v>69.580001999999993</v>
      </c>
      <c r="O2394" s="6">
        <v>68.559997999999993</v>
      </c>
      <c r="P2394" s="6">
        <v>68.690002000000007</v>
      </c>
      <c r="Q2394" s="6">
        <v>64.738533000000004</v>
      </c>
      <c r="R2394" s="58">
        <v>3505600</v>
      </c>
    </row>
    <row r="2395" spans="12:18" x14ac:dyDescent="0.25">
      <c r="L2395" s="26">
        <v>42916</v>
      </c>
      <c r="M2395" s="6">
        <v>69.110000999999997</v>
      </c>
      <c r="N2395" s="6">
        <v>69.910004000000001</v>
      </c>
      <c r="O2395" s="6">
        <v>69.050003000000004</v>
      </c>
      <c r="P2395" s="6">
        <v>69.459998999999996</v>
      </c>
      <c r="Q2395" s="6">
        <v>65.464241000000001</v>
      </c>
      <c r="R2395" s="58">
        <v>2498300</v>
      </c>
    </row>
    <row r="2396" spans="12:18" x14ac:dyDescent="0.25">
      <c r="L2396" s="26">
        <v>42919</v>
      </c>
      <c r="M2396" s="6">
        <v>69.580001999999993</v>
      </c>
      <c r="N2396" s="6">
        <v>69.580001999999993</v>
      </c>
      <c r="O2396" s="6">
        <v>68.739998</v>
      </c>
      <c r="P2396" s="6">
        <v>68.760002</v>
      </c>
      <c r="Q2396" s="6">
        <v>64.804519999999997</v>
      </c>
      <c r="R2396" s="58">
        <v>1086100</v>
      </c>
    </row>
    <row r="2397" spans="12:18" x14ac:dyDescent="0.25">
      <c r="L2397" s="26">
        <v>42921</v>
      </c>
      <c r="M2397" s="6">
        <v>68.730002999999996</v>
      </c>
      <c r="N2397" s="6">
        <v>68.949996999999996</v>
      </c>
      <c r="O2397" s="6">
        <v>67.569999999999993</v>
      </c>
      <c r="P2397" s="6">
        <v>67.699996999999996</v>
      </c>
      <c r="Q2397" s="6">
        <v>63.805481</v>
      </c>
      <c r="R2397" s="58">
        <v>4124400</v>
      </c>
    </row>
    <row r="2398" spans="12:18" x14ac:dyDescent="0.25">
      <c r="L2398" s="26">
        <v>42922</v>
      </c>
      <c r="M2398" s="6">
        <v>67.529999000000004</v>
      </c>
      <c r="N2398" s="6">
        <v>67.800003000000004</v>
      </c>
      <c r="O2398" s="6">
        <v>66.5</v>
      </c>
      <c r="P2398" s="6">
        <v>66.550003000000004</v>
      </c>
      <c r="Q2398" s="6">
        <v>62.721645000000002</v>
      </c>
      <c r="R2398" s="58">
        <v>2709400</v>
      </c>
    </row>
    <row r="2399" spans="12:18" x14ac:dyDescent="0.25">
      <c r="L2399" s="26">
        <v>42923</v>
      </c>
      <c r="M2399" s="6">
        <v>66.650002000000001</v>
      </c>
      <c r="N2399" s="6">
        <v>66.900002000000001</v>
      </c>
      <c r="O2399" s="6">
        <v>66.410004000000001</v>
      </c>
      <c r="P2399" s="6">
        <v>66.519997000000004</v>
      </c>
      <c r="Q2399" s="6">
        <v>62.693356000000001</v>
      </c>
      <c r="R2399" s="58">
        <v>2991200</v>
      </c>
    </row>
    <row r="2400" spans="12:18" x14ac:dyDescent="0.25">
      <c r="L2400" s="26">
        <v>42926</v>
      </c>
      <c r="M2400" s="6">
        <v>66.540001000000004</v>
      </c>
      <c r="N2400" s="6">
        <v>66.690002000000007</v>
      </c>
      <c r="O2400" s="6">
        <v>65.779999000000004</v>
      </c>
      <c r="P2400" s="6">
        <v>65.870002999999997</v>
      </c>
      <c r="Q2400" s="6">
        <v>62.080761000000003</v>
      </c>
      <c r="R2400" s="58">
        <v>2589800</v>
      </c>
    </row>
    <row r="2401" spans="12:18" x14ac:dyDescent="0.25">
      <c r="L2401" s="26">
        <v>42927</v>
      </c>
      <c r="M2401" s="6">
        <v>65.629997000000003</v>
      </c>
      <c r="N2401" s="6">
        <v>66.080001999999993</v>
      </c>
      <c r="O2401" s="6">
        <v>65.319999999999993</v>
      </c>
      <c r="P2401" s="6">
        <v>65.339995999999999</v>
      </c>
      <c r="Q2401" s="6">
        <v>61.581237999999999</v>
      </c>
      <c r="R2401" s="58">
        <v>2706800</v>
      </c>
    </row>
    <row r="2402" spans="12:18" x14ac:dyDescent="0.25">
      <c r="L2402" s="26">
        <v>42928</v>
      </c>
      <c r="M2402" s="6">
        <v>65.739998</v>
      </c>
      <c r="N2402" s="6">
        <v>66.169998000000007</v>
      </c>
      <c r="O2402" s="6">
        <v>65.660004000000001</v>
      </c>
      <c r="P2402" s="6">
        <v>65.739998</v>
      </c>
      <c r="Q2402" s="6">
        <v>61.958233</v>
      </c>
      <c r="R2402" s="58">
        <v>1369900</v>
      </c>
    </row>
    <row r="2403" spans="12:18" x14ac:dyDescent="0.25">
      <c r="L2403" s="26">
        <v>42929</v>
      </c>
      <c r="M2403" s="6">
        <v>65.760002</v>
      </c>
      <c r="N2403" s="6">
        <v>66.190002000000007</v>
      </c>
      <c r="O2403" s="6">
        <v>65.610000999999997</v>
      </c>
      <c r="P2403" s="6">
        <v>66.019997000000004</v>
      </c>
      <c r="Q2403" s="6">
        <v>62.22213</v>
      </c>
      <c r="R2403" s="58">
        <v>2021800</v>
      </c>
    </row>
    <row r="2404" spans="12:18" x14ac:dyDescent="0.25">
      <c r="L2404" s="26">
        <v>42930</v>
      </c>
      <c r="M2404" s="6">
        <v>66.300003000000004</v>
      </c>
      <c r="N2404" s="6">
        <v>66.449996999999996</v>
      </c>
      <c r="O2404" s="6">
        <v>66.150002000000001</v>
      </c>
      <c r="P2404" s="6">
        <v>66.379997000000003</v>
      </c>
      <c r="Q2404" s="6">
        <v>62.561413000000002</v>
      </c>
      <c r="R2404" s="58">
        <v>1414300</v>
      </c>
    </row>
    <row r="2405" spans="12:18" x14ac:dyDescent="0.25">
      <c r="L2405" s="26">
        <v>42933</v>
      </c>
      <c r="M2405" s="6">
        <v>66.230002999999996</v>
      </c>
      <c r="N2405" s="6">
        <v>66.940002000000007</v>
      </c>
      <c r="O2405" s="6">
        <v>66.230002999999996</v>
      </c>
      <c r="P2405" s="6">
        <v>66.75</v>
      </c>
      <c r="Q2405" s="6">
        <v>62.910130000000002</v>
      </c>
      <c r="R2405" s="58">
        <v>1785000</v>
      </c>
    </row>
    <row r="2406" spans="12:18" x14ac:dyDescent="0.25">
      <c r="L2406" s="26">
        <v>42934</v>
      </c>
      <c r="M2406" s="6">
        <v>66.699996999999996</v>
      </c>
      <c r="N2406" s="6">
        <v>66.75</v>
      </c>
      <c r="O2406" s="6">
        <v>66.150002000000001</v>
      </c>
      <c r="P2406" s="6">
        <v>66.260002</v>
      </c>
      <c r="Q2406" s="6">
        <v>62.448321999999997</v>
      </c>
      <c r="R2406" s="58">
        <v>1957100</v>
      </c>
    </row>
    <row r="2407" spans="12:18" x14ac:dyDescent="0.25">
      <c r="L2407" s="26">
        <v>42935</v>
      </c>
      <c r="M2407" s="6">
        <v>66.440002000000007</v>
      </c>
      <c r="N2407" s="6">
        <v>66.699996999999996</v>
      </c>
      <c r="O2407" s="6">
        <v>66.230002999999996</v>
      </c>
      <c r="P2407" s="6">
        <v>66.349997999999999</v>
      </c>
      <c r="Q2407" s="6">
        <v>62.533141999999998</v>
      </c>
      <c r="R2407" s="58">
        <v>1775100</v>
      </c>
    </row>
    <row r="2408" spans="12:18" x14ac:dyDescent="0.25">
      <c r="L2408" s="26">
        <v>42936</v>
      </c>
      <c r="M2408" s="6">
        <v>66.449996999999996</v>
      </c>
      <c r="N2408" s="6">
        <v>66.860000999999997</v>
      </c>
      <c r="O2408" s="6">
        <v>66.239998</v>
      </c>
      <c r="P2408" s="6">
        <v>66.75</v>
      </c>
      <c r="Q2408" s="6">
        <v>62.910130000000002</v>
      </c>
      <c r="R2408" s="58">
        <v>3329700</v>
      </c>
    </row>
    <row r="2409" spans="12:18" x14ac:dyDescent="0.25">
      <c r="L2409" s="26">
        <v>42937</v>
      </c>
      <c r="M2409" s="6">
        <v>66.610000999999997</v>
      </c>
      <c r="N2409" s="6">
        <v>67.279999000000004</v>
      </c>
      <c r="O2409" s="6">
        <v>66.540001000000004</v>
      </c>
      <c r="P2409" s="6">
        <v>67.220000999999996</v>
      </c>
      <c r="Q2409" s="6">
        <v>63.353091999999997</v>
      </c>
      <c r="R2409" s="58">
        <v>1462400</v>
      </c>
    </row>
    <row r="2410" spans="12:18" x14ac:dyDescent="0.25">
      <c r="L2410" s="26">
        <v>42940</v>
      </c>
      <c r="M2410" s="6">
        <v>67.25</v>
      </c>
      <c r="N2410" s="6">
        <v>67.489998</v>
      </c>
      <c r="O2410" s="6">
        <v>66.650002000000001</v>
      </c>
      <c r="P2410" s="6">
        <v>66.830001999999993</v>
      </c>
      <c r="Q2410" s="6">
        <v>62.985523000000001</v>
      </c>
      <c r="R2410" s="58">
        <v>1739700</v>
      </c>
    </row>
    <row r="2411" spans="12:18" x14ac:dyDescent="0.25">
      <c r="L2411" s="26">
        <v>42941</v>
      </c>
      <c r="M2411" s="6">
        <v>66.970000999999996</v>
      </c>
      <c r="N2411" s="6">
        <v>67.699996999999996</v>
      </c>
      <c r="O2411" s="6">
        <v>66.830001999999993</v>
      </c>
      <c r="P2411" s="6">
        <v>67.569999999999993</v>
      </c>
      <c r="Q2411" s="6">
        <v>63.682952999999998</v>
      </c>
      <c r="R2411" s="58">
        <v>1772800</v>
      </c>
    </row>
    <row r="2412" spans="12:18" x14ac:dyDescent="0.25">
      <c r="L2412" s="26">
        <v>42942</v>
      </c>
      <c r="M2412" s="6">
        <v>67.569999999999993</v>
      </c>
      <c r="N2412" s="6">
        <v>67.639999000000003</v>
      </c>
      <c r="O2412" s="6">
        <v>67.050003000000004</v>
      </c>
      <c r="P2412" s="6">
        <v>67.309997999999993</v>
      </c>
      <c r="Q2412" s="6">
        <v>63.437916000000001</v>
      </c>
      <c r="R2412" s="58">
        <v>1156700</v>
      </c>
    </row>
    <row r="2413" spans="12:18" x14ac:dyDescent="0.25">
      <c r="L2413" s="26">
        <v>42943</v>
      </c>
      <c r="M2413" s="6">
        <v>67.269997000000004</v>
      </c>
      <c r="N2413" s="6">
        <v>67.75</v>
      </c>
      <c r="O2413" s="6">
        <v>67.050003000000004</v>
      </c>
      <c r="P2413" s="6">
        <v>67.680000000000007</v>
      </c>
      <c r="Q2413" s="6">
        <v>63.786633000000002</v>
      </c>
      <c r="R2413" s="58">
        <v>2414500</v>
      </c>
    </row>
    <row r="2414" spans="12:18" x14ac:dyDescent="0.25">
      <c r="L2414" s="26">
        <v>42944</v>
      </c>
      <c r="M2414" s="6">
        <v>67.650002000000001</v>
      </c>
      <c r="N2414" s="6">
        <v>67.800003000000004</v>
      </c>
      <c r="O2414" s="6">
        <v>67.349997999999999</v>
      </c>
      <c r="P2414" s="6">
        <v>67.650002000000001</v>
      </c>
      <c r="Q2414" s="6">
        <v>63.758353999999997</v>
      </c>
      <c r="R2414" s="58">
        <v>1787900</v>
      </c>
    </row>
    <row r="2415" spans="12:18" x14ac:dyDescent="0.25">
      <c r="L2415" s="26">
        <v>42947</v>
      </c>
      <c r="M2415" s="6">
        <v>67.75</v>
      </c>
      <c r="N2415" s="6">
        <v>68.190002000000007</v>
      </c>
      <c r="O2415" s="6">
        <v>67.540001000000004</v>
      </c>
      <c r="P2415" s="6">
        <v>68</v>
      </c>
      <c r="Q2415" s="6">
        <v>64.088226000000006</v>
      </c>
      <c r="R2415" s="58">
        <v>4095400</v>
      </c>
    </row>
    <row r="2416" spans="12:18" x14ac:dyDescent="0.25">
      <c r="L2416" s="26">
        <v>42948</v>
      </c>
      <c r="M2416" s="6">
        <v>67.959998999999996</v>
      </c>
      <c r="N2416" s="6">
        <v>68.150002000000001</v>
      </c>
      <c r="O2416" s="6">
        <v>67.290001000000004</v>
      </c>
      <c r="P2416" s="6">
        <v>67.459998999999996</v>
      </c>
      <c r="Q2416" s="6">
        <v>63.579284999999999</v>
      </c>
      <c r="R2416" s="58">
        <v>2021400</v>
      </c>
    </row>
    <row r="2417" spans="12:18" x14ac:dyDescent="0.25">
      <c r="L2417" s="26">
        <v>42949</v>
      </c>
      <c r="M2417" s="6">
        <v>67.209998999999996</v>
      </c>
      <c r="N2417" s="6">
        <v>67.980002999999996</v>
      </c>
      <c r="O2417" s="6">
        <v>66.529999000000004</v>
      </c>
      <c r="P2417" s="6">
        <v>67.440002000000007</v>
      </c>
      <c r="Q2417" s="6">
        <v>63.560443999999997</v>
      </c>
      <c r="R2417" s="58">
        <v>2580500</v>
      </c>
    </row>
    <row r="2418" spans="12:18" x14ac:dyDescent="0.25">
      <c r="L2418" s="26">
        <v>42950</v>
      </c>
      <c r="M2418" s="6">
        <v>68.099997999999999</v>
      </c>
      <c r="N2418" s="6">
        <v>70.930000000000007</v>
      </c>
      <c r="O2418" s="6">
        <v>67.809997999999993</v>
      </c>
      <c r="P2418" s="6">
        <v>70.360000999999997</v>
      </c>
      <c r="Q2418" s="6">
        <v>66.312468999999993</v>
      </c>
      <c r="R2418" s="58">
        <v>5046700</v>
      </c>
    </row>
    <row r="2419" spans="12:18" x14ac:dyDescent="0.25">
      <c r="L2419" s="26">
        <v>42951</v>
      </c>
      <c r="M2419" s="6">
        <v>71.519997000000004</v>
      </c>
      <c r="N2419" s="6">
        <v>71.650002000000001</v>
      </c>
      <c r="O2419" s="6">
        <v>69.370002999999997</v>
      </c>
      <c r="P2419" s="6">
        <v>69.620002999999997</v>
      </c>
      <c r="Q2419" s="6">
        <v>65.615043999999997</v>
      </c>
      <c r="R2419" s="58">
        <v>2864700</v>
      </c>
    </row>
    <row r="2420" spans="12:18" x14ac:dyDescent="0.25">
      <c r="L2420" s="26">
        <v>42954</v>
      </c>
      <c r="M2420" s="6">
        <v>69.809997999999993</v>
      </c>
      <c r="N2420" s="6">
        <v>70.150002000000001</v>
      </c>
      <c r="O2420" s="6">
        <v>69.620002999999997</v>
      </c>
      <c r="P2420" s="6">
        <v>70.110000999999997</v>
      </c>
      <c r="Q2420" s="6">
        <v>66.076842999999997</v>
      </c>
      <c r="R2420" s="58">
        <v>2923900</v>
      </c>
    </row>
    <row r="2421" spans="12:18" x14ac:dyDescent="0.25">
      <c r="L2421" s="26">
        <v>42955</v>
      </c>
      <c r="M2421" s="6">
        <v>69.839995999999999</v>
      </c>
      <c r="N2421" s="6">
        <v>69.940002000000007</v>
      </c>
      <c r="O2421" s="6">
        <v>68.959998999999996</v>
      </c>
      <c r="P2421" s="6">
        <v>69.220000999999996</v>
      </c>
      <c r="Q2421" s="6">
        <v>65.238051999999996</v>
      </c>
      <c r="R2421" s="58">
        <v>1702700</v>
      </c>
    </row>
    <row r="2422" spans="12:18" x14ac:dyDescent="0.25">
      <c r="L2422" s="26">
        <v>42956</v>
      </c>
      <c r="M2422" s="6">
        <v>69.029999000000004</v>
      </c>
      <c r="N2422" s="6">
        <v>69.319999999999993</v>
      </c>
      <c r="O2422" s="6">
        <v>68.889999000000003</v>
      </c>
      <c r="P2422" s="6">
        <v>69.040001000000004</v>
      </c>
      <c r="Q2422" s="6">
        <v>65.068389999999994</v>
      </c>
      <c r="R2422" s="58">
        <v>1565900</v>
      </c>
    </row>
    <row r="2423" spans="12:18" x14ac:dyDescent="0.25">
      <c r="L2423" s="26">
        <v>42957</v>
      </c>
      <c r="M2423" s="6">
        <v>68.839995999999999</v>
      </c>
      <c r="N2423" s="6">
        <v>69.040001000000004</v>
      </c>
      <c r="O2423" s="6">
        <v>68.599997999999999</v>
      </c>
      <c r="P2423" s="6">
        <v>68.75</v>
      </c>
      <c r="Q2423" s="6">
        <v>64.795081999999994</v>
      </c>
      <c r="R2423" s="58">
        <v>2022600</v>
      </c>
    </row>
    <row r="2424" spans="12:18" x14ac:dyDescent="0.25">
      <c r="L2424" s="26">
        <v>42958</v>
      </c>
      <c r="M2424" s="6">
        <v>68.629997000000003</v>
      </c>
      <c r="N2424" s="6">
        <v>69</v>
      </c>
      <c r="O2424" s="6">
        <v>68.480002999999996</v>
      </c>
      <c r="P2424" s="6">
        <v>68.809997999999993</v>
      </c>
      <c r="Q2424" s="6">
        <v>64.851630999999998</v>
      </c>
      <c r="R2424" s="58">
        <v>1054900</v>
      </c>
    </row>
    <row r="2425" spans="12:18" x14ac:dyDescent="0.25">
      <c r="L2425" s="26">
        <v>42961</v>
      </c>
      <c r="M2425" s="6">
        <v>69.25</v>
      </c>
      <c r="N2425" s="6">
        <v>69.870002999999997</v>
      </c>
      <c r="O2425" s="6">
        <v>69.019997000000004</v>
      </c>
      <c r="P2425" s="6">
        <v>69.860000999999997</v>
      </c>
      <c r="Q2425" s="6">
        <v>65.841224999999994</v>
      </c>
      <c r="R2425" s="58">
        <v>1983200</v>
      </c>
    </row>
    <row r="2426" spans="12:18" x14ac:dyDescent="0.25">
      <c r="L2426" s="26">
        <v>42962</v>
      </c>
      <c r="M2426" s="6">
        <v>69.889999000000003</v>
      </c>
      <c r="N2426" s="6">
        <v>70.080001999999993</v>
      </c>
      <c r="O2426" s="6">
        <v>69.629997000000003</v>
      </c>
      <c r="P2426" s="6">
        <v>69.809997999999993</v>
      </c>
      <c r="Q2426" s="6">
        <v>65.794105999999999</v>
      </c>
      <c r="R2426" s="58">
        <v>1405700</v>
      </c>
    </row>
    <row r="2427" spans="12:18" x14ac:dyDescent="0.25">
      <c r="L2427" s="26">
        <v>42963</v>
      </c>
      <c r="M2427" s="6">
        <v>69.709998999999996</v>
      </c>
      <c r="N2427" s="6">
        <v>70.540001000000004</v>
      </c>
      <c r="O2427" s="6">
        <v>69.709998999999996</v>
      </c>
      <c r="P2427" s="6">
        <v>70.069999999999993</v>
      </c>
      <c r="Q2427" s="6">
        <v>66.039146000000002</v>
      </c>
      <c r="R2427" s="58">
        <v>1297100</v>
      </c>
    </row>
    <row r="2428" spans="12:18" x14ac:dyDescent="0.25">
      <c r="L2428" s="26">
        <v>42964</v>
      </c>
      <c r="M2428" s="6">
        <v>69.940002000000007</v>
      </c>
      <c r="N2428" s="6">
        <v>70.589995999999999</v>
      </c>
      <c r="O2428" s="6">
        <v>69.919998000000007</v>
      </c>
      <c r="P2428" s="6">
        <v>70.099997999999999</v>
      </c>
      <c r="Q2428" s="6">
        <v>66.067406000000005</v>
      </c>
      <c r="R2428" s="58">
        <v>2106200</v>
      </c>
    </row>
    <row r="2429" spans="12:18" x14ac:dyDescent="0.25">
      <c r="L2429" s="26">
        <v>42965</v>
      </c>
      <c r="M2429" s="6">
        <v>70.050003000000004</v>
      </c>
      <c r="N2429" s="6">
        <v>70.069999999999993</v>
      </c>
      <c r="O2429" s="6">
        <v>69.540001000000004</v>
      </c>
      <c r="P2429" s="6">
        <v>69.949996999999996</v>
      </c>
      <c r="Q2429" s="6">
        <v>65.926040999999998</v>
      </c>
      <c r="R2429" s="58">
        <v>1975900</v>
      </c>
    </row>
    <row r="2430" spans="12:18" x14ac:dyDescent="0.25">
      <c r="L2430" s="26">
        <v>42968</v>
      </c>
      <c r="M2430" s="6">
        <v>69.970000999999996</v>
      </c>
      <c r="N2430" s="6">
        <v>70.680000000000007</v>
      </c>
      <c r="O2430" s="6">
        <v>69.680000000000007</v>
      </c>
      <c r="P2430" s="6">
        <v>70.199996999999996</v>
      </c>
      <c r="Q2430" s="6">
        <v>66.161666999999994</v>
      </c>
      <c r="R2430" s="58">
        <v>1281000</v>
      </c>
    </row>
    <row r="2431" spans="12:18" x14ac:dyDescent="0.25">
      <c r="L2431" s="26">
        <v>42969</v>
      </c>
      <c r="M2431" s="6">
        <v>70.139999000000003</v>
      </c>
      <c r="N2431" s="6">
        <v>70.260002</v>
      </c>
      <c r="O2431" s="6">
        <v>69.720000999999996</v>
      </c>
      <c r="P2431" s="6">
        <v>70</v>
      </c>
      <c r="Q2431" s="6">
        <v>65.973167000000004</v>
      </c>
      <c r="R2431" s="58">
        <v>1861200</v>
      </c>
    </row>
    <row r="2432" spans="12:18" x14ac:dyDescent="0.25">
      <c r="L2432" s="26">
        <v>42970</v>
      </c>
      <c r="M2432" s="6">
        <v>69.690002000000007</v>
      </c>
      <c r="N2432" s="6">
        <v>70.069999999999993</v>
      </c>
      <c r="O2432" s="6">
        <v>69.580001999999993</v>
      </c>
      <c r="P2432" s="6">
        <v>69.910004000000001</v>
      </c>
      <c r="Q2432" s="6">
        <v>65.888351</v>
      </c>
      <c r="R2432" s="58">
        <v>1756400</v>
      </c>
    </row>
    <row r="2433" spans="12:18" x14ac:dyDescent="0.25">
      <c r="L2433" s="26">
        <v>42971</v>
      </c>
      <c r="M2433" s="6">
        <v>69.430000000000007</v>
      </c>
      <c r="N2433" s="6">
        <v>69.440002000000007</v>
      </c>
      <c r="O2433" s="6">
        <v>67.819999999999993</v>
      </c>
      <c r="P2433" s="6">
        <v>67.910004000000001</v>
      </c>
      <c r="Q2433" s="6">
        <v>64.003403000000006</v>
      </c>
      <c r="R2433" s="58">
        <v>2713700</v>
      </c>
    </row>
    <row r="2434" spans="12:18" x14ac:dyDescent="0.25">
      <c r="L2434" s="26">
        <v>42972</v>
      </c>
      <c r="M2434" s="6">
        <v>68</v>
      </c>
      <c r="N2434" s="6">
        <v>68.099997999999999</v>
      </c>
      <c r="O2434" s="6">
        <v>67.400002000000001</v>
      </c>
      <c r="P2434" s="6">
        <v>67.709998999999996</v>
      </c>
      <c r="Q2434" s="6">
        <v>63.814911000000002</v>
      </c>
      <c r="R2434" s="58">
        <v>2241300</v>
      </c>
    </row>
    <row r="2435" spans="12:18" x14ac:dyDescent="0.25">
      <c r="L2435" s="26">
        <v>42975</v>
      </c>
      <c r="M2435" s="6">
        <v>67.760002</v>
      </c>
      <c r="N2435" s="6">
        <v>67.809997999999993</v>
      </c>
      <c r="O2435" s="6">
        <v>66.309997999999993</v>
      </c>
      <c r="P2435" s="6">
        <v>66.779999000000004</v>
      </c>
      <c r="Q2435" s="6">
        <v>62.938408000000003</v>
      </c>
      <c r="R2435" s="58">
        <v>2045500</v>
      </c>
    </row>
    <row r="2436" spans="12:18" x14ac:dyDescent="0.25">
      <c r="L2436" s="26">
        <v>42976</v>
      </c>
      <c r="M2436" s="6">
        <v>66.760002</v>
      </c>
      <c r="N2436" s="6">
        <v>66.989998</v>
      </c>
      <c r="O2436" s="6">
        <v>66.059997999999993</v>
      </c>
      <c r="P2436" s="6">
        <v>66.300003000000004</v>
      </c>
      <c r="Q2436" s="6">
        <v>62.486015000000002</v>
      </c>
      <c r="R2436" s="58">
        <v>1833900</v>
      </c>
    </row>
    <row r="2437" spans="12:18" x14ac:dyDescent="0.25">
      <c r="L2437" s="26">
        <v>42977</v>
      </c>
      <c r="M2437" s="6">
        <v>66</v>
      </c>
      <c r="N2437" s="6">
        <v>66.180000000000007</v>
      </c>
      <c r="O2437" s="6">
        <v>65.489998</v>
      </c>
      <c r="P2437" s="6">
        <v>66.050003000000004</v>
      </c>
      <c r="Q2437" s="6">
        <v>62.761578</v>
      </c>
      <c r="R2437" s="58">
        <v>2120300</v>
      </c>
    </row>
    <row r="2438" spans="12:18" x14ac:dyDescent="0.25">
      <c r="L2438" s="26">
        <v>42978</v>
      </c>
      <c r="M2438" s="6">
        <v>65.639999000000003</v>
      </c>
      <c r="N2438" s="6">
        <v>66.099997999999999</v>
      </c>
      <c r="O2438" s="6">
        <v>65.160004000000001</v>
      </c>
      <c r="P2438" s="6">
        <v>65.459998999999996</v>
      </c>
      <c r="Q2438" s="6">
        <v>62.200946999999999</v>
      </c>
      <c r="R2438" s="58">
        <v>3006500</v>
      </c>
    </row>
    <row r="2439" spans="12:18" x14ac:dyDescent="0.25">
      <c r="L2439" s="26">
        <v>42979</v>
      </c>
      <c r="M2439" s="6">
        <v>65.470000999999996</v>
      </c>
      <c r="N2439" s="6">
        <v>65.790001000000004</v>
      </c>
      <c r="O2439" s="6">
        <v>65.059997999999993</v>
      </c>
      <c r="P2439" s="6">
        <v>65.449996999999996</v>
      </c>
      <c r="Q2439" s="6">
        <v>62.191448000000001</v>
      </c>
      <c r="R2439" s="58">
        <v>2474700</v>
      </c>
    </row>
    <row r="2440" spans="12:18" x14ac:dyDescent="0.25">
      <c r="L2440" s="26">
        <v>42983</v>
      </c>
      <c r="M2440" s="6">
        <v>65.480002999999996</v>
      </c>
      <c r="N2440" s="6">
        <v>66.639999000000003</v>
      </c>
      <c r="O2440" s="6">
        <v>65.430000000000007</v>
      </c>
      <c r="P2440" s="6">
        <v>66.400002000000001</v>
      </c>
      <c r="Q2440" s="6">
        <v>63.094154000000003</v>
      </c>
      <c r="R2440" s="58">
        <v>3256300</v>
      </c>
    </row>
    <row r="2441" spans="12:18" x14ac:dyDescent="0.25">
      <c r="L2441" s="26">
        <v>42984</v>
      </c>
      <c r="M2441" s="6">
        <v>66.349997999999999</v>
      </c>
      <c r="N2441" s="6">
        <v>67.870002999999997</v>
      </c>
      <c r="O2441" s="6">
        <v>65.940002000000007</v>
      </c>
      <c r="P2441" s="6">
        <v>67.839995999999999</v>
      </c>
      <c r="Q2441" s="6">
        <v>64.462463</v>
      </c>
      <c r="R2441" s="58">
        <v>4069100</v>
      </c>
    </row>
    <row r="2442" spans="12:18" x14ac:dyDescent="0.25">
      <c r="L2442" s="26">
        <v>42985</v>
      </c>
      <c r="M2442" s="6">
        <v>67.949996999999996</v>
      </c>
      <c r="N2442" s="6">
        <v>68.430000000000007</v>
      </c>
      <c r="O2442" s="6">
        <v>67.220000999999996</v>
      </c>
      <c r="P2442" s="6">
        <v>67.75</v>
      </c>
      <c r="Q2442" s="6">
        <v>64.376945000000006</v>
      </c>
      <c r="R2442" s="58">
        <v>2490400</v>
      </c>
    </row>
    <row r="2443" spans="12:18" x14ac:dyDescent="0.25">
      <c r="L2443" s="26">
        <v>42986</v>
      </c>
      <c r="M2443" s="6">
        <v>67.720000999999996</v>
      </c>
      <c r="N2443" s="6">
        <v>68.800003000000004</v>
      </c>
      <c r="O2443" s="6">
        <v>67.379997000000003</v>
      </c>
      <c r="P2443" s="6">
        <v>68.449996999999996</v>
      </c>
      <c r="Q2443" s="6">
        <v>65.042098999999993</v>
      </c>
      <c r="R2443" s="58">
        <v>2764600</v>
      </c>
    </row>
    <row r="2444" spans="12:18" x14ac:dyDescent="0.25">
      <c r="L2444" s="26">
        <v>42989</v>
      </c>
      <c r="M2444" s="6">
        <v>68.599997999999999</v>
      </c>
      <c r="N2444" s="6">
        <v>69.110000999999997</v>
      </c>
      <c r="O2444" s="6">
        <v>68.559997999999993</v>
      </c>
      <c r="P2444" s="6">
        <v>68.769997000000004</v>
      </c>
      <c r="Q2444" s="6">
        <v>65.346153000000001</v>
      </c>
      <c r="R2444" s="58">
        <v>2665700</v>
      </c>
    </row>
    <row r="2445" spans="12:18" x14ac:dyDescent="0.25">
      <c r="L2445" s="26">
        <v>42990</v>
      </c>
      <c r="M2445" s="6">
        <v>68.690002000000007</v>
      </c>
      <c r="N2445" s="6">
        <v>69.220000999999996</v>
      </c>
      <c r="O2445" s="6">
        <v>68.349997999999999</v>
      </c>
      <c r="P2445" s="6">
        <v>68.489998</v>
      </c>
      <c r="Q2445" s="6">
        <v>65.080093000000005</v>
      </c>
      <c r="R2445" s="58">
        <v>1437200</v>
      </c>
    </row>
    <row r="2446" spans="12:18" x14ac:dyDescent="0.25">
      <c r="L2446" s="26">
        <v>42991</v>
      </c>
      <c r="M2446" s="6">
        <v>68.529999000000004</v>
      </c>
      <c r="N2446" s="6">
        <v>68.769997000000004</v>
      </c>
      <c r="O2446" s="6">
        <v>67.870002999999997</v>
      </c>
      <c r="P2446" s="6">
        <v>67.980002999999996</v>
      </c>
      <c r="Q2446" s="6">
        <v>64.595496999999995</v>
      </c>
      <c r="R2446" s="58">
        <v>1764000</v>
      </c>
    </row>
    <row r="2447" spans="12:18" x14ac:dyDescent="0.25">
      <c r="L2447" s="26">
        <v>42992</v>
      </c>
      <c r="M2447" s="6">
        <v>67.839995999999999</v>
      </c>
      <c r="N2447" s="6">
        <v>68.029999000000004</v>
      </c>
      <c r="O2447" s="6">
        <v>67.199996999999996</v>
      </c>
      <c r="P2447" s="6">
        <v>67.620002999999997</v>
      </c>
      <c r="Q2447" s="6">
        <v>64.253426000000005</v>
      </c>
      <c r="R2447" s="58">
        <v>2732600</v>
      </c>
    </row>
    <row r="2448" spans="12:18" x14ac:dyDescent="0.25">
      <c r="L2448" s="26">
        <v>42993</v>
      </c>
      <c r="M2448" s="6">
        <v>67.669998000000007</v>
      </c>
      <c r="N2448" s="6">
        <v>68.319999999999993</v>
      </c>
      <c r="O2448" s="6">
        <v>67.620002999999997</v>
      </c>
      <c r="P2448" s="6">
        <v>68.319999999999993</v>
      </c>
      <c r="Q2448" s="6">
        <v>64.918564000000003</v>
      </c>
      <c r="R2448" s="58">
        <v>2579100</v>
      </c>
    </row>
    <row r="2449" spans="12:18" x14ac:dyDescent="0.25">
      <c r="L2449" s="26">
        <v>42996</v>
      </c>
      <c r="M2449" s="6">
        <v>68.309997999999993</v>
      </c>
      <c r="N2449" s="6">
        <v>68.650002000000001</v>
      </c>
      <c r="O2449" s="6">
        <v>68.089995999999999</v>
      </c>
      <c r="P2449" s="6">
        <v>68.610000999999997</v>
      </c>
      <c r="Q2449" s="6">
        <v>65.194121999999993</v>
      </c>
      <c r="R2449" s="58">
        <v>1876400</v>
      </c>
    </row>
    <row r="2450" spans="12:18" x14ac:dyDescent="0.25">
      <c r="L2450" s="26">
        <v>42997</v>
      </c>
      <c r="M2450" s="6">
        <v>67.870002999999997</v>
      </c>
      <c r="N2450" s="6">
        <v>68.029999000000004</v>
      </c>
      <c r="O2450" s="6">
        <v>65.599997999999999</v>
      </c>
      <c r="P2450" s="6">
        <v>65.870002999999997</v>
      </c>
      <c r="Q2450" s="6">
        <v>62.590546000000003</v>
      </c>
      <c r="R2450" s="58">
        <v>5904400</v>
      </c>
    </row>
    <row r="2451" spans="12:18" x14ac:dyDescent="0.25">
      <c r="L2451" s="26">
        <v>42998</v>
      </c>
      <c r="M2451" s="6">
        <v>64.889999000000003</v>
      </c>
      <c r="N2451" s="6">
        <v>65.589995999999999</v>
      </c>
      <c r="O2451" s="6">
        <v>63.700001</v>
      </c>
      <c r="P2451" s="6">
        <v>64.720000999999996</v>
      </c>
      <c r="Q2451" s="6">
        <v>61.497799000000001</v>
      </c>
      <c r="R2451" s="58">
        <v>6004100</v>
      </c>
    </row>
    <row r="2452" spans="12:18" x14ac:dyDescent="0.25">
      <c r="L2452" s="26">
        <v>42999</v>
      </c>
      <c r="M2452" s="6">
        <v>64.720000999999996</v>
      </c>
      <c r="N2452" s="6">
        <v>64.989998</v>
      </c>
      <c r="O2452" s="6">
        <v>63.720001000000003</v>
      </c>
      <c r="P2452" s="6">
        <v>63.919998</v>
      </c>
      <c r="Q2452" s="6">
        <v>60.737628999999998</v>
      </c>
      <c r="R2452" s="58">
        <v>2342000</v>
      </c>
    </row>
    <row r="2453" spans="12:18" x14ac:dyDescent="0.25">
      <c r="L2453" s="26">
        <v>43000</v>
      </c>
      <c r="M2453" s="6">
        <v>64.080001999999993</v>
      </c>
      <c r="N2453" s="6">
        <v>64.379997000000003</v>
      </c>
      <c r="O2453" s="6">
        <v>63.110000999999997</v>
      </c>
      <c r="P2453" s="6">
        <v>63.360000999999997</v>
      </c>
      <c r="Q2453" s="6">
        <v>60.205508999999999</v>
      </c>
      <c r="R2453" s="58">
        <v>1962200</v>
      </c>
    </row>
    <row r="2454" spans="12:18" x14ac:dyDescent="0.25">
      <c r="L2454" s="26">
        <v>43003</v>
      </c>
      <c r="M2454" s="6">
        <v>63.32</v>
      </c>
      <c r="N2454" s="6">
        <v>64.230002999999996</v>
      </c>
      <c r="O2454" s="6">
        <v>63</v>
      </c>
      <c r="P2454" s="6">
        <v>64.029999000000004</v>
      </c>
      <c r="Q2454" s="6">
        <v>60.842148000000002</v>
      </c>
      <c r="R2454" s="58">
        <v>2996700</v>
      </c>
    </row>
    <row r="2455" spans="12:18" x14ac:dyDescent="0.25">
      <c r="L2455" s="26">
        <v>43004</v>
      </c>
      <c r="M2455" s="6">
        <v>63.93</v>
      </c>
      <c r="N2455" s="6">
        <v>63.950001</v>
      </c>
      <c r="O2455" s="6">
        <v>62.970001000000003</v>
      </c>
      <c r="P2455" s="6">
        <v>63.419998</v>
      </c>
      <c r="Q2455" s="6">
        <v>60.262520000000002</v>
      </c>
      <c r="R2455" s="58">
        <v>2929100</v>
      </c>
    </row>
    <row r="2456" spans="12:18" x14ac:dyDescent="0.25">
      <c r="L2456" s="26">
        <v>43005</v>
      </c>
      <c r="M2456" s="6">
        <v>63.419998</v>
      </c>
      <c r="N2456" s="6">
        <v>63.48</v>
      </c>
      <c r="O2456" s="6">
        <v>62.41</v>
      </c>
      <c r="P2456" s="6">
        <v>63.040000999999997</v>
      </c>
      <c r="Q2456" s="6">
        <v>59.901440000000001</v>
      </c>
      <c r="R2456" s="58">
        <v>3092100</v>
      </c>
    </row>
    <row r="2457" spans="12:18" x14ac:dyDescent="0.25">
      <c r="L2457" s="26">
        <v>43006</v>
      </c>
      <c r="M2457" s="6">
        <v>62.939999</v>
      </c>
      <c r="N2457" s="6">
        <v>63.77</v>
      </c>
      <c r="O2457" s="6">
        <v>62.299999</v>
      </c>
      <c r="P2457" s="6">
        <v>62.810001</v>
      </c>
      <c r="Q2457" s="6">
        <v>59.682887999999998</v>
      </c>
      <c r="R2457" s="58">
        <v>3940200</v>
      </c>
    </row>
    <row r="2458" spans="12:18" x14ac:dyDescent="0.25">
      <c r="L2458" s="26">
        <v>43007</v>
      </c>
      <c r="M2458" s="6">
        <v>63.049999</v>
      </c>
      <c r="N2458" s="6">
        <v>63.18</v>
      </c>
      <c r="O2458" s="6">
        <v>62.110000999999997</v>
      </c>
      <c r="P2458" s="6">
        <v>62.369999</v>
      </c>
      <c r="Q2458" s="6">
        <v>59.264797000000002</v>
      </c>
      <c r="R2458" s="58">
        <v>4069100</v>
      </c>
    </row>
    <row r="2459" spans="12:18" x14ac:dyDescent="0.25">
      <c r="L2459" s="26">
        <v>43010</v>
      </c>
      <c r="M2459" s="6">
        <v>62.220001000000003</v>
      </c>
      <c r="N2459" s="6">
        <v>63.119999</v>
      </c>
      <c r="O2459" s="6">
        <v>61.700001</v>
      </c>
      <c r="P2459" s="6">
        <v>62.720001000000003</v>
      </c>
      <c r="Q2459" s="6">
        <v>59.597374000000002</v>
      </c>
      <c r="R2459" s="58">
        <v>4200200</v>
      </c>
    </row>
    <row r="2460" spans="12:18" x14ac:dyDescent="0.25">
      <c r="L2460" s="26">
        <v>43011</v>
      </c>
      <c r="M2460" s="6">
        <v>62.709999000000003</v>
      </c>
      <c r="N2460" s="6">
        <v>62.82</v>
      </c>
      <c r="O2460" s="6">
        <v>61.990001999999997</v>
      </c>
      <c r="P2460" s="6">
        <v>62.02</v>
      </c>
      <c r="Q2460" s="6">
        <v>58.932223999999998</v>
      </c>
      <c r="R2460" s="58">
        <v>2831500</v>
      </c>
    </row>
    <row r="2461" spans="12:18" x14ac:dyDescent="0.25">
      <c r="L2461" s="26">
        <v>43012</v>
      </c>
      <c r="M2461" s="6">
        <v>61.98</v>
      </c>
      <c r="N2461" s="6">
        <v>62.82</v>
      </c>
      <c r="O2461" s="6">
        <v>61.959999000000003</v>
      </c>
      <c r="P2461" s="6">
        <v>62.419998</v>
      </c>
      <c r="Q2461" s="6">
        <v>59.312305000000002</v>
      </c>
      <c r="R2461" s="58">
        <v>2804100</v>
      </c>
    </row>
    <row r="2462" spans="12:18" x14ac:dyDescent="0.25">
      <c r="L2462" s="26">
        <v>43013</v>
      </c>
      <c r="M2462" s="6">
        <v>62.560001</v>
      </c>
      <c r="N2462" s="6">
        <v>63.150002000000001</v>
      </c>
      <c r="O2462" s="6">
        <v>62.369999</v>
      </c>
      <c r="P2462" s="6">
        <v>62.700001</v>
      </c>
      <c r="Q2462" s="6">
        <v>59.578369000000002</v>
      </c>
      <c r="R2462" s="58">
        <v>2251500</v>
      </c>
    </row>
    <row r="2463" spans="12:18" x14ac:dyDescent="0.25">
      <c r="L2463" s="26">
        <v>43014</v>
      </c>
      <c r="M2463" s="6">
        <v>62.91</v>
      </c>
      <c r="N2463" s="6">
        <v>63.189999</v>
      </c>
      <c r="O2463" s="6">
        <v>62.330002</v>
      </c>
      <c r="P2463" s="6">
        <v>62.400002000000001</v>
      </c>
      <c r="Q2463" s="6">
        <v>59.293308000000003</v>
      </c>
      <c r="R2463" s="58">
        <v>3205800</v>
      </c>
    </row>
    <row r="2464" spans="12:18" x14ac:dyDescent="0.25">
      <c r="L2464" s="26">
        <v>43017</v>
      </c>
      <c r="M2464" s="6">
        <v>62.419998</v>
      </c>
      <c r="N2464" s="6">
        <v>62.48</v>
      </c>
      <c r="O2464" s="6">
        <v>61.029998999999997</v>
      </c>
      <c r="P2464" s="6">
        <v>61.040000999999997</v>
      </c>
      <c r="Q2464" s="6">
        <v>58.001015000000002</v>
      </c>
      <c r="R2464" s="58">
        <v>4129700</v>
      </c>
    </row>
    <row r="2465" spans="12:18" x14ac:dyDescent="0.25">
      <c r="L2465" s="26">
        <v>43018</v>
      </c>
      <c r="M2465" s="6">
        <v>61.27</v>
      </c>
      <c r="N2465" s="6">
        <v>61.73</v>
      </c>
      <c r="O2465" s="6">
        <v>61.119999</v>
      </c>
      <c r="P2465" s="6">
        <v>61.470001000000003</v>
      </c>
      <c r="Q2465" s="6">
        <v>58.409602999999997</v>
      </c>
      <c r="R2465" s="58">
        <v>3694100</v>
      </c>
    </row>
    <row r="2466" spans="12:18" x14ac:dyDescent="0.25">
      <c r="L2466" s="26">
        <v>43019</v>
      </c>
      <c r="M2466" s="6">
        <v>61.540000999999997</v>
      </c>
      <c r="N2466" s="6">
        <v>61.950001</v>
      </c>
      <c r="O2466" s="6">
        <v>61.220001000000003</v>
      </c>
      <c r="P2466" s="6">
        <v>61.25</v>
      </c>
      <c r="Q2466" s="6">
        <v>58.200553999999997</v>
      </c>
      <c r="R2466" s="58">
        <v>4974900</v>
      </c>
    </row>
    <row r="2467" spans="12:18" x14ac:dyDescent="0.25">
      <c r="L2467" s="26">
        <v>43020</v>
      </c>
      <c r="M2467" s="6">
        <v>61.189999</v>
      </c>
      <c r="N2467" s="6">
        <v>62.59</v>
      </c>
      <c r="O2467" s="6">
        <v>61.189999</v>
      </c>
      <c r="P2467" s="6">
        <v>62.389999000000003</v>
      </c>
      <c r="Q2467" s="6">
        <v>59.283802000000001</v>
      </c>
      <c r="R2467" s="58">
        <v>3105700</v>
      </c>
    </row>
    <row r="2468" spans="12:18" x14ac:dyDescent="0.25">
      <c r="L2468" s="26">
        <v>43021</v>
      </c>
      <c r="M2468" s="6">
        <v>62.439999</v>
      </c>
      <c r="N2468" s="6">
        <v>62.459999000000003</v>
      </c>
      <c r="O2468" s="6">
        <v>61.639999000000003</v>
      </c>
      <c r="P2468" s="6">
        <v>61.959999000000003</v>
      </c>
      <c r="Q2468" s="6">
        <v>58.875205999999999</v>
      </c>
      <c r="R2468" s="58">
        <v>2875600</v>
      </c>
    </row>
    <row r="2469" spans="12:18" x14ac:dyDescent="0.25">
      <c r="L2469" s="26">
        <v>43024</v>
      </c>
      <c r="M2469" s="6">
        <v>61.889999000000003</v>
      </c>
      <c r="N2469" s="6">
        <v>62.259998000000003</v>
      </c>
      <c r="O2469" s="6">
        <v>61.82</v>
      </c>
      <c r="P2469" s="6">
        <v>61.91</v>
      </c>
      <c r="Q2469" s="6">
        <v>58.827702000000002</v>
      </c>
      <c r="R2469" s="58">
        <v>1754800</v>
      </c>
    </row>
    <row r="2470" spans="12:18" x14ac:dyDescent="0.25">
      <c r="L2470" s="26">
        <v>43025</v>
      </c>
      <c r="M2470" s="6">
        <v>61.869999</v>
      </c>
      <c r="N2470" s="6">
        <v>62.09</v>
      </c>
      <c r="O2470" s="6">
        <v>61.59</v>
      </c>
      <c r="P2470" s="6">
        <v>61.740001999999997</v>
      </c>
      <c r="Q2470" s="6">
        <v>58.666156999999998</v>
      </c>
      <c r="R2470" s="58">
        <v>2032200</v>
      </c>
    </row>
    <row r="2471" spans="12:18" x14ac:dyDescent="0.25">
      <c r="L2471" s="26">
        <v>43026</v>
      </c>
      <c r="M2471" s="6">
        <v>61.75</v>
      </c>
      <c r="N2471" s="6">
        <v>61.959999000000003</v>
      </c>
      <c r="O2471" s="6">
        <v>61.529998999999997</v>
      </c>
      <c r="P2471" s="6">
        <v>61.790000999999997</v>
      </c>
      <c r="Q2471" s="6">
        <v>58.713673</v>
      </c>
      <c r="R2471" s="58">
        <v>2688600</v>
      </c>
    </row>
    <row r="2472" spans="12:18" x14ac:dyDescent="0.25">
      <c r="L2472" s="26">
        <v>43027</v>
      </c>
      <c r="M2472" s="6">
        <v>61.720001000000003</v>
      </c>
      <c r="N2472" s="6">
        <v>61.970001000000003</v>
      </c>
      <c r="O2472" s="6">
        <v>61.41</v>
      </c>
      <c r="P2472" s="6">
        <v>61.700001</v>
      </c>
      <c r="Q2472" s="6">
        <v>58.628151000000003</v>
      </c>
      <c r="R2472" s="58">
        <v>2221700</v>
      </c>
    </row>
    <row r="2473" spans="12:18" x14ac:dyDescent="0.25">
      <c r="L2473" s="26">
        <v>43028</v>
      </c>
      <c r="M2473" s="6">
        <v>61.66</v>
      </c>
      <c r="N2473" s="6">
        <v>61.75</v>
      </c>
      <c r="O2473" s="6">
        <v>60.959999000000003</v>
      </c>
      <c r="P2473" s="6">
        <v>61.450001</v>
      </c>
      <c r="Q2473" s="6">
        <v>58.390602000000001</v>
      </c>
      <c r="R2473" s="58">
        <v>3908000</v>
      </c>
    </row>
    <row r="2474" spans="12:18" x14ac:dyDescent="0.25">
      <c r="L2474" s="26">
        <v>43031</v>
      </c>
      <c r="M2474" s="6">
        <v>61.549999</v>
      </c>
      <c r="N2474" s="6">
        <v>61.919998</v>
      </c>
      <c r="O2474" s="6">
        <v>61.32</v>
      </c>
      <c r="P2474" s="6">
        <v>61.48</v>
      </c>
      <c r="Q2474" s="6">
        <v>58.419105999999999</v>
      </c>
      <c r="R2474" s="58">
        <v>3461700</v>
      </c>
    </row>
    <row r="2475" spans="12:18" x14ac:dyDescent="0.25">
      <c r="L2475" s="26">
        <v>43032</v>
      </c>
      <c r="M2475" s="6">
        <v>61.459999000000003</v>
      </c>
      <c r="N2475" s="6">
        <v>61.740001999999997</v>
      </c>
      <c r="O2475" s="6">
        <v>60.970001000000003</v>
      </c>
      <c r="P2475" s="6">
        <v>61.200001</v>
      </c>
      <c r="Q2475" s="6">
        <v>58.153049000000003</v>
      </c>
      <c r="R2475" s="58">
        <v>3030500</v>
      </c>
    </row>
    <row r="2476" spans="12:18" x14ac:dyDescent="0.25">
      <c r="L2476" s="26">
        <v>43033</v>
      </c>
      <c r="M2476" s="6">
        <v>60.959999000000003</v>
      </c>
      <c r="N2476" s="6">
        <v>61.060001</v>
      </c>
      <c r="O2476" s="6">
        <v>60.009998000000003</v>
      </c>
      <c r="P2476" s="6">
        <v>60.48</v>
      </c>
      <c r="Q2476" s="6">
        <v>57.468890999999999</v>
      </c>
      <c r="R2476" s="58">
        <v>4314800</v>
      </c>
    </row>
    <row r="2477" spans="12:18" x14ac:dyDescent="0.25">
      <c r="L2477" s="26">
        <v>43034</v>
      </c>
      <c r="M2477" s="6">
        <v>60.759998000000003</v>
      </c>
      <c r="N2477" s="6">
        <v>60.889999000000003</v>
      </c>
      <c r="O2477" s="6">
        <v>60.029998999999997</v>
      </c>
      <c r="P2477" s="6">
        <v>60.549999</v>
      </c>
      <c r="Q2477" s="6">
        <v>57.535404</v>
      </c>
      <c r="R2477" s="58">
        <v>3217500</v>
      </c>
    </row>
    <row r="2478" spans="12:18" x14ac:dyDescent="0.25">
      <c r="L2478" s="26">
        <v>43035</v>
      </c>
      <c r="M2478" s="6">
        <v>60.419998</v>
      </c>
      <c r="N2478" s="6">
        <v>60.490001999999997</v>
      </c>
      <c r="O2478" s="6">
        <v>59.82</v>
      </c>
      <c r="P2478" s="6">
        <v>60.259998000000003</v>
      </c>
      <c r="Q2478" s="6">
        <v>57.259846000000003</v>
      </c>
      <c r="R2478" s="58">
        <v>3142900</v>
      </c>
    </row>
    <row r="2479" spans="12:18" x14ac:dyDescent="0.25">
      <c r="L2479" s="26">
        <v>43038</v>
      </c>
      <c r="M2479" s="6">
        <v>60.07</v>
      </c>
      <c r="N2479" s="6">
        <v>60.16</v>
      </c>
      <c r="O2479" s="6">
        <v>58.759998000000003</v>
      </c>
      <c r="P2479" s="6">
        <v>58.869999</v>
      </c>
      <c r="Q2479" s="6">
        <v>55.939053000000001</v>
      </c>
      <c r="R2479" s="58">
        <v>6126000</v>
      </c>
    </row>
    <row r="2480" spans="12:18" x14ac:dyDescent="0.25">
      <c r="L2480" s="26">
        <v>43039</v>
      </c>
      <c r="M2480" s="6">
        <v>62.490001999999997</v>
      </c>
      <c r="N2480" s="6">
        <v>63.93</v>
      </c>
      <c r="O2480" s="6">
        <v>61.77</v>
      </c>
      <c r="P2480" s="6">
        <v>62.529998999999997</v>
      </c>
      <c r="Q2480" s="6">
        <v>59.416828000000002</v>
      </c>
      <c r="R2480" s="58">
        <v>11598400</v>
      </c>
    </row>
    <row r="2481" spans="12:18" x14ac:dyDescent="0.25">
      <c r="L2481" s="26">
        <v>43040</v>
      </c>
      <c r="M2481" s="6">
        <v>62.639999000000003</v>
      </c>
      <c r="N2481" s="6">
        <v>63.720001000000003</v>
      </c>
      <c r="O2481" s="6">
        <v>61.810001</v>
      </c>
      <c r="P2481" s="6">
        <v>63.009998000000003</v>
      </c>
      <c r="Q2481" s="6">
        <v>59.872931999999999</v>
      </c>
      <c r="R2481" s="58">
        <v>4620500</v>
      </c>
    </row>
    <row r="2482" spans="12:18" x14ac:dyDescent="0.25">
      <c r="L2482" s="26">
        <v>43041</v>
      </c>
      <c r="M2482" s="6">
        <v>62.84</v>
      </c>
      <c r="N2482" s="6">
        <v>63.07</v>
      </c>
      <c r="O2482" s="6">
        <v>62.34</v>
      </c>
      <c r="P2482" s="6">
        <v>62.380001</v>
      </c>
      <c r="Q2482" s="6">
        <v>59.274303000000003</v>
      </c>
      <c r="R2482" s="58">
        <v>3334800</v>
      </c>
    </row>
    <row r="2483" spans="12:18" x14ac:dyDescent="0.25">
      <c r="L2483" s="26">
        <v>43042</v>
      </c>
      <c r="M2483" s="6">
        <v>62.439999</v>
      </c>
      <c r="N2483" s="6">
        <v>62.490001999999997</v>
      </c>
      <c r="O2483" s="6">
        <v>61.650002000000001</v>
      </c>
      <c r="P2483" s="6">
        <v>61.959999000000003</v>
      </c>
      <c r="Q2483" s="6">
        <v>58.875205999999999</v>
      </c>
      <c r="R2483" s="58">
        <v>3072000</v>
      </c>
    </row>
    <row r="2484" spans="12:18" x14ac:dyDescent="0.25">
      <c r="L2484" s="26">
        <v>43045</v>
      </c>
      <c r="M2484" s="6">
        <v>61.849997999999999</v>
      </c>
      <c r="N2484" s="6">
        <v>61.849997999999999</v>
      </c>
      <c r="O2484" s="6">
        <v>60.189999</v>
      </c>
      <c r="P2484" s="6">
        <v>60.200001</v>
      </c>
      <c r="Q2484" s="6">
        <v>57.202835</v>
      </c>
      <c r="R2484" s="58">
        <v>3584200</v>
      </c>
    </row>
    <row r="2485" spans="12:18" x14ac:dyDescent="0.25">
      <c r="L2485" s="26">
        <v>43046</v>
      </c>
      <c r="M2485" s="6">
        <v>60.25</v>
      </c>
      <c r="N2485" s="6">
        <v>61.389999000000003</v>
      </c>
      <c r="O2485" s="6">
        <v>60.130001</v>
      </c>
      <c r="P2485" s="6">
        <v>60.84</v>
      </c>
      <c r="Q2485" s="6">
        <v>57.810974000000002</v>
      </c>
      <c r="R2485" s="58">
        <v>6320100</v>
      </c>
    </row>
    <row r="2486" spans="12:18" x14ac:dyDescent="0.25">
      <c r="L2486" s="26">
        <v>43047</v>
      </c>
      <c r="M2486" s="6">
        <v>61</v>
      </c>
      <c r="N2486" s="6">
        <v>62.970001000000003</v>
      </c>
      <c r="O2486" s="6">
        <v>60.860000999999997</v>
      </c>
      <c r="P2486" s="6">
        <v>62.82</v>
      </c>
      <c r="Q2486" s="6">
        <v>59.692390000000003</v>
      </c>
      <c r="R2486" s="58">
        <v>4624500</v>
      </c>
    </row>
    <row r="2487" spans="12:18" x14ac:dyDescent="0.25">
      <c r="L2487" s="26">
        <v>43048</v>
      </c>
      <c r="M2487" s="6">
        <v>62.689999</v>
      </c>
      <c r="N2487" s="6">
        <v>63.419998</v>
      </c>
      <c r="O2487" s="6">
        <v>62.490001999999997</v>
      </c>
      <c r="P2487" s="6">
        <v>63.279998999999997</v>
      </c>
      <c r="Q2487" s="6">
        <v>60.129486</v>
      </c>
      <c r="R2487" s="58">
        <v>4600700</v>
      </c>
    </row>
    <row r="2488" spans="12:18" x14ac:dyDescent="0.25">
      <c r="L2488" s="26">
        <v>43049</v>
      </c>
      <c r="M2488" s="6">
        <v>63.040000999999997</v>
      </c>
      <c r="N2488" s="6">
        <v>65.190002000000007</v>
      </c>
      <c r="O2488" s="6">
        <v>62.91</v>
      </c>
      <c r="P2488" s="6">
        <v>64.699996999999996</v>
      </c>
      <c r="Q2488" s="6">
        <v>61.478794000000001</v>
      </c>
      <c r="R2488" s="58">
        <v>6215500</v>
      </c>
    </row>
    <row r="2489" spans="12:18" x14ac:dyDescent="0.25">
      <c r="L2489" s="26">
        <v>43052</v>
      </c>
      <c r="M2489" s="6">
        <v>64.599997999999999</v>
      </c>
      <c r="N2489" s="6">
        <v>65</v>
      </c>
      <c r="O2489" s="6">
        <v>63.619999</v>
      </c>
      <c r="P2489" s="6">
        <v>63.759998000000003</v>
      </c>
      <c r="Q2489" s="6">
        <v>60.585594</v>
      </c>
      <c r="R2489" s="58">
        <v>3419100</v>
      </c>
    </row>
    <row r="2490" spans="12:18" x14ac:dyDescent="0.25">
      <c r="L2490" s="26">
        <v>43053</v>
      </c>
      <c r="M2490" s="6">
        <v>63.75</v>
      </c>
      <c r="N2490" s="6">
        <v>65.25</v>
      </c>
      <c r="O2490" s="6">
        <v>63.599997999999999</v>
      </c>
      <c r="P2490" s="6">
        <v>65.180000000000007</v>
      </c>
      <c r="Q2490" s="6">
        <v>61.934902000000001</v>
      </c>
      <c r="R2490" s="58">
        <v>4270100</v>
      </c>
    </row>
    <row r="2491" spans="12:18" x14ac:dyDescent="0.25">
      <c r="L2491" s="26">
        <v>43054</v>
      </c>
      <c r="M2491" s="6">
        <v>65</v>
      </c>
      <c r="N2491" s="6">
        <v>65.059997999999993</v>
      </c>
      <c r="O2491" s="6">
        <v>63</v>
      </c>
      <c r="P2491" s="6">
        <v>63.740001999999997</v>
      </c>
      <c r="Q2491" s="6">
        <v>60.566589</v>
      </c>
      <c r="R2491" s="58">
        <v>4553500</v>
      </c>
    </row>
    <row r="2492" spans="12:18" x14ac:dyDescent="0.25">
      <c r="L2492" s="26">
        <v>43055</v>
      </c>
      <c r="M2492" s="6">
        <v>64.050003000000004</v>
      </c>
      <c r="N2492" s="6">
        <v>65.339995999999999</v>
      </c>
      <c r="O2492" s="6">
        <v>63.880001</v>
      </c>
      <c r="P2492" s="6">
        <v>65.279999000000004</v>
      </c>
      <c r="Q2492" s="6">
        <v>62.029921999999999</v>
      </c>
      <c r="R2492" s="58">
        <v>2948800</v>
      </c>
    </row>
    <row r="2493" spans="12:18" x14ac:dyDescent="0.25">
      <c r="L2493" s="26">
        <v>43056</v>
      </c>
      <c r="M2493" s="6">
        <v>64.980002999999996</v>
      </c>
      <c r="N2493" s="6">
        <v>65.839995999999999</v>
      </c>
      <c r="O2493" s="6">
        <v>64.930000000000007</v>
      </c>
      <c r="P2493" s="6">
        <v>65.360000999999997</v>
      </c>
      <c r="Q2493" s="6">
        <v>62.105927000000001</v>
      </c>
      <c r="R2493" s="58">
        <v>4617500</v>
      </c>
    </row>
    <row r="2494" spans="12:18" x14ac:dyDescent="0.25">
      <c r="L2494" s="26">
        <v>43059</v>
      </c>
      <c r="M2494" s="6">
        <v>65.279999000000004</v>
      </c>
      <c r="N2494" s="6">
        <v>66.220000999999996</v>
      </c>
      <c r="O2494" s="6">
        <v>65.25</v>
      </c>
      <c r="P2494" s="6">
        <v>65.559997999999993</v>
      </c>
      <c r="Q2494" s="6">
        <v>62.295974999999999</v>
      </c>
      <c r="R2494" s="58">
        <v>4112900</v>
      </c>
    </row>
    <row r="2495" spans="12:18" x14ac:dyDescent="0.25">
      <c r="L2495" s="26">
        <v>43060</v>
      </c>
      <c r="M2495" s="6">
        <v>65.269997000000004</v>
      </c>
      <c r="N2495" s="6">
        <v>65.269997000000004</v>
      </c>
      <c r="O2495" s="6">
        <v>64.069999999999993</v>
      </c>
      <c r="P2495" s="6">
        <v>64.349997999999999</v>
      </c>
      <c r="Q2495" s="6">
        <v>61.146217</v>
      </c>
      <c r="R2495" s="58">
        <v>3875600</v>
      </c>
    </row>
    <row r="2496" spans="12:18" x14ac:dyDescent="0.25">
      <c r="L2496" s="26">
        <v>43061</v>
      </c>
      <c r="M2496" s="6">
        <v>64.940002000000007</v>
      </c>
      <c r="N2496" s="6">
        <v>64.940002000000007</v>
      </c>
      <c r="O2496" s="6">
        <v>64.160004000000001</v>
      </c>
      <c r="P2496" s="6">
        <v>64.709998999999996</v>
      </c>
      <c r="Q2496" s="6">
        <v>61.488300000000002</v>
      </c>
      <c r="R2496" s="58">
        <v>1770700</v>
      </c>
    </row>
    <row r="2497" spans="12:18" x14ac:dyDescent="0.25">
      <c r="L2497" s="26">
        <v>43063</v>
      </c>
      <c r="M2497" s="6">
        <v>64.959998999999996</v>
      </c>
      <c r="N2497" s="6">
        <v>65.029999000000004</v>
      </c>
      <c r="O2497" s="6">
        <v>64.5</v>
      </c>
      <c r="P2497" s="6">
        <v>64.930000000000007</v>
      </c>
      <c r="Q2497" s="6">
        <v>61.697341999999999</v>
      </c>
      <c r="R2497" s="58">
        <v>797500</v>
      </c>
    </row>
    <row r="2498" spans="12:18" x14ac:dyDescent="0.25">
      <c r="L2498" s="26">
        <v>43066</v>
      </c>
      <c r="M2498" s="6">
        <v>64.900002000000001</v>
      </c>
      <c r="N2498" s="6">
        <v>65.339995999999999</v>
      </c>
      <c r="O2498" s="6">
        <v>64.400002000000001</v>
      </c>
      <c r="P2498" s="6">
        <v>65.069999999999993</v>
      </c>
      <c r="Q2498" s="6">
        <v>61.830376000000001</v>
      </c>
      <c r="R2498" s="58">
        <v>1877800</v>
      </c>
    </row>
    <row r="2499" spans="12:18" x14ac:dyDescent="0.25">
      <c r="L2499" s="26">
        <v>43067</v>
      </c>
      <c r="M2499" s="6">
        <v>65.230002999999996</v>
      </c>
      <c r="N2499" s="6">
        <v>65.959998999999996</v>
      </c>
      <c r="O2499" s="6">
        <v>64.779999000000004</v>
      </c>
      <c r="P2499" s="6">
        <v>65.940002000000007</v>
      </c>
      <c r="Q2499" s="6">
        <v>62.657063000000001</v>
      </c>
      <c r="R2499" s="58">
        <v>2060700</v>
      </c>
    </row>
    <row r="2500" spans="12:18" x14ac:dyDescent="0.25">
      <c r="L2500" s="26">
        <v>43068</v>
      </c>
      <c r="M2500" s="6">
        <v>65.589995999999999</v>
      </c>
      <c r="N2500" s="6">
        <v>67.739998</v>
      </c>
      <c r="O2500" s="6">
        <v>65.589995999999999</v>
      </c>
      <c r="P2500" s="6">
        <v>66.800003000000004</v>
      </c>
      <c r="Q2500" s="6">
        <v>63.474243000000001</v>
      </c>
      <c r="R2500" s="58">
        <v>3235400</v>
      </c>
    </row>
    <row r="2501" spans="12:18" x14ac:dyDescent="0.25">
      <c r="L2501" s="26">
        <v>43069</v>
      </c>
      <c r="M2501" s="6">
        <v>66.790001000000004</v>
      </c>
      <c r="N2501" s="6">
        <v>67.220000999999996</v>
      </c>
      <c r="O2501" s="6">
        <v>65.739998</v>
      </c>
      <c r="P2501" s="6">
        <v>66.160004000000001</v>
      </c>
      <c r="Q2501" s="6">
        <v>63.378444999999999</v>
      </c>
      <c r="R2501" s="58">
        <v>4505900</v>
      </c>
    </row>
    <row r="2502" spans="12:18" x14ac:dyDescent="0.25">
      <c r="L2502" s="26">
        <v>43070</v>
      </c>
      <c r="M2502" s="6">
        <v>66.019997000000004</v>
      </c>
      <c r="N2502" s="6">
        <v>66.529999000000004</v>
      </c>
      <c r="O2502" s="6">
        <v>65.089995999999999</v>
      </c>
      <c r="P2502" s="6">
        <v>65.989998</v>
      </c>
      <c r="Q2502" s="6">
        <v>63.215595</v>
      </c>
      <c r="R2502" s="58">
        <v>3329800</v>
      </c>
    </row>
    <row r="2503" spans="12:18" x14ac:dyDescent="0.25">
      <c r="L2503" s="26">
        <v>43073</v>
      </c>
      <c r="M2503" s="6">
        <v>66.150002000000001</v>
      </c>
      <c r="N2503" s="6">
        <v>67.720000999999996</v>
      </c>
      <c r="O2503" s="6">
        <v>65.970000999999996</v>
      </c>
      <c r="P2503" s="6">
        <v>67.540001000000004</v>
      </c>
      <c r="Q2503" s="6">
        <v>64.700423999999998</v>
      </c>
      <c r="R2503" s="58">
        <v>4200600</v>
      </c>
    </row>
    <row r="2504" spans="12:18" x14ac:dyDescent="0.25">
      <c r="L2504" s="26">
        <v>43074</v>
      </c>
      <c r="M2504" s="6">
        <v>67.650002000000001</v>
      </c>
      <c r="N2504" s="6">
        <v>68.290001000000004</v>
      </c>
      <c r="O2504" s="6">
        <v>67.279999000000004</v>
      </c>
      <c r="P2504" s="6">
        <v>67.970000999999996</v>
      </c>
      <c r="Q2504" s="6">
        <v>65.112350000000006</v>
      </c>
      <c r="R2504" s="58">
        <v>4446200</v>
      </c>
    </row>
    <row r="2505" spans="12:18" x14ac:dyDescent="0.25">
      <c r="L2505" s="26">
        <v>43075</v>
      </c>
      <c r="M2505" s="6">
        <v>67.970000999999996</v>
      </c>
      <c r="N2505" s="6">
        <v>68.290001000000004</v>
      </c>
      <c r="O2505" s="6">
        <v>67.639999000000003</v>
      </c>
      <c r="P2505" s="6">
        <v>68.129997000000003</v>
      </c>
      <c r="Q2505" s="6">
        <v>65.265617000000006</v>
      </c>
      <c r="R2505" s="58">
        <v>1890700</v>
      </c>
    </row>
    <row r="2506" spans="12:18" x14ac:dyDescent="0.25">
      <c r="L2506" s="26">
        <v>43076</v>
      </c>
      <c r="M2506" s="6">
        <v>68</v>
      </c>
      <c r="N2506" s="6">
        <v>68.129997000000003</v>
      </c>
      <c r="O2506" s="6">
        <v>67.239998</v>
      </c>
      <c r="P2506" s="6">
        <v>67.269997000000004</v>
      </c>
      <c r="Q2506" s="6">
        <v>64.441779999999994</v>
      </c>
      <c r="R2506" s="58">
        <v>1758900</v>
      </c>
    </row>
    <row r="2507" spans="12:18" x14ac:dyDescent="0.25">
      <c r="L2507" s="26">
        <v>43077</v>
      </c>
      <c r="M2507" s="6">
        <v>67.069999999999993</v>
      </c>
      <c r="N2507" s="6">
        <v>67.230002999999996</v>
      </c>
      <c r="O2507" s="6">
        <v>66.360000999999997</v>
      </c>
      <c r="P2507" s="6">
        <v>66.529999000000004</v>
      </c>
      <c r="Q2507" s="6">
        <v>63.732883000000001</v>
      </c>
      <c r="R2507" s="58">
        <v>2361200</v>
      </c>
    </row>
    <row r="2508" spans="12:18" x14ac:dyDescent="0.25">
      <c r="L2508" s="26">
        <v>43080</v>
      </c>
      <c r="M2508" s="6">
        <v>66.459998999999996</v>
      </c>
      <c r="N2508" s="6">
        <v>66.629997000000003</v>
      </c>
      <c r="O2508" s="6">
        <v>66.029999000000004</v>
      </c>
      <c r="P2508" s="6">
        <v>66.550003000000004</v>
      </c>
      <c r="Q2508" s="6">
        <v>63.752051999999999</v>
      </c>
      <c r="R2508" s="58">
        <v>1767400</v>
      </c>
    </row>
    <row r="2509" spans="12:18" x14ac:dyDescent="0.25">
      <c r="L2509" s="26">
        <v>43081</v>
      </c>
      <c r="M2509" s="6">
        <v>66.620002999999997</v>
      </c>
      <c r="N2509" s="6">
        <v>66.620002999999997</v>
      </c>
      <c r="O2509" s="6">
        <v>65.930000000000007</v>
      </c>
      <c r="P2509" s="6">
        <v>65.949996999999996</v>
      </c>
      <c r="Q2509" s="6">
        <v>63.177264999999998</v>
      </c>
      <c r="R2509" s="58">
        <v>2145700</v>
      </c>
    </row>
    <row r="2510" spans="12:18" x14ac:dyDescent="0.25">
      <c r="L2510" s="26">
        <v>43082</v>
      </c>
      <c r="M2510" s="6">
        <v>66.220000999999996</v>
      </c>
      <c r="N2510" s="6">
        <v>66.319999999999993</v>
      </c>
      <c r="O2510" s="6">
        <v>65.790001000000004</v>
      </c>
      <c r="P2510" s="6">
        <v>65.830001999999993</v>
      </c>
      <c r="Q2510" s="6">
        <v>63.062317</v>
      </c>
      <c r="R2510" s="58">
        <v>3051300</v>
      </c>
    </row>
    <row r="2511" spans="12:18" x14ac:dyDescent="0.25">
      <c r="L2511" s="26">
        <v>43083</v>
      </c>
      <c r="M2511" s="6">
        <v>65.75</v>
      </c>
      <c r="N2511" s="6">
        <v>65.870002999999997</v>
      </c>
      <c r="O2511" s="6">
        <v>65.010002</v>
      </c>
      <c r="P2511" s="6">
        <v>65.050003000000004</v>
      </c>
      <c r="Q2511" s="6">
        <v>62.315117000000001</v>
      </c>
      <c r="R2511" s="58">
        <v>3022200</v>
      </c>
    </row>
    <row r="2512" spans="12:18" x14ac:dyDescent="0.25">
      <c r="L2512" s="26">
        <v>43084</v>
      </c>
      <c r="M2512" s="6">
        <v>65.180000000000007</v>
      </c>
      <c r="N2512" s="6">
        <v>65.919998000000007</v>
      </c>
      <c r="O2512" s="6">
        <v>64.209998999999996</v>
      </c>
      <c r="P2512" s="6">
        <v>64.989998</v>
      </c>
      <c r="Q2512" s="6">
        <v>62.257629000000001</v>
      </c>
      <c r="R2512" s="58">
        <v>7038500</v>
      </c>
    </row>
    <row r="2513" spans="12:18" x14ac:dyDescent="0.25">
      <c r="L2513" s="26">
        <v>43087</v>
      </c>
      <c r="M2513" s="6">
        <v>65.099997999999999</v>
      </c>
      <c r="N2513" s="6">
        <v>66.129997000000003</v>
      </c>
      <c r="O2513" s="6">
        <v>64.900002000000001</v>
      </c>
      <c r="P2513" s="6">
        <v>65.639999000000003</v>
      </c>
      <c r="Q2513" s="6">
        <v>62.880310000000001</v>
      </c>
      <c r="R2513" s="58">
        <v>4558800</v>
      </c>
    </row>
    <row r="2514" spans="12:18" x14ac:dyDescent="0.25">
      <c r="L2514" s="26">
        <v>43088</v>
      </c>
      <c r="M2514" s="6">
        <v>65.930000000000007</v>
      </c>
      <c r="N2514" s="6">
        <v>66.019997000000004</v>
      </c>
      <c r="O2514" s="6">
        <v>65.379997000000003</v>
      </c>
      <c r="P2514" s="6">
        <v>65.470000999999996</v>
      </c>
      <c r="Q2514" s="6">
        <v>62.717452999999999</v>
      </c>
      <c r="R2514" s="58">
        <v>5184200</v>
      </c>
    </row>
    <row r="2515" spans="12:18" x14ac:dyDescent="0.25">
      <c r="L2515" s="26">
        <v>43089</v>
      </c>
      <c r="M2515" s="6">
        <v>65.720000999999996</v>
      </c>
      <c r="N2515" s="6">
        <v>67.150002000000001</v>
      </c>
      <c r="O2515" s="6">
        <v>65.139999000000003</v>
      </c>
      <c r="P2515" s="6">
        <v>66.870002999999997</v>
      </c>
      <c r="Q2515" s="6">
        <v>64.058586000000005</v>
      </c>
      <c r="R2515" s="58">
        <v>5328200</v>
      </c>
    </row>
    <row r="2516" spans="12:18" x14ac:dyDescent="0.25">
      <c r="L2516" s="26">
        <v>43090</v>
      </c>
      <c r="M2516" s="6">
        <v>66.900002000000001</v>
      </c>
      <c r="N2516" s="6">
        <v>67.839995999999999</v>
      </c>
      <c r="O2516" s="6">
        <v>66.830001999999993</v>
      </c>
      <c r="P2516" s="6">
        <v>67.650002000000001</v>
      </c>
      <c r="Q2516" s="6">
        <v>64.805801000000002</v>
      </c>
      <c r="R2516" s="58">
        <v>3461300</v>
      </c>
    </row>
    <row r="2517" spans="12:18" x14ac:dyDescent="0.25">
      <c r="L2517" s="26">
        <v>43091</v>
      </c>
      <c r="M2517" s="6">
        <v>67.779999000000004</v>
      </c>
      <c r="N2517" s="6">
        <v>68.25</v>
      </c>
      <c r="O2517" s="6">
        <v>67.669998000000007</v>
      </c>
      <c r="P2517" s="6">
        <v>68.099997999999999</v>
      </c>
      <c r="Q2517" s="6">
        <v>65.236885000000001</v>
      </c>
      <c r="R2517" s="58">
        <v>2451500</v>
      </c>
    </row>
    <row r="2518" spans="12:18" x14ac:dyDescent="0.25">
      <c r="L2518" s="26">
        <v>43095</v>
      </c>
      <c r="M2518" s="6">
        <v>67.959998999999996</v>
      </c>
      <c r="N2518" s="6">
        <v>68.220000999999996</v>
      </c>
      <c r="O2518" s="6">
        <v>67.800003000000004</v>
      </c>
      <c r="P2518" s="6">
        <v>68.150002000000001</v>
      </c>
      <c r="Q2518" s="6">
        <v>65.284782000000007</v>
      </c>
      <c r="R2518" s="58">
        <v>1372700</v>
      </c>
    </row>
    <row r="2519" spans="12:18" x14ac:dyDescent="0.25">
      <c r="L2519" s="26">
        <v>43096</v>
      </c>
      <c r="M2519" s="6">
        <v>68.209998999999996</v>
      </c>
      <c r="N2519" s="6">
        <v>68.709998999999996</v>
      </c>
      <c r="O2519" s="6">
        <v>68.089995999999999</v>
      </c>
      <c r="P2519" s="6">
        <v>68.290001000000004</v>
      </c>
      <c r="Q2519" s="6">
        <v>65.418892</v>
      </c>
      <c r="R2519" s="58">
        <v>1603100</v>
      </c>
    </row>
    <row r="2520" spans="12:18" x14ac:dyDescent="0.25">
      <c r="L2520" s="26">
        <v>43097</v>
      </c>
      <c r="M2520" s="6">
        <v>68.230002999999996</v>
      </c>
      <c r="N2520" s="6">
        <v>68.389999000000003</v>
      </c>
      <c r="O2520" s="6">
        <v>67.769997000000004</v>
      </c>
      <c r="P2520" s="6">
        <v>68.029999000000004</v>
      </c>
      <c r="Q2520" s="6">
        <v>65.169807000000006</v>
      </c>
      <c r="R2520" s="58">
        <v>1538500</v>
      </c>
    </row>
    <row r="2521" spans="12:18" x14ac:dyDescent="0.25">
      <c r="L2521" s="26">
        <v>43098</v>
      </c>
      <c r="M2521" s="6">
        <v>68.160004000000001</v>
      </c>
      <c r="N2521" s="6">
        <v>68.620002999999997</v>
      </c>
      <c r="O2521" s="6">
        <v>67.959998999999996</v>
      </c>
      <c r="P2521" s="6">
        <v>67.980002999999996</v>
      </c>
      <c r="Q2521" s="6">
        <v>65.121925000000005</v>
      </c>
      <c r="R2521" s="58">
        <v>1154800</v>
      </c>
    </row>
    <row r="2522" spans="12:18" x14ac:dyDescent="0.25">
      <c r="L2522" s="26">
        <v>43102</v>
      </c>
      <c r="M2522" s="6">
        <v>68.029999000000004</v>
      </c>
      <c r="N2522" s="6">
        <v>68.169998000000007</v>
      </c>
      <c r="O2522" s="6">
        <v>67.599997999999999</v>
      </c>
      <c r="P2522" s="6">
        <v>67.970000999999996</v>
      </c>
      <c r="Q2522" s="6">
        <v>65.112350000000006</v>
      </c>
      <c r="R2522" s="58">
        <v>2978200</v>
      </c>
    </row>
    <row r="2523" spans="12:18" x14ac:dyDescent="0.25">
      <c r="L2523" s="26">
        <v>43103</v>
      </c>
      <c r="M2523" s="6">
        <v>68.110000999999997</v>
      </c>
      <c r="N2523" s="6">
        <v>68.129997000000003</v>
      </c>
      <c r="O2523" s="6">
        <v>67.410004000000001</v>
      </c>
      <c r="P2523" s="6">
        <v>67.650002000000001</v>
      </c>
      <c r="Q2523" s="6">
        <v>64.805801000000002</v>
      </c>
      <c r="R2523" s="58">
        <v>2223100</v>
      </c>
    </row>
    <row r="2524" spans="12:18" x14ac:dyDescent="0.25">
      <c r="L2524" s="26">
        <v>43104</v>
      </c>
      <c r="M2524" s="6">
        <v>67.730002999999996</v>
      </c>
      <c r="N2524" s="6">
        <v>68.769997000000004</v>
      </c>
      <c r="O2524" s="6">
        <v>67.489998</v>
      </c>
      <c r="P2524" s="6">
        <v>68.730002999999996</v>
      </c>
      <c r="Q2524" s="6">
        <v>65.840393000000006</v>
      </c>
      <c r="R2524" s="58">
        <v>2438800</v>
      </c>
    </row>
    <row r="2525" spans="12:18" x14ac:dyDescent="0.25">
      <c r="L2525" s="26">
        <v>43105</v>
      </c>
      <c r="M2525" s="6">
        <v>68.849997999999999</v>
      </c>
      <c r="N2525" s="6">
        <v>69.190002000000007</v>
      </c>
      <c r="O2525" s="6">
        <v>68.599997999999999</v>
      </c>
      <c r="P2525" s="6">
        <v>68.940002000000007</v>
      </c>
      <c r="Q2525" s="6">
        <v>66.041556999999997</v>
      </c>
      <c r="R2525" s="58">
        <v>2211900</v>
      </c>
    </row>
    <row r="2526" spans="12:18" x14ac:dyDescent="0.25">
      <c r="L2526" s="26">
        <v>43108</v>
      </c>
      <c r="M2526" s="6">
        <v>68.870002999999997</v>
      </c>
      <c r="N2526" s="6">
        <v>69.209998999999996</v>
      </c>
      <c r="O2526" s="6">
        <v>68.620002999999997</v>
      </c>
      <c r="P2526" s="6">
        <v>69.169998000000007</v>
      </c>
      <c r="Q2526" s="6">
        <v>66.261887000000002</v>
      </c>
      <c r="R2526" s="58">
        <v>1940800</v>
      </c>
    </row>
    <row r="2527" spans="12:18" x14ac:dyDescent="0.25">
      <c r="L2527" s="26">
        <v>43109</v>
      </c>
      <c r="M2527" s="6">
        <v>69.199996999999996</v>
      </c>
      <c r="N2527" s="6">
        <v>69.209998999999996</v>
      </c>
      <c r="O2527" s="6">
        <v>68.599997999999999</v>
      </c>
      <c r="P2527" s="6">
        <v>68.779999000000004</v>
      </c>
      <c r="Q2527" s="6">
        <v>65.888289999999998</v>
      </c>
      <c r="R2527" s="58">
        <v>3050800</v>
      </c>
    </row>
    <row r="2528" spans="12:18" x14ac:dyDescent="0.25">
      <c r="L2528" s="26">
        <v>43110</v>
      </c>
      <c r="M2528" s="6">
        <v>68.339995999999999</v>
      </c>
      <c r="N2528" s="6">
        <v>68.459998999999996</v>
      </c>
      <c r="O2528" s="6">
        <v>66.819999999999993</v>
      </c>
      <c r="P2528" s="6">
        <v>67.019997000000004</v>
      </c>
      <c r="Q2528" s="6">
        <v>64.202286000000001</v>
      </c>
      <c r="R2528" s="58">
        <v>3379900</v>
      </c>
    </row>
    <row r="2529" spans="12:18" x14ac:dyDescent="0.25">
      <c r="L2529" s="26">
        <v>43111</v>
      </c>
      <c r="M2529" s="6">
        <v>67.290001000000004</v>
      </c>
      <c r="N2529" s="6">
        <v>67.290001000000004</v>
      </c>
      <c r="O2529" s="6">
        <v>65.569999999999993</v>
      </c>
      <c r="P2529" s="6">
        <v>65.980002999999996</v>
      </c>
      <c r="Q2529" s="6">
        <v>63.206020000000002</v>
      </c>
      <c r="R2529" s="58">
        <v>3897400</v>
      </c>
    </row>
    <row r="2530" spans="12:18" x14ac:dyDescent="0.25">
      <c r="L2530" s="26">
        <v>43112</v>
      </c>
      <c r="M2530" s="6">
        <v>66.010002</v>
      </c>
      <c r="N2530" s="6">
        <v>66.059997999999993</v>
      </c>
      <c r="O2530" s="6">
        <v>64.660004000000001</v>
      </c>
      <c r="P2530" s="6">
        <v>64.690002000000007</v>
      </c>
      <c r="Q2530" s="6">
        <v>61.970249000000003</v>
      </c>
      <c r="R2530" s="58">
        <v>4940200</v>
      </c>
    </row>
    <row r="2531" spans="12:18" x14ac:dyDescent="0.25">
      <c r="L2531" s="26">
        <v>43116</v>
      </c>
      <c r="M2531" s="6">
        <v>65.25</v>
      </c>
      <c r="N2531" s="6">
        <v>66.199996999999996</v>
      </c>
      <c r="O2531" s="6">
        <v>65.059997999999993</v>
      </c>
      <c r="P2531" s="6">
        <v>65.940002000000007</v>
      </c>
      <c r="Q2531" s="6">
        <v>63.167698000000001</v>
      </c>
      <c r="R2531" s="58">
        <v>4747400</v>
      </c>
    </row>
    <row r="2532" spans="12:18" x14ac:dyDescent="0.25">
      <c r="L2532" s="26">
        <v>43117</v>
      </c>
      <c r="M2532" s="6">
        <v>66.220000999999996</v>
      </c>
      <c r="N2532" s="6">
        <v>67.379997000000003</v>
      </c>
      <c r="O2532" s="6">
        <v>66.129997000000003</v>
      </c>
      <c r="P2532" s="6">
        <v>66.510002</v>
      </c>
      <c r="Q2532" s="6">
        <v>63.713734000000002</v>
      </c>
      <c r="R2532" s="58">
        <v>3809000</v>
      </c>
    </row>
    <row r="2533" spans="12:18" x14ac:dyDescent="0.25">
      <c r="L2533" s="26">
        <v>43118</v>
      </c>
      <c r="M2533" s="6">
        <v>66.370002999999997</v>
      </c>
      <c r="N2533" s="6">
        <v>66.370002999999997</v>
      </c>
      <c r="O2533" s="6">
        <v>65.360000999999997</v>
      </c>
      <c r="P2533" s="6">
        <v>65.800003000000004</v>
      </c>
      <c r="Q2533" s="6">
        <v>63.033577000000001</v>
      </c>
      <c r="R2533" s="58">
        <v>3429800</v>
      </c>
    </row>
    <row r="2534" spans="12:18" x14ac:dyDescent="0.25">
      <c r="L2534" s="26">
        <v>43119</v>
      </c>
      <c r="M2534" s="6">
        <v>65.949996999999996</v>
      </c>
      <c r="N2534" s="6">
        <v>67.010002</v>
      </c>
      <c r="O2534" s="6">
        <v>65.800003000000004</v>
      </c>
      <c r="P2534" s="6">
        <v>66.620002999999997</v>
      </c>
      <c r="Q2534" s="6">
        <v>63.819102999999998</v>
      </c>
      <c r="R2534" s="58">
        <v>3454600</v>
      </c>
    </row>
    <row r="2535" spans="12:18" x14ac:dyDescent="0.25">
      <c r="L2535" s="26">
        <v>43122</v>
      </c>
      <c r="M2535" s="6">
        <v>66.949996999999996</v>
      </c>
      <c r="N2535" s="6">
        <v>67.190002000000007</v>
      </c>
      <c r="O2535" s="6">
        <v>66.279999000000004</v>
      </c>
      <c r="P2535" s="6">
        <v>67.169998000000007</v>
      </c>
      <c r="Q2535" s="6">
        <v>64.345984999999999</v>
      </c>
      <c r="R2535" s="58">
        <v>2143900</v>
      </c>
    </row>
    <row r="2536" spans="12:18" x14ac:dyDescent="0.25">
      <c r="L2536" s="26">
        <v>43123</v>
      </c>
      <c r="M2536" s="6">
        <v>66.970000999999996</v>
      </c>
      <c r="N2536" s="6">
        <v>67.319999999999993</v>
      </c>
      <c r="O2536" s="6">
        <v>66.510002</v>
      </c>
      <c r="P2536" s="6">
        <v>66.930000000000007</v>
      </c>
      <c r="Q2536" s="6">
        <v>64.116073999999998</v>
      </c>
      <c r="R2536" s="58">
        <v>1788500</v>
      </c>
    </row>
    <row r="2537" spans="12:18" x14ac:dyDescent="0.25">
      <c r="L2537" s="26">
        <v>43124</v>
      </c>
      <c r="M2537" s="6">
        <v>67.040001000000004</v>
      </c>
      <c r="N2537" s="6">
        <v>67.849997999999999</v>
      </c>
      <c r="O2537" s="6">
        <v>67.010002</v>
      </c>
      <c r="P2537" s="6">
        <v>67.300003000000004</v>
      </c>
      <c r="Q2537" s="6">
        <v>64.470511999999999</v>
      </c>
      <c r="R2537" s="58">
        <v>4236800</v>
      </c>
    </row>
    <row r="2538" spans="12:18" x14ac:dyDescent="0.25">
      <c r="L2538" s="26">
        <v>43125</v>
      </c>
      <c r="M2538" s="6">
        <v>67.370002999999997</v>
      </c>
      <c r="N2538" s="6">
        <v>68.349997999999999</v>
      </c>
      <c r="O2538" s="6">
        <v>67.330001999999993</v>
      </c>
      <c r="P2538" s="6">
        <v>67.910004000000001</v>
      </c>
      <c r="Q2538" s="6">
        <v>65.054871000000006</v>
      </c>
      <c r="R2538" s="58">
        <v>2206200</v>
      </c>
    </row>
    <row r="2539" spans="12:18" x14ac:dyDescent="0.25">
      <c r="L2539" s="26">
        <v>43126</v>
      </c>
      <c r="M2539" s="6">
        <v>67.790001000000004</v>
      </c>
      <c r="N2539" s="6">
        <v>68.440002000000007</v>
      </c>
      <c r="O2539" s="6">
        <v>67.620002999999997</v>
      </c>
      <c r="P2539" s="6">
        <v>68.330001999999993</v>
      </c>
      <c r="Q2539" s="6">
        <v>65.457213999999993</v>
      </c>
      <c r="R2539" s="58">
        <v>2352900</v>
      </c>
    </row>
    <row r="2540" spans="12:18" x14ac:dyDescent="0.25">
      <c r="L2540" s="26">
        <v>43129</v>
      </c>
      <c r="M2540" s="6">
        <v>68.120002999999997</v>
      </c>
      <c r="N2540" s="6">
        <v>68.410004000000001</v>
      </c>
      <c r="O2540" s="6">
        <v>67.730002999999996</v>
      </c>
      <c r="P2540" s="6">
        <v>67.760002</v>
      </c>
      <c r="Q2540" s="6">
        <v>64.911170999999996</v>
      </c>
      <c r="R2540" s="58">
        <v>2125400</v>
      </c>
    </row>
    <row r="2541" spans="12:18" x14ac:dyDescent="0.25">
      <c r="L2541" s="26">
        <v>43130</v>
      </c>
      <c r="M2541" s="6">
        <v>67.669998000000007</v>
      </c>
      <c r="N2541" s="6">
        <v>68.239998</v>
      </c>
      <c r="O2541" s="6">
        <v>67.110000999999997</v>
      </c>
      <c r="P2541" s="6">
        <v>67.940002000000007</v>
      </c>
      <c r="Q2541" s="6">
        <v>65.083618000000001</v>
      </c>
      <c r="R2541" s="58">
        <v>2789000</v>
      </c>
    </row>
    <row r="2542" spans="12:18" x14ac:dyDescent="0.25">
      <c r="L2542" s="26">
        <v>43131</v>
      </c>
      <c r="M2542" s="6">
        <v>68.029999000000004</v>
      </c>
      <c r="N2542" s="6">
        <v>68.550003000000004</v>
      </c>
      <c r="O2542" s="6">
        <v>67.419998000000007</v>
      </c>
      <c r="P2542" s="6">
        <v>68.110000999999997</v>
      </c>
      <c r="Q2542" s="6">
        <v>65.246459999999999</v>
      </c>
      <c r="R2542" s="58">
        <v>3145600</v>
      </c>
    </row>
    <row r="2543" spans="12:18" x14ac:dyDescent="0.25">
      <c r="L2543" s="26">
        <v>43132</v>
      </c>
      <c r="M2543" s="6">
        <v>68</v>
      </c>
      <c r="N2543" s="6">
        <v>68.959998999999996</v>
      </c>
      <c r="O2543" s="6">
        <v>67.169998000000007</v>
      </c>
      <c r="P2543" s="6">
        <v>68.319999999999993</v>
      </c>
      <c r="Q2543" s="6">
        <v>65.447631999999999</v>
      </c>
      <c r="R2543" s="58">
        <v>3026800</v>
      </c>
    </row>
    <row r="2544" spans="12:18" x14ac:dyDescent="0.25">
      <c r="L2544" s="26">
        <v>43133</v>
      </c>
      <c r="M2544" s="6">
        <v>68.169998000000007</v>
      </c>
      <c r="N2544" s="6">
        <v>68.169998000000007</v>
      </c>
      <c r="O2544" s="6">
        <v>65.419998000000007</v>
      </c>
      <c r="P2544" s="6">
        <v>65.449996999999996</v>
      </c>
      <c r="Q2544" s="6">
        <v>62.698292000000002</v>
      </c>
      <c r="R2544" s="58">
        <v>3240400</v>
      </c>
    </row>
    <row r="2545" spans="12:18" x14ac:dyDescent="0.25">
      <c r="L2545" s="26">
        <v>43136</v>
      </c>
      <c r="M2545" s="6">
        <v>65.639999000000003</v>
      </c>
      <c r="N2545" s="6">
        <v>66.339995999999999</v>
      </c>
      <c r="O2545" s="6">
        <v>64.080001999999993</v>
      </c>
      <c r="P2545" s="6">
        <v>64.129997000000003</v>
      </c>
      <c r="Q2545" s="6">
        <v>61.433788</v>
      </c>
      <c r="R2545" s="58">
        <v>4194800</v>
      </c>
    </row>
    <row r="2546" spans="12:18" x14ac:dyDescent="0.25">
      <c r="L2546" s="26">
        <v>43137</v>
      </c>
      <c r="M2546" s="6">
        <v>63.139999000000003</v>
      </c>
      <c r="N2546" s="6">
        <v>65.309997999999993</v>
      </c>
      <c r="O2546" s="6">
        <v>62.959999000000003</v>
      </c>
      <c r="P2546" s="6">
        <v>65.160004000000001</v>
      </c>
      <c r="Q2546" s="6">
        <v>62.420493999999998</v>
      </c>
      <c r="R2546" s="58">
        <v>5066200</v>
      </c>
    </row>
    <row r="2547" spans="12:18" x14ac:dyDescent="0.25">
      <c r="L2547" s="26">
        <v>43138</v>
      </c>
      <c r="M2547" s="6">
        <v>65.169998000000007</v>
      </c>
      <c r="N2547" s="6">
        <v>66.699996999999996</v>
      </c>
      <c r="O2547" s="6">
        <v>64.160004000000001</v>
      </c>
      <c r="P2547" s="6">
        <v>64.209998999999996</v>
      </c>
      <c r="Q2547" s="6">
        <v>61.510429000000002</v>
      </c>
      <c r="R2547" s="58">
        <v>4871300</v>
      </c>
    </row>
    <row r="2548" spans="12:18" x14ac:dyDescent="0.25">
      <c r="L2548" s="26">
        <v>43139</v>
      </c>
      <c r="M2548" s="6">
        <v>64.589995999999999</v>
      </c>
      <c r="N2548" s="6">
        <v>67.319999999999993</v>
      </c>
      <c r="O2548" s="6">
        <v>64.550003000000004</v>
      </c>
      <c r="P2548" s="6">
        <v>65.980002999999996</v>
      </c>
      <c r="Q2548" s="6">
        <v>63.206020000000002</v>
      </c>
      <c r="R2548" s="58">
        <v>5911800</v>
      </c>
    </row>
    <row r="2549" spans="12:18" x14ac:dyDescent="0.25">
      <c r="L2549" s="26">
        <v>43140</v>
      </c>
      <c r="M2549" s="6">
        <v>66.599997999999999</v>
      </c>
      <c r="N2549" s="6">
        <v>67.779999000000004</v>
      </c>
      <c r="O2549" s="6">
        <v>66</v>
      </c>
      <c r="P2549" s="6">
        <v>67.330001999999993</v>
      </c>
      <c r="Q2549" s="6">
        <v>64.499251999999998</v>
      </c>
      <c r="R2549" s="58">
        <v>4226500</v>
      </c>
    </row>
    <row r="2550" spans="12:18" x14ac:dyDescent="0.25">
      <c r="L2550" s="26">
        <v>43143</v>
      </c>
      <c r="M2550" s="6">
        <v>67.650002000000001</v>
      </c>
      <c r="N2550" s="6">
        <v>68.470000999999996</v>
      </c>
      <c r="O2550" s="6">
        <v>66.959998999999996</v>
      </c>
      <c r="P2550" s="6">
        <v>67.069999999999993</v>
      </c>
      <c r="Q2550" s="6">
        <v>64.250183000000007</v>
      </c>
      <c r="R2550" s="58">
        <v>3287700</v>
      </c>
    </row>
    <row r="2551" spans="12:18" x14ac:dyDescent="0.25">
      <c r="L2551" s="26">
        <v>43144</v>
      </c>
      <c r="M2551" s="6">
        <v>66.889999000000003</v>
      </c>
      <c r="N2551" s="6">
        <v>67.800003000000004</v>
      </c>
      <c r="O2551" s="6">
        <v>66.669998000000007</v>
      </c>
      <c r="P2551" s="6">
        <v>67.489998</v>
      </c>
      <c r="Q2551" s="6">
        <v>64.652527000000006</v>
      </c>
      <c r="R2551" s="58">
        <v>3139800</v>
      </c>
    </row>
    <row r="2552" spans="12:18" x14ac:dyDescent="0.25">
      <c r="L2552" s="26">
        <v>43145</v>
      </c>
      <c r="M2552" s="6">
        <v>67.319999999999993</v>
      </c>
      <c r="N2552" s="6">
        <v>68.019997000000004</v>
      </c>
      <c r="O2552" s="6">
        <v>66.720000999999996</v>
      </c>
      <c r="P2552" s="6">
        <v>67.739998</v>
      </c>
      <c r="Q2552" s="6">
        <v>64.892014000000003</v>
      </c>
      <c r="R2552" s="58">
        <v>2367300</v>
      </c>
    </row>
    <row r="2553" spans="12:18" x14ac:dyDescent="0.25">
      <c r="L2553" s="26">
        <v>43146</v>
      </c>
      <c r="M2553" s="6">
        <v>68.099997999999999</v>
      </c>
      <c r="N2553" s="6">
        <v>69.930000000000007</v>
      </c>
      <c r="O2553" s="6">
        <v>67.349997999999999</v>
      </c>
      <c r="P2553" s="6">
        <v>69.819999999999993</v>
      </c>
      <c r="Q2553" s="6">
        <v>66.884567000000004</v>
      </c>
      <c r="R2553" s="58">
        <v>3559700</v>
      </c>
    </row>
    <row r="2554" spans="12:18" x14ac:dyDescent="0.25">
      <c r="L2554" s="26">
        <v>43147</v>
      </c>
      <c r="M2554" s="6">
        <v>69.139999000000003</v>
      </c>
      <c r="N2554" s="6">
        <v>69.889999000000003</v>
      </c>
      <c r="O2554" s="6">
        <v>68.790001000000004</v>
      </c>
      <c r="P2554" s="6">
        <v>69.660004000000001</v>
      </c>
      <c r="Q2554" s="6">
        <v>66.731292999999994</v>
      </c>
      <c r="R2554" s="58">
        <v>2020000</v>
      </c>
    </row>
    <row r="2555" spans="12:18" x14ac:dyDescent="0.25">
      <c r="L2555" s="26">
        <v>43151</v>
      </c>
      <c r="M2555" s="6">
        <v>69.330001999999993</v>
      </c>
      <c r="N2555" s="6">
        <v>70.290001000000004</v>
      </c>
      <c r="O2555" s="6">
        <v>69.330001999999993</v>
      </c>
      <c r="P2555" s="6">
        <v>69.680000000000007</v>
      </c>
      <c r="Q2555" s="6">
        <v>66.750450000000001</v>
      </c>
      <c r="R2555" s="58">
        <v>3399800</v>
      </c>
    </row>
    <row r="2556" spans="12:18" x14ac:dyDescent="0.25">
      <c r="L2556" s="26">
        <v>43152</v>
      </c>
      <c r="M2556" s="6">
        <v>69.510002</v>
      </c>
      <c r="N2556" s="6">
        <v>69.860000999999997</v>
      </c>
      <c r="O2556" s="6">
        <v>68.25</v>
      </c>
      <c r="P2556" s="6">
        <v>68.309997999999993</v>
      </c>
      <c r="Q2556" s="6">
        <v>65.438041999999996</v>
      </c>
      <c r="R2556" s="58">
        <v>2780900</v>
      </c>
    </row>
    <row r="2557" spans="12:18" x14ac:dyDescent="0.25">
      <c r="L2557" s="26">
        <v>43153</v>
      </c>
      <c r="M2557" s="6">
        <v>68.339995999999999</v>
      </c>
      <c r="N2557" s="6">
        <v>69.599997999999999</v>
      </c>
      <c r="O2557" s="6">
        <v>68.160004000000001</v>
      </c>
      <c r="P2557" s="6">
        <v>68.260002</v>
      </c>
      <c r="Q2557" s="6">
        <v>65.390152</v>
      </c>
      <c r="R2557" s="58">
        <v>1825900</v>
      </c>
    </row>
    <row r="2558" spans="12:18" x14ac:dyDescent="0.25">
      <c r="L2558" s="26">
        <v>43154</v>
      </c>
      <c r="M2558" s="6">
        <v>68.129997000000003</v>
      </c>
      <c r="N2558" s="6">
        <v>68.540001000000004</v>
      </c>
      <c r="O2558" s="6">
        <v>66.919998000000007</v>
      </c>
      <c r="P2558" s="6">
        <v>68.540001000000004</v>
      </c>
      <c r="Q2558" s="6">
        <v>65.658378999999996</v>
      </c>
      <c r="R2558" s="58">
        <v>2779100</v>
      </c>
    </row>
    <row r="2559" spans="12:18" x14ac:dyDescent="0.25">
      <c r="L2559" s="26">
        <v>43157</v>
      </c>
      <c r="M2559" s="6">
        <v>68.459998999999996</v>
      </c>
      <c r="N2559" s="6">
        <v>69.160004000000001</v>
      </c>
      <c r="O2559" s="6">
        <v>67.800003000000004</v>
      </c>
      <c r="P2559" s="6">
        <v>68.949996999999996</v>
      </c>
      <c r="Q2559" s="6">
        <v>66.051140000000004</v>
      </c>
      <c r="R2559" s="58">
        <v>1917600</v>
      </c>
    </row>
    <row r="2560" spans="12:18" x14ac:dyDescent="0.25">
      <c r="L2560" s="26">
        <v>43158</v>
      </c>
      <c r="M2560" s="6">
        <v>69</v>
      </c>
      <c r="N2560" s="6">
        <v>69.300003000000004</v>
      </c>
      <c r="O2560" s="6">
        <v>67.110000999999997</v>
      </c>
      <c r="P2560" s="6">
        <v>67.129997000000003</v>
      </c>
      <c r="Q2560" s="6">
        <v>64.307663000000005</v>
      </c>
      <c r="R2560" s="58">
        <v>3125100</v>
      </c>
    </row>
    <row r="2561" spans="12:18" x14ac:dyDescent="0.25">
      <c r="L2561" s="26">
        <v>43159</v>
      </c>
      <c r="M2561" s="6">
        <v>67.239998</v>
      </c>
      <c r="N2561" s="6">
        <v>67.470000999999996</v>
      </c>
      <c r="O2561" s="6">
        <v>66.180000000000007</v>
      </c>
      <c r="P2561" s="6">
        <v>66.199996999999996</v>
      </c>
      <c r="Q2561" s="6">
        <v>63.416755999999999</v>
      </c>
      <c r="R2561" s="58">
        <v>2130000</v>
      </c>
    </row>
    <row r="2562" spans="12:18" x14ac:dyDescent="0.25">
      <c r="L2562" s="26">
        <v>43160</v>
      </c>
      <c r="M2562" s="6">
        <v>66.809997999999993</v>
      </c>
      <c r="N2562" s="6">
        <v>67.839995999999999</v>
      </c>
      <c r="O2562" s="6">
        <v>66.400002000000001</v>
      </c>
      <c r="P2562" s="6">
        <v>66.910004000000001</v>
      </c>
      <c r="Q2562" s="6">
        <v>64.096924000000001</v>
      </c>
      <c r="R2562" s="58">
        <v>2790500</v>
      </c>
    </row>
    <row r="2563" spans="12:18" x14ac:dyDescent="0.25">
      <c r="L2563" s="26">
        <v>43161</v>
      </c>
      <c r="M2563" s="6">
        <v>66.370002999999997</v>
      </c>
      <c r="N2563" s="6">
        <v>67.980002999999996</v>
      </c>
      <c r="O2563" s="6">
        <v>66.370002999999997</v>
      </c>
      <c r="P2563" s="6">
        <v>67.680000000000007</v>
      </c>
      <c r="Q2563" s="6">
        <v>65.362037999999998</v>
      </c>
      <c r="R2563" s="58">
        <v>2293000</v>
      </c>
    </row>
    <row r="2564" spans="12:18" x14ac:dyDescent="0.25">
      <c r="L2564" s="26">
        <v>43164</v>
      </c>
      <c r="M2564" s="6">
        <v>67.430000000000007</v>
      </c>
      <c r="N2564" s="6">
        <v>69.220000999999996</v>
      </c>
      <c r="O2564" s="6">
        <v>67.419998000000007</v>
      </c>
      <c r="P2564" s="6">
        <v>69.199996999999996</v>
      </c>
      <c r="Q2564" s="6">
        <v>66.829971</v>
      </c>
      <c r="R2564" s="58">
        <v>3908600</v>
      </c>
    </row>
    <row r="2565" spans="12:18" x14ac:dyDescent="0.25">
      <c r="L2565" s="26">
        <v>43165</v>
      </c>
      <c r="M2565" s="6">
        <v>69.150002000000001</v>
      </c>
      <c r="N2565" s="6">
        <v>70.010002</v>
      </c>
      <c r="O2565" s="6">
        <v>68.830001999999993</v>
      </c>
      <c r="P2565" s="6">
        <v>69.900002000000001</v>
      </c>
      <c r="Q2565" s="6">
        <v>67.506020000000007</v>
      </c>
      <c r="R2565" s="58">
        <v>3269500</v>
      </c>
    </row>
    <row r="2566" spans="12:18" x14ac:dyDescent="0.25">
      <c r="L2566" s="26">
        <v>43166</v>
      </c>
      <c r="M2566" s="6">
        <v>69.010002</v>
      </c>
      <c r="N2566" s="6">
        <v>69.699996999999996</v>
      </c>
      <c r="O2566" s="6">
        <v>68.620002999999997</v>
      </c>
      <c r="P2566" s="6">
        <v>69.300003000000004</v>
      </c>
      <c r="Q2566" s="6">
        <v>66.926558999999997</v>
      </c>
      <c r="R2566" s="58">
        <v>1906900</v>
      </c>
    </row>
    <row r="2567" spans="12:18" x14ac:dyDescent="0.25">
      <c r="L2567" s="26">
        <v>43167</v>
      </c>
      <c r="M2567" s="6">
        <v>69.5</v>
      </c>
      <c r="N2567" s="6">
        <v>69.730002999999996</v>
      </c>
      <c r="O2567" s="6">
        <v>69.029999000000004</v>
      </c>
      <c r="P2567" s="6">
        <v>69.639999000000003</v>
      </c>
      <c r="Q2567" s="6">
        <v>67.254920999999996</v>
      </c>
      <c r="R2567" s="58">
        <v>1453000</v>
      </c>
    </row>
    <row r="2568" spans="12:18" x14ac:dyDescent="0.25">
      <c r="L2568" s="26">
        <v>43168</v>
      </c>
      <c r="M2568" s="6">
        <v>69.849997999999999</v>
      </c>
      <c r="N2568" s="6">
        <v>70.809997999999993</v>
      </c>
      <c r="O2568" s="6">
        <v>69.300003000000004</v>
      </c>
      <c r="P2568" s="6">
        <v>70.25</v>
      </c>
      <c r="Q2568" s="6">
        <v>67.844031999999999</v>
      </c>
      <c r="R2568" s="58">
        <v>2907800</v>
      </c>
    </row>
    <row r="2569" spans="12:18" x14ac:dyDescent="0.25">
      <c r="L2569" s="26">
        <v>43171</v>
      </c>
      <c r="M2569" s="6">
        <v>70.389999000000003</v>
      </c>
      <c r="N2569" s="6">
        <v>71.080001999999993</v>
      </c>
      <c r="O2569" s="6">
        <v>69.830001999999993</v>
      </c>
      <c r="P2569" s="6">
        <v>69.830001999999993</v>
      </c>
      <c r="Q2569" s="6">
        <v>67.438407999999995</v>
      </c>
      <c r="R2569" s="58">
        <v>2463700</v>
      </c>
    </row>
    <row r="2570" spans="12:18" x14ac:dyDescent="0.25">
      <c r="L2570" s="26">
        <v>43172</v>
      </c>
      <c r="M2570" s="6">
        <v>70.150002000000001</v>
      </c>
      <c r="N2570" s="6">
        <v>70.620002999999997</v>
      </c>
      <c r="O2570" s="6">
        <v>69.459998999999996</v>
      </c>
      <c r="P2570" s="6">
        <v>69.639999000000003</v>
      </c>
      <c r="Q2570" s="6">
        <v>67.254920999999996</v>
      </c>
      <c r="R2570" s="58">
        <v>2737500</v>
      </c>
    </row>
    <row r="2571" spans="12:18" x14ac:dyDescent="0.25">
      <c r="L2571" s="26">
        <v>43173</v>
      </c>
      <c r="M2571" s="6">
        <v>69.910004000000001</v>
      </c>
      <c r="N2571" s="6">
        <v>70.660004000000001</v>
      </c>
      <c r="O2571" s="6">
        <v>68.889999000000003</v>
      </c>
      <c r="P2571" s="6">
        <v>69</v>
      </c>
      <c r="Q2571" s="6">
        <v>66.636832999999996</v>
      </c>
      <c r="R2571" s="58">
        <v>2557300</v>
      </c>
    </row>
    <row r="2572" spans="12:18" x14ac:dyDescent="0.25">
      <c r="L2572" s="26">
        <v>43174</v>
      </c>
      <c r="M2572" s="6">
        <v>69.010002</v>
      </c>
      <c r="N2572" s="6">
        <v>69.360000999999997</v>
      </c>
      <c r="O2572" s="6">
        <v>66.480002999999996</v>
      </c>
      <c r="P2572" s="6">
        <v>66.989998</v>
      </c>
      <c r="Q2572" s="6">
        <v>64.695671000000004</v>
      </c>
      <c r="R2572" s="58">
        <v>3556000</v>
      </c>
    </row>
    <row r="2573" spans="12:18" x14ac:dyDescent="0.25">
      <c r="L2573" s="26">
        <v>43175</v>
      </c>
      <c r="M2573" s="6">
        <v>67.190002000000007</v>
      </c>
      <c r="N2573" s="6">
        <v>67.720000999999996</v>
      </c>
      <c r="O2573" s="6">
        <v>65.879997000000003</v>
      </c>
      <c r="P2573" s="6">
        <v>66.440002000000007</v>
      </c>
      <c r="Q2573" s="6">
        <v>64.164519999999996</v>
      </c>
      <c r="R2573" s="58">
        <v>8421200</v>
      </c>
    </row>
    <row r="2574" spans="12:18" x14ac:dyDescent="0.25">
      <c r="L2574" s="26">
        <v>43178</v>
      </c>
      <c r="M2574" s="6">
        <v>66.370002999999997</v>
      </c>
      <c r="N2574" s="6">
        <v>67.290001000000004</v>
      </c>
      <c r="O2574" s="6">
        <v>66.150002000000001</v>
      </c>
      <c r="P2574" s="6">
        <v>66.430000000000007</v>
      </c>
      <c r="Q2574" s="6">
        <v>64.154854</v>
      </c>
      <c r="R2574" s="58">
        <v>3552700</v>
      </c>
    </row>
    <row r="2575" spans="12:18" x14ac:dyDescent="0.25">
      <c r="L2575" s="26">
        <v>43179</v>
      </c>
      <c r="M2575" s="6">
        <v>66.629997000000003</v>
      </c>
      <c r="N2575" s="6">
        <v>67.139999000000003</v>
      </c>
      <c r="O2575" s="6">
        <v>65.870002999999997</v>
      </c>
      <c r="P2575" s="6">
        <v>66.319999999999993</v>
      </c>
      <c r="Q2575" s="6">
        <v>64.048621999999995</v>
      </c>
      <c r="R2575" s="58">
        <v>4128600</v>
      </c>
    </row>
    <row r="2576" spans="12:18" x14ac:dyDescent="0.25">
      <c r="L2576" s="26">
        <v>43180</v>
      </c>
      <c r="M2576" s="6">
        <v>63.98</v>
      </c>
      <c r="N2576" s="6">
        <v>64.309997999999993</v>
      </c>
      <c r="O2576" s="6">
        <v>63.029998999999997</v>
      </c>
      <c r="P2576" s="6">
        <v>63.68</v>
      </c>
      <c r="Q2576" s="6">
        <v>61.499039000000003</v>
      </c>
      <c r="R2576" s="58">
        <v>5261300</v>
      </c>
    </row>
    <row r="2577" spans="12:18" x14ac:dyDescent="0.25">
      <c r="L2577" s="26">
        <v>43181</v>
      </c>
      <c r="M2577" s="6">
        <v>63.610000999999997</v>
      </c>
      <c r="N2577" s="6">
        <v>64.480002999999996</v>
      </c>
      <c r="O2577" s="6">
        <v>63.349997999999999</v>
      </c>
      <c r="P2577" s="6">
        <v>63.369999</v>
      </c>
      <c r="Q2577" s="6">
        <v>61.199654000000002</v>
      </c>
      <c r="R2577" s="58">
        <v>2918900</v>
      </c>
    </row>
    <row r="2578" spans="12:18" x14ac:dyDescent="0.25">
      <c r="L2578" s="26">
        <v>43182</v>
      </c>
      <c r="M2578" s="6">
        <v>63.650002000000001</v>
      </c>
      <c r="N2578" s="6">
        <v>64.349997999999999</v>
      </c>
      <c r="O2578" s="6">
        <v>62.950001</v>
      </c>
      <c r="P2578" s="6">
        <v>62.950001</v>
      </c>
      <c r="Q2578" s="6">
        <v>60.794041</v>
      </c>
      <c r="R2578" s="58">
        <v>2203000</v>
      </c>
    </row>
    <row r="2579" spans="12:18" x14ac:dyDescent="0.25">
      <c r="L2579" s="26">
        <v>43185</v>
      </c>
      <c r="M2579" s="6">
        <v>63.75</v>
      </c>
      <c r="N2579" s="6">
        <v>64.239998</v>
      </c>
      <c r="O2579" s="6">
        <v>63.279998999999997</v>
      </c>
      <c r="P2579" s="6">
        <v>64.129997000000003</v>
      </c>
      <c r="Q2579" s="6">
        <v>61.933624000000002</v>
      </c>
      <c r="R2579" s="58">
        <v>1723800</v>
      </c>
    </row>
    <row r="2580" spans="12:18" x14ac:dyDescent="0.25">
      <c r="L2580" s="26">
        <v>43186</v>
      </c>
      <c r="M2580" s="6">
        <v>64.400002000000001</v>
      </c>
      <c r="N2580" s="6">
        <v>65.029999000000004</v>
      </c>
      <c r="O2580" s="6">
        <v>64.160004000000001</v>
      </c>
      <c r="P2580" s="6">
        <v>64.379997000000003</v>
      </c>
      <c r="Q2580" s="6">
        <v>62.175063999999999</v>
      </c>
      <c r="R2580" s="58">
        <v>1966700</v>
      </c>
    </row>
    <row r="2581" spans="12:18" x14ac:dyDescent="0.25">
      <c r="L2581" s="26">
        <v>43187</v>
      </c>
      <c r="M2581" s="6">
        <v>64.519997000000004</v>
      </c>
      <c r="N2581" s="6">
        <v>65.019997000000004</v>
      </c>
      <c r="O2581" s="6">
        <v>63.77</v>
      </c>
      <c r="P2581" s="6">
        <v>63.900002000000001</v>
      </c>
      <c r="Q2581" s="6">
        <v>61.711506</v>
      </c>
      <c r="R2581" s="58">
        <v>3488600</v>
      </c>
    </row>
    <row r="2582" spans="12:18" x14ac:dyDescent="0.25">
      <c r="L2582" s="26">
        <v>43188</v>
      </c>
      <c r="M2582" s="6">
        <v>64.180000000000007</v>
      </c>
      <c r="N2582" s="6">
        <v>65.239998</v>
      </c>
      <c r="O2582" s="6">
        <v>64.180000000000007</v>
      </c>
      <c r="P2582" s="6">
        <v>65.010002</v>
      </c>
      <c r="Q2582" s="6">
        <v>62.783489000000003</v>
      </c>
      <c r="R2582" s="58">
        <v>1946600</v>
      </c>
    </row>
    <row r="2583" spans="12:18" x14ac:dyDescent="0.25">
      <c r="L2583" s="26">
        <v>43192</v>
      </c>
      <c r="M2583" s="6">
        <v>64.970000999999996</v>
      </c>
      <c r="N2583" s="6">
        <v>64.989998</v>
      </c>
      <c r="O2583" s="6">
        <v>62.880001</v>
      </c>
      <c r="P2583" s="6">
        <v>63.119999</v>
      </c>
      <c r="Q2583" s="6">
        <v>60.958221000000002</v>
      </c>
      <c r="R2583" s="58">
        <v>1545400</v>
      </c>
    </row>
    <row r="2584" spans="12:18" x14ac:dyDescent="0.25">
      <c r="L2584" s="26">
        <v>43193</v>
      </c>
      <c r="M2584" s="6">
        <v>63.439999</v>
      </c>
      <c r="N2584" s="6">
        <v>63.540000999999997</v>
      </c>
      <c r="O2584" s="6">
        <v>62.529998999999997</v>
      </c>
      <c r="P2584" s="6">
        <v>63.369999</v>
      </c>
      <c r="Q2584" s="6">
        <v>61.199654000000002</v>
      </c>
      <c r="R2584" s="58">
        <v>1878800</v>
      </c>
    </row>
    <row r="2585" spans="12:18" x14ac:dyDescent="0.25">
      <c r="L2585" s="26">
        <v>43194</v>
      </c>
      <c r="M2585" s="6">
        <v>63</v>
      </c>
      <c r="N2585" s="6">
        <v>65.529999000000004</v>
      </c>
      <c r="O2585" s="6">
        <v>62.990001999999997</v>
      </c>
      <c r="P2585" s="6">
        <v>64.930000000000007</v>
      </c>
      <c r="Q2585" s="6">
        <v>62.706234000000002</v>
      </c>
      <c r="R2585" s="58">
        <v>2357500</v>
      </c>
    </row>
    <row r="2586" spans="12:18" x14ac:dyDescent="0.25">
      <c r="L2586" s="26">
        <v>43195</v>
      </c>
      <c r="M2586" s="6">
        <v>65.160004000000001</v>
      </c>
      <c r="N2586" s="6">
        <v>65.379997000000003</v>
      </c>
      <c r="O2586" s="6">
        <v>64.370002999999997</v>
      </c>
      <c r="P2586" s="6">
        <v>64.559997999999993</v>
      </c>
      <c r="Q2586" s="6">
        <v>62.348903999999997</v>
      </c>
      <c r="R2586" s="58">
        <v>1294100</v>
      </c>
    </row>
    <row r="2587" spans="12:18" x14ac:dyDescent="0.25">
      <c r="L2587" s="26">
        <v>43196</v>
      </c>
      <c r="M2587" s="6">
        <v>64.5</v>
      </c>
      <c r="N2587" s="6">
        <v>65.440002000000007</v>
      </c>
      <c r="O2587" s="6">
        <v>63.77</v>
      </c>
      <c r="P2587" s="6">
        <v>64.239998</v>
      </c>
      <c r="Q2587" s="6">
        <v>62.039856</v>
      </c>
      <c r="R2587" s="58">
        <v>1653400</v>
      </c>
    </row>
    <row r="2588" spans="12:18" x14ac:dyDescent="0.25">
      <c r="L2588" s="26">
        <v>43199</v>
      </c>
      <c r="M2588" s="6">
        <v>64.510002</v>
      </c>
      <c r="N2588" s="6">
        <v>65.25</v>
      </c>
      <c r="O2588" s="6">
        <v>63.950001</v>
      </c>
      <c r="P2588" s="6">
        <v>64.480002999999996</v>
      </c>
      <c r="Q2588" s="6">
        <v>62.271641000000002</v>
      </c>
      <c r="R2588" s="58">
        <v>1532100</v>
      </c>
    </row>
    <row r="2589" spans="12:18" x14ac:dyDescent="0.25">
      <c r="L2589" s="26">
        <v>43200</v>
      </c>
      <c r="M2589" s="6">
        <v>64.610000999999997</v>
      </c>
      <c r="N2589" s="6">
        <v>65.019997000000004</v>
      </c>
      <c r="O2589" s="6">
        <v>63.470001000000003</v>
      </c>
      <c r="P2589" s="6">
        <v>63.619999</v>
      </c>
      <c r="Q2589" s="6">
        <v>61.441093000000002</v>
      </c>
      <c r="R2589" s="58">
        <v>3100700</v>
      </c>
    </row>
    <row r="2590" spans="12:18" x14ac:dyDescent="0.25">
      <c r="L2590" s="26">
        <v>43201</v>
      </c>
      <c r="M2590" s="6">
        <v>63.52</v>
      </c>
      <c r="N2590" s="6">
        <v>63.799999</v>
      </c>
      <c r="O2590" s="6">
        <v>63.139999000000003</v>
      </c>
      <c r="P2590" s="6">
        <v>63.349997999999999</v>
      </c>
      <c r="Q2590" s="6">
        <v>61.180340000000001</v>
      </c>
      <c r="R2590" s="58">
        <v>1701800</v>
      </c>
    </row>
    <row r="2591" spans="12:18" x14ac:dyDescent="0.25">
      <c r="L2591" s="26">
        <v>43202</v>
      </c>
      <c r="M2591" s="6">
        <v>63.400002000000001</v>
      </c>
      <c r="N2591" s="6">
        <v>63.549999</v>
      </c>
      <c r="O2591" s="6">
        <v>62.540000999999997</v>
      </c>
      <c r="P2591" s="6">
        <v>62.610000999999997</v>
      </c>
      <c r="Q2591" s="6">
        <v>60.465687000000003</v>
      </c>
      <c r="R2591" s="58">
        <v>1796300</v>
      </c>
    </row>
    <row r="2592" spans="12:18" x14ac:dyDescent="0.25">
      <c r="L2592" s="26">
        <v>43203</v>
      </c>
      <c r="M2592" s="6">
        <v>62.689999</v>
      </c>
      <c r="N2592" s="6">
        <v>63.130001</v>
      </c>
      <c r="O2592" s="6">
        <v>62.41</v>
      </c>
      <c r="P2592" s="6">
        <v>63.060001</v>
      </c>
      <c r="Q2592" s="6">
        <v>60.900275999999998</v>
      </c>
      <c r="R2592" s="58">
        <v>2187300</v>
      </c>
    </row>
    <row r="2593" spans="12:18" x14ac:dyDescent="0.25">
      <c r="L2593" s="26">
        <v>43206</v>
      </c>
      <c r="M2593" s="6">
        <v>62.950001</v>
      </c>
      <c r="N2593" s="6">
        <v>63.880001</v>
      </c>
      <c r="O2593" s="6">
        <v>62.43</v>
      </c>
      <c r="P2593" s="6">
        <v>63.830002</v>
      </c>
      <c r="Q2593" s="6">
        <v>61.643901999999997</v>
      </c>
      <c r="R2593" s="58">
        <v>2404300</v>
      </c>
    </row>
    <row r="2594" spans="12:18" x14ac:dyDescent="0.25">
      <c r="L2594" s="26">
        <v>43207</v>
      </c>
      <c r="M2594" s="6">
        <v>64.190002000000007</v>
      </c>
      <c r="N2594" s="6">
        <v>64.349997999999999</v>
      </c>
      <c r="O2594" s="6">
        <v>63.459999000000003</v>
      </c>
      <c r="P2594" s="6">
        <v>63.790000999999997</v>
      </c>
      <c r="Q2594" s="6">
        <v>61.605274000000001</v>
      </c>
      <c r="R2594" s="58">
        <v>1918700</v>
      </c>
    </row>
    <row r="2595" spans="12:18" x14ac:dyDescent="0.25">
      <c r="L2595" s="26">
        <v>43208</v>
      </c>
      <c r="M2595" s="6">
        <v>63.66</v>
      </c>
      <c r="N2595" s="6">
        <v>63.82</v>
      </c>
      <c r="O2595" s="6">
        <v>63.25</v>
      </c>
      <c r="P2595" s="6">
        <v>63.41</v>
      </c>
      <c r="Q2595" s="6">
        <v>61.238289000000002</v>
      </c>
      <c r="R2595" s="58">
        <v>2528900</v>
      </c>
    </row>
    <row r="2596" spans="12:18" x14ac:dyDescent="0.25">
      <c r="L2596" s="26">
        <v>43209</v>
      </c>
      <c r="M2596" s="6">
        <v>63.16</v>
      </c>
      <c r="N2596" s="6">
        <v>63.279998999999997</v>
      </c>
      <c r="O2596" s="6">
        <v>61.919998</v>
      </c>
      <c r="P2596" s="6">
        <v>62.200001</v>
      </c>
      <c r="Q2596" s="6">
        <v>60.069729000000002</v>
      </c>
      <c r="R2596" s="58">
        <v>1943900</v>
      </c>
    </row>
    <row r="2597" spans="12:18" x14ac:dyDescent="0.25">
      <c r="L2597" s="26">
        <v>43210</v>
      </c>
      <c r="M2597" s="6">
        <v>62.150002000000001</v>
      </c>
      <c r="N2597" s="6">
        <v>62.610000999999997</v>
      </c>
      <c r="O2597" s="6">
        <v>59.799999</v>
      </c>
      <c r="P2597" s="6">
        <v>60.27</v>
      </c>
      <c r="Q2597" s="6">
        <v>58.205826000000002</v>
      </c>
      <c r="R2597" s="58">
        <v>4461000</v>
      </c>
    </row>
    <row r="2598" spans="12:18" x14ac:dyDescent="0.25">
      <c r="L2598" s="26">
        <v>43213</v>
      </c>
      <c r="M2598" s="6">
        <v>60.380001</v>
      </c>
      <c r="N2598" s="6">
        <v>60.689999</v>
      </c>
      <c r="O2598" s="6">
        <v>59.990001999999997</v>
      </c>
      <c r="P2598" s="6">
        <v>60.52</v>
      </c>
      <c r="Q2598" s="6">
        <v>58.447268999999999</v>
      </c>
      <c r="R2598" s="58">
        <v>1516100</v>
      </c>
    </row>
    <row r="2599" spans="12:18" x14ac:dyDescent="0.25">
      <c r="L2599" s="26">
        <v>43214</v>
      </c>
      <c r="M2599" s="6">
        <v>60.720001000000003</v>
      </c>
      <c r="N2599" s="6">
        <v>60.900002000000001</v>
      </c>
      <c r="O2599" s="6">
        <v>59.919998</v>
      </c>
      <c r="P2599" s="6">
        <v>60.459999000000003</v>
      </c>
      <c r="Q2599" s="6">
        <v>58.389319999999998</v>
      </c>
      <c r="R2599" s="58">
        <v>1895000</v>
      </c>
    </row>
    <row r="2600" spans="12:18" x14ac:dyDescent="0.25">
      <c r="L2600" s="26">
        <v>43215</v>
      </c>
      <c r="M2600" s="6">
        <v>60.349997999999999</v>
      </c>
      <c r="N2600" s="6">
        <v>61.43</v>
      </c>
      <c r="O2600" s="6">
        <v>60.290000999999997</v>
      </c>
      <c r="P2600" s="6">
        <v>60.950001</v>
      </c>
      <c r="Q2600" s="6">
        <v>58.862541</v>
      </c>
      <c r="R2600" s="58">
        <v>2223800</v>
      </c>
    </row>
    <row r="2601" spans="12:18" x14ac:dyDescent="0.25">
      <c r="L2601" s="26">
        <v>43216</v>
      </c>
      <c r="M2601" s="6">
        <v>60.939999</v>
      </c>
      <c r="N2601" s="6">
        <v>61.02</v>
      </c>
      <c r="O2601" s="6">
        <v>58.709999000000003</v>
      </c>
      <c r="P2601" s="6">
        <v>60.099997999999999</v>
      </c>
      <c r="Q2601" s="6">
        <v>58.041652999999997</v>
      </c>
      <c r="R2601" s="58">
        <v>4916300</v>
      </c>
    </row>
    <row r="2602" spans="12:18" x14ac:dyDescent="0.25">
      <c r="L2602" s="26">
        <v>43217</v>
      </c>
      <c r="M2602" s="6">
        <v>60.189999</v>
      </c>
      <c r="N2602" s="6">
        <v>60.740001999999997</v>
      </c>
      <c r="O2602" s="6">
        <v>60.119999</v>
      </c>
      <c r="P2602" s="6">
        <v>60.240001999999997</v>
      </c>
      <c r="Q2602" s="6">
        <v>58.176856999999998</v>
      </c>
      <c r="R2602" s="58">
        <v>3094200</v>
      </c>
    </row>
    <row r="2603" spans="12:18" x14ac:dyDescent="0.25">
      <c r="L2603" s="26">
        <v>43220</v>
      </c>
      <c r="M2603" s="6">
        <v>60.259998000000003</v>
      </c>
      <c r="N2603" s="6">
        <v>60.48</v>
      </c>
      <c r="O2603" s="6">
        <v>58.849997999999999</v>
      </c>
      <c r="P2603" s="6">
        <v>58.900002000000001</v>
      </c>
      <c r="Q2603" s="6">
        <v>56.882750999999999</v>
      </c>
      <c r="R2603" s="58">
        <v>3671400</v>
      </c>
    </row>
    <row r="2604" spans="12:18" x14ac:dyDescent="0.25">
      <c r="L2604" s="26">
        <v>43221</v>
      </c>
      <c r="M2604" s="6">
        <v>58.810001</v>
      </c>
      <c r="N2604" s="6">
        <v>59.080002</v>
      </c>
      <c r="O2604" s="6">
        <v>58.209999000000003</v>
      </c>
      <c r="P2604" s="6">
        <v>58.75</v>
      </c>
      <c r="Q2604" s="6">
        <v>56.737884999999999</v>
      </c>
      <c r="R2604" s="58">
        <v>3087700</v>
      </c>
    </row>
    <row r="2605" spans="12:18" x14ac:dyDescent="0.25">
      <c r="L2605" s="26">
        <v>43222</v>
      </c>
      <c r="M2605" s="6">
        <v>58.57</v>
      </c>
      <c r="N2605" s="6">
        <v>58.580002</v>
      </c>
      <c r="O2605" s="6">
        <v>56.400002000000001</v>
      </c>
      <c r="P2605" s="6">
        <v>56.650002000000001</v>
      </c>
      <c r="Q2605" s="6">
        <v>54.709808000000002</v>
      </c>
      <c r="R2605" s="58">
        <v>4451200</v>
      </c>
    </row>
    <row r="2606" spans="12:18" x14ac:dyDescent="0.25">
      <c r="L2606" s="26">
        <v>43223</v>
      </c>
      <c r="M2606" s="6">
        <v>58.5</v>
      </c>
      <c r="N2606" s="6">
        <v>58.869999</v>
      </c>
      <c r="O2606" s="6">
        <v>57.360000999999997</v>
      </c>
      <c r="P2606" s="6">
        <v>58.150002000000001</v>
      </c>
      <c r="Q2606" s="6">
        <v>56.158436000000002</v>
      </c>
      <c r="R2606" s="58">
        <v>7239900</v>
      </c>
    </row>
    <row r="2607" spans="12:18" x14ac:dyDescent="0.25">
      <c r="L2607" s="26">
        <v>43224</v>
      </c>
      <c r="M2607" s="6">
        <v>58.310001</v>
      </c>
      <c r="N2607" s="6">
        <v>60.650002000000001</v>
      </c>
      <c r="O2607" s="6">
        <v>58.25</v>
      </c>
      <c r="P2607" s="6">
        <v>59.799999</v>
      </c>
      <c r="Q2607" s="6">
        <v>57.751919000000001</v>
      </c>
      <c r="R2607" s="58">
        <v>5641500</v>
      </c>
    </row>
    <row r="2608" spans="12:18" x14ac:dyDescent="0.25">
      <c r="L2608" s="26">
        <v>43227</v>
      </c>
      <c r="M2608" s="6">
        <v>59.779998999999997</v>
      </c>
      <c r="N2608" s="6">
        <v>60.619999</v>
      </c>
      <c r="O2608" s="6">
        <v>59.779998999999997</v>
      </c>
      <c r="P2608" s="6">
        <v>60.490001999999997</v>
      </c>
      <c r="Q2608" s="6">
        <v>58.418297000000003</v>
      </c>
      <c r="R2608" s="58">
        <v>3409200</v>
      </c>
    </row>
    <row r="2609" spans="12:18" x14ac:dyDescent="0.25">
      <c r="L2609" s="26">
        <v>43228</v>
      </c>
      <c r="M2609" s="6">
        <v>60.34</v>
      </c>
      <c r="N2609" s="6">
        <v>60.630001</v>
      </c>
      <c r="O2609" s="6">
        <v>59.990001999999997</v>
      </c>
      <c r="P2609" s="6">
        <v>60.299999</v>
      </c>
      <c r="Q2609" s="6">
        <v>58.234797999999998</v>
      </c>
      <c r="R2609" s="58">
        <v>2197700</v>
      </c>
    </row>
    <row r="2610" spans="12:18" x14ac:dyDescent="0.25">
      <c r="L2610" s="26">
        <v>43229</v>
      </c>
      <c r="M2610" s="6">
        <v>60.490001999999997</v>
      </c>
      <c r="N2610" s="6">
        <v>61.169998</v>
      </c>
      <c r="O2610" s="6">
        <v>60.040000999999997</v>
      </c>
      <c r="P2610" s="6">
        <v>60.330002</v>
      </c>
      <c r="Q2610" s="6">
        <v>58.263775000000003</v>
      </c>
      <c r="R2610" s="58">
        <v>2165700</v>
      </c>
    </row>
    <row r="2611" spans="12:18" x14ac:dyDescent="0.25">
      <c r="L2611" s="26">
        <v>43230</v>
      </c>
      <c r="M2611" s="6">
        <v>60.610000999999997</v>
      </c>
      <c r="N2611" s="6">
        <v>61.189999</v>
      </c>
      <c r="O2611" s="6">
        <v>60.470001000000003</v>
      </c>
      <c r="P2611" s="6">
        <v>61.040000999999997</v>
      </c>
      <c r="Q2611" s="6">
        <v>58.949455</v>
      </c>
      <c r="R2611" s="58">
        <v>2227100</v>
      </c>
    </row>
    <row r="2612" spans="12:18" x14ac:dyDescent="0.25">
      <c r="L2612" s="26">
        <v>43231</v>
      </c>
      <c r="M2612" s="6">
        <v>61.150002000000001</v>
      </c>
      <c r="N2612" s="6">
        <v>61.700001</v>
      </c>
      <c r="O2612" s="6">
        <v>60.900002000000001</v>
      </c>
      <c r="P2612" s="6">
        <v>61.389999000000003</v>
      </c>
      <c r="Q2612" s="6">
        <v>59.287467999999997</v>
      </c>
      <c r="R2612" s="58">
        <v>2198900</v>
      </c>
    </row>
    <row r="2613" spans="12:18" x14ac:dyDescent="0.25">
      <c r="L2613" s="26">
        <v>43234</v>
      </c>
      <c r="M2613" s="6">
        <v>61.48</v>
      </c>
      <c r="N2613" s="6">
        <v>61.720001000000003</v>
      </c>
      <c r="O2613" s="6">
        <v>61.080002</v>
      </c>
      <c r="P2613" s="6">
        <v>61.650002000000001</v>
      </c>
      <c r="Q2613" s="6">
        <v>59.538567</v>
      </c>
      <c r="R2613" s="58">
        <v>3275100</v>
      </c>
    </row>
    <row r="2614" spans="12:18" x14ac:dyDescent="0.25">
      <c r="L2614" s="26">
        <v>43235</v>
      </c>
      <c r="M2614" s="6">
        <v>61.490001999999997</v>
      </c>
      <c r="N2614" s="6">
        <v>61.880001</v>
      </c>
      <c r="O2614" s="6">
        <v>60.759998000000003</v>
      </c>
      <c r="P2614" s="6">
        <v>61.25</v>
      </c>
      <c r="Q2614" s="6">
        <v>59.152264000000002</v>
      </c>
      <c r="R2614" s="58">
        <v>2774800</v>
      </c>
    </row>
    <row r="2615" spans="12:18" x14ac:dyDescent="0.25">
      <c r="L2615" s="26">
        <v>43236</v>
      </c>
      <c r="M2615" s="6">
        <v>61.380001</v>
      </c>
      <c r="N2615" s="6">
        <v>61.68</v>
      </c>
      <c r="O2615" s="6">
        <v>61.099997999999999</v>
      </c>
      <c r="P2615" s="6">
        <v>61.490001999999997</v>
      </c>
      <c r="Q2615" s="6">
        <v>59.384048</v>
      </c>
      <c r="R2615" s="58">
        <v>2154600</v>
      </c>
    </row>
    <row r="2616" spans="12:18" x14ac:dyDescent="0.25">
      <c r="L2616" s="26">
        <v>43237</v>
      </c>
      <c r="M2616" s="6">
        <v>61.610000999999997</v>
      </c>
      <c r="N2616" s="6">
        <v>61.68</v>
      </c>
      <c r="O2616" s="6">
        <v>60.950001</v>
      </c>
      <c r="P2616" s="6">
        <v>61.18</v>
      </c>
      <c r="Q2616" s="6">
        <v>59.08466</v>
      </c>
      <c r="R2616" s="58">
        <v>1792900</v>
      </c>
    </row>
    <row r="2617" spans="12:18" x14ac:dyDescent="0.25">
      <c r="L2617" s="26">
        <v>43238</v>
      </c>
      <c r="M2617" s="6">
        <v>60.599997999999999</v>
      </c>
      <c r="N2617" s="6">
        <v>60.68</v>
      </c>
      <c r="O2617" s="6">
        <v>59.290000999999997</v>
      </c>
      <c r="P2617" s="6">
        <v>60.189999</v>
      </c>
      <c r="Q2617" s="6">
        <v>58.128563</v>
      </c>
      <c r="R2617" s="58">
        <v>3741700</v>
      </c>
    </row>
    <row r="2618" spans="12:18" x14ac:dyDescent="0.25">
      <c r="L2618" s="26">
        <v>43241</v>
      </c>
      <c r="M2618" s="6">
        <v>60.48</v>
      </c>
      <c r="N2618" s="6">
        <v>61.369999</v>
      </c>
      <c r="O2618" s="6">
        <v>60.119999</v>
      </c>
      <c r="P2618" s="6">
        <v>60.77</v>
      </c>
      <c r="Q2618" s="6">
        <v>58.688704999999999</v>
      </c>
      <c r="R2618" s="58">
        <v>2504300</v>
      </c>
    </row>
    <row r="2619" spans="12:18" x14ac:dyDescent="0.25">
      <c r="L2619" s="26">
        <v>43242</v>
      </c>
      <c r="M2619" s="6">
        <v>60.98</v>
      </c>
      <c r="N2619" s="6">
        <v>62.130001</v>
      </c>
      <c r="O2619" s="6">
        <v>60.779998999999997</v>
      </c>
      <c r="P2619" s="6">
        <v>61.52</v>
      </c>
      <c r="Q2619" s="6">
        <v>59.413021000000001</v>
      </c>
      <c r="R2619" s="58">
        <v>2603500</v>
      </c>
    </row>
    <row r="2620" spans="12:18" x14ac:dyDescent="0.25">
      <c r="L2620" s="26">
        <v>43243</v>
      </c>
      <c r="M2620" s="6">
        <v>61.830002</v>
      </c>
      <c r="N2620" s="6">
        <v>62.32</v>
      </c>
      <c r="O2620" s="6">
        <v>61.540000999999997</v>
      </c>
      <c r="P2620" s="6">
        <v>62.23</v>
      </c>
      <c r="Q2620" s="6">
        <v>60.098697999999999</v>
      </c>
      <c r="R2620" s="58">
        <v>1982700</v>
      </c>
    </row>
    <row r="2621" spans="12:18" x14ac:dyDescent="0.25">
      <c r="L2621" s="26">
        <v>43244</v>
      </c>
      <c r="M2621" s="6">
        <v>62.290000999999997</v>
      </c>
      <c r="N2621" s="6">
        <v>63.580002</v>
      </c>
      <c r="O2621" s="6">
        <v>62.220001000000003</v>
      </c>
      <c r="P2621" s="6">
        <v>63.509998000000003</v>
      </c>
      <c r="Q2621" s="6">
        <v>61.334865999999998</v>
      </c>
      <c r="R2621" s="58">
        <v>3923100</v>
      </c>
    </row>
    <row r="2622" spans="12:18" x14ac:dyDescent="0.25">
      <c r="L2622" s="26">
        <v>43245</v>
      </c>
      <c r="M2622" s="6">
        <v>63.599997999999999</v>
      </c>
      <c r="N2622" s="6">
        <v>65.569999999999993</v>
      </c>
      <c r="O2622" s="6">
        <v>63.400002000000001</v>
      </c>
      <c r="P2622" s="6">
        <v>65.230002999999996</v>
      </c>
      <c r="Q2622" s="6">
        <v>62.995956</v>
      </c>
      <c r="R2622" s="58">
        <v>4611800</v>
      </c>
    </row>
    <row r="2623" spans="12:18" x14ac:dyDescent="0.25">
      <c r="L2623" s="26">
        <v>43249</v>
      </c>
      <c r="M2623" s="6">
        <v>64.760002</v>
      </c>
      <c r="N2623" s="6">
        <v>65.419998000000007</v>
      </c>
      <c r="O2623" s="6">
        <v>64.129997000000003</v>
      </c>
      <c r="P2623" s="6">
        <v>64.580001999999993</v>
      </c>
      <c r="Q2623" s="6">
        <v>62.368217000000001</v>
      </c>
      <c r="R2623" s="58">
        <v>3727700</v>
      </c>
    </row>
    <row r="2624" spans="12:18" x14ac:dyDescent="0.25">
      <c r="L2624" s="26">
        <v>43250</v>
      </c>
      <c r="M2624" s="6">
        <v>64.760002</v>
      </c>
      <c r="N2624" s="6">
        <v>66.269997000000004</v>
      </c>
      <c r="O2624" s="6">
        <v>64.440002000000007</v>
      </c>
      <c r="P2624" s="6">
        <v>65.970000999999996</v>
      </c>
      <c r="Q2624" s="6">
        <v>63.710616999999999</v>
      </c>
      <c r="R2624" s="58">
        <v>3085800</v>
      </c>
    </row>
    <row r="2625" spans="12:18" x14ac:dyDescent="0.25">
      <c r="L2625" s="26">
        <v>43251</v>
      </c>
      <c r="M2625" s="6">
        <v>65.599997999999999</v>
      </c>
      <c r="N2625" s="6">
        <v>65.599997999999999</v>
      </c>
      <c r="O2625" s="6">
        <v>63.709999000000003</v>
      </c>
      <c r="P2625" s="6">
        <v>64.389999000000003</v>
      </c>
      <c r="Q2625" s="6">
        <v>62.697941</v>
      </c>
      <c r="R2625" s="58">
        <v>2934600</v>
      </c>
    </row>
    <row r="2626" spans="12:18" x14ac:dyDescent="0.25">
      <c r="L2626" s="26">
        <v>43252</v>
      </c>
      <c r="M2626" s="6">
        <v>64.5</v>
      </c>
      <c r="N2626" s="6">
        <v>64.599997999999999</v>
      </c>
      <c r="O2626" s="6">
        <v>63.59</v>
      </c>
      <c r="P2626" s="6">
        <v>63.830002</v>
      </c>
      <c r="Q2626" s="6">
        <v>62.152656999999998</v>
      </c>
      <c r="R2626" s="58">
        <v>2395900</v>
      </c>
    </row>
    <row r="2627" spans="12:18" x14ac:dyDescent="0.25">
      <c r="L2627" s="26">
        <v>43255</v>
      </c>
      <c r="M2627" s="6">
        <v>64.120002999999997</v>
      </c>
      <c r="N2627" s="6">
        <v>64.930000000000007</v>
      </c>
      <c r="O2627" s="6">
        <v>64.019997000000004</v>
      </c>
      <c r="P2627" s="6">
        <v>64.620002999999997</v>
      </c>
      <c r="Q2627" s="6">
        <v>62.921902000000003</v>
      </c>
      <c r="R2627" s="58">
        <v>2131900</v>
      </c>
    </row>
    <row r="2628" spans="12:18" x14ac:dyDescent="0.25">
      <c r="L2628" s="26">
        <v>43256</v>
      </c>
      <c r="M2628" s="6">
        <v>64.699996999999996</v>
      </c>
      <c r="N2628" s="6">
        <v>64.879997000000003</v>
      </c>
      <c r="O2628" s="6">
        <v>62.98</v>
      </c>
      <c r="P2628" s="6">
        <v>63.27</v>
      </c>
      <c r="Q2628" s="6">
        <v>61.607371999999998</v>
      </c>
      <c r="R2628" s="58">
        <v>3241800</v>
      </c>
    </row>
    <row r="2629" spans="12:18" x14ac:dyDescent="0.25">
      <c r="L2629" s="26">
        <v>43257</v>
      </c>
      <c r="M2629" s="6">
        <v>63.27</v>
      </c>
      <c r="N2629" s="6">
        <v>63.27</v>
      </c>
      <c r="O2629" s="6">
        <v>62.18</v>
      </c>
      <c r="P2629" s="6">
        <v>62.91</v>
      </c>
      <c r="Q2629" s="6">
        <v>61.256832000000003</v>
      </c>
      <c r="R2629" s="58">
        <v>6795800</v>
      </c>
    </row>
    <row r="2630" spans="12:18" x14ac:dyDescent="0.25">
      <c r="L2630" s="26">
        <v>43258</v>
      </c>
      <c r="M2630" s="6">
        <v>61.650002000000001</v>
      </c>
      <c r="N2630" s="6">
        <v>63.200001</v>
      </c>
      <c r="O2630" s="6">
        <v>61.290000999999997</v>
      </c>
      <c r="P2630" s="6">
        <v>62.259998000000003</v>
      </c>
      <c r="Q2630" s="6">
        <v>60.623913000000002</v>
      </c>
      <c r="R2630" s="58">
        <v>5245600</v>
      </c>
    </row>
    <row r="2631" spans="12:18" x14ac:dyDescent="0.25">
      <c r="L2631" s="26">
        <v>43259</v>
      </c>
      <c r="M2631" s="6">
        <v>62.57</v>
      </c>
      <c r="N2631" s="6">
        <v>63.900002000000001</v>
      </c>
      <c r="O2631" s="6">
        <v>62.57</v>
      </c>
      <c r="P2631" s="6">
        <v>63.709999000000003</v>
      </c>
      <c r="Q2631" s="6">
        <v>62.035809</v>
      </c>
      <c r="R2631" s="58">
        <v>2720300</v>
      </c>
    </row>
    <row r="2632" spans="12:18" x14ac:dyDescent="0.25">
      <c r="L2632" s="26">
        <v>43262</v>
      </c>
      <c r="M2632" s="6">
        <v>63.880001</v>
      </c>
      <c r="N2632" s="6">
        <v>65.769997000000004</v>
      </c>
      <c r="O2632" s="6">
        <v>63.880001</v>
      </c>
      <c r="P2632" s="6">
        <v>65.449996999999996</v>
      </c>
      <c r="Q2632" s="6">
        <v>63.730083</v>
      </c>
      <c r="R2632" s="58">
        <v>2605300</v>
      </c>
    </row>
    <row r="2633" spans="12:18" x14ac:dyDescent="0.25">
      <c r="L2633" s="26">
        <v>43263</v>
      </c>
      <c r="M2633" s="6">
        <v>66.309997999999993</v>
      </c>
      <c r="N2633" s="6">
        <v>66.309997999999993</v>
      </c>
      <c r="O2633" s="6">
        <v>65.029999000000004</v>
      </c>
      <c r="P2633" s="6">
        <v>65.709998999999996</v>
      </c>
      <c r="Q2633" s="6">
        <v>63.983249999999998</v>
      </c>
      <c r="R2633" s="58">
        <v>2045200</v>
      </c>
    </row>
    <row r="2634" spans="12:18" x14ac:dyDescent="0.25">
      <c r="L2634" s="26">
        <v>43264</v>
      </c>
      <c r="M2634" s="6">
        <v>65.910004000000001</v>
      </c>
      <c r="N2634" s="6">
        <v>66.290001000000004</v>
      </c>
      <c r="O2634" s="6">
        <v>65.260002</v>
      </c>
      <c r="P2634" s="6">
        <v>65.769997000000004</v>
      </c>
      <c r="Q2634" s="6">
        <v>64.041672000000005</v>
      </c>
      <c r="R2634" s="58">
        <v>1666900</v>
      </c>
    </row>
    <row r="2635" spans="12:18" x14ac:dyDescent="0.25">
      <c r="L2635" s="26">
        <v>43265</v>
      </c>
      <c r="M2635" s="6">
        <v>65.919998000000007</v>
      </c>
      <c r="N2635" s="6">
        <v>66.779999000000004</v>
      </c>
      <c r="O2635" s="6">
        <v>65.510002</v>
      </c>
      <c r="P2635" s="6">
        <v>66.599997999999999</v>
      </c>
      <c r="Q2635" s="6">
        <v>64.849868999999998</v>
      </c>
      <c r="R2635" s="58">
        <v>2390600</v>
      </c>
    </row>
    <row r="2636" spans="12:18" x14ac:dyDescent="0.25">
      <c r="L2636" s="26">
        <v>43266</v>
      </c>
      <c r="M2636" s="6">
        <v>66.680000000000007</v>
      </c>
      <c r="N2636" s="6">
        <v>67.139999000000003</v>
      </c>
      <c r="O2636" s="6">
        <v>66.139999000000003</v>
      </c>
      <c r="P2636" s="6">
        <v>67.059997999999993</v>
      </c>
      <c r="Q2636" s="6">
        <v>65.297775000000001</v>
      </c>
      <c r="R2636" s="58">
        <v>3788700</v>
      </c>
    </row>
    <row r="2637" spans="12:18" x14ac:dyDescent="0.25">
      <c r="L2637" s="26">
        <v>43269</v>
      </c>
      <c r="M2637" s="6">
        <v>66.849997999999999</v>
      </c>
      <c r="N2637" s="6">
        <v>67.309997999999993</v>
      </c>
      <c r="O2637" s="6">
        <v>65.870002999999997</v>
      </c>
      <c r="P2637" s="6">
        <v>66.260002</v>
      </c>
      <c r="Q2637" s="6">
        <v>64.518799000000001</v>
      </c>
      <c r="R2637" s="58">
        <v>1848700</v>
      </c>
    </row>
    <row r="2638" spans="12:18" x14ac:dyDescent="0.25">
      <c r="L2638" s="26">
        <v>43270</v>
      </c>
      <c r="M2638" s="6">
        <v>65.809997999999993</v>
      </c>
      <c r="N2638" s="6">
        <v>67.040001000000004</v>
      </c>
      <c r="O2638" s="6">
        <v>65.800003000000004</v>
      </c>
      <c r="P2638" s="6">
        <v>66.589995999999999</v>
      </c>
      <c r="Q2638" s="6">
        <v>64.840125999999998</v>
      </c>
      <c r="R2638" s="58">
        <v>1454000</v>
      </c>
    </row>
    <row r="2639" spans="12:18" x14ac:dyDescent="0.25">
      <c r="L2639" s="26">
        <v>43271</v>
      </c>
      <c r="M2639" s="6">
        <v>66.680000000000007</v>
      </c>
      <c r="N2639" s="6">
        <v>66.809997999999993</v>
      </c>
      <c r="O2639" s="6">
        <v>65.5</v>
      </c>
      <c r="P2639" s="6">
        <v>66.690002000000007</v>
      </c>
      <c r="Q2639" s="6">
        <v>64.9375</v>
      </c>
      <c r="R2639" s="58">
        <v>1433700</v>
      </c>
    </row>
    <row r="2640" spans="12:18" x14ac:dyDescent="0.25">
      <c r="L2640" s="26">
        <v>43272</v>
      </c>
      <c r="M2640" s="6">
        <v>66.800003000000004</v>
      </c>
      <c r="N2640" s="6">
        <v>67.190002000000007</v>
      </c>
      <c r="O2640" s="6">
        <v>66.370002999999997</v>
      </c>
      <c r="P2640" s="6">
        <v>66.839995999999999</v>
      </c>
      <c r="Q2640" s="6">
        <v>65.083556999999999</v>
      </c>
      <c r="R2640" s="58">
        <v>1679400</v>
      </c>
    </row>
    <row r="2641" spans="12:18" x14ac:dyDescent="0.25">
      <c r="L2641" s="26">
        <v>43273</v>
      </c>
      <c r="M2641" s="6">
        <v>67.150002000000001</v>
      </c>
      <c r="N2641" s="6">
        <v>67.709998999999996</v>
      </c>
      <c r="O2641" s="6">
        <v>66.779999000000004</v>
      </c>
      <c r="P2641" s="6">
        <v>67.400002000000001</v>
      </c>
      <c r="Q2641" s="6">
        <v>65.628844999999998</v>
      </c>
      <c r="R2641" s="58">
        <v>2029300</v>
      </c>
    </row>
    <row r="2642" spans="12:18" x14ac:dyDescent="0.25">
      <c r="L2642" s="26">
        <v>43276</v>
      </c>
      <c r="M2642" s="6">
        <v>67.819999999999993</v>
      </c>
      <c r="N2642" s="6">
        <v>69.239998</v>
      </c>
      <c r="O2642" s="6">
        <v>67.809997999999993</v>
      </c>
      <c r="P2642" s="6">
        <v>69.050003000000004</v>
      </c>
      <c r="Q2642" s="6">
        <v>67.235489000000001</v>
      </c>
      <c r="R2642" s="58">
        <v>4278300</v>
      </c>
    </row>
    <row r="2643" spans="12:18" x14ac:dyDescent="0.25">
      <c r="L2643" s="26">
        <v>43277</v>
      </c>
      <c r="M2643" s="6">
        <v>68.800003000000004</v>
      </c>
      <c r="N2643" s="6">
        <v>68.980002999999996</v>
      </c>
      <c r="O2643" s="6">
        <v>68.419998000000007</v>
      </c>
      <c r="P2643" s="6">
        <v>68.699996999999996</v>
      </c>
      <c r="Q2643" s="6">
        <v>66.894676000000004</v>
      </c>
      <c r="R2643" s="58">
        <v>3560400</v>
      </c>
    </row>
    <row r="2644" spans="12:18" x14ac:dyDescent="0.25">
      <c r="L2644" s="26">
        <v>43278</v>
      </c>
      <c r="M2644" s="6">
        <v>68.550003000000004</v>
      </c>
      <c r="N2644" s="6">
        <v>70.279999000000004</v>
      </c>
      <c r="O2644" s="6">
        <v>67.790001000000004</v>
      </c>
      <c r="P2644" s="6">
        <v>69.180000000000007</v>
      </c>
      <c r="Q2644" s="6">
        <v>67.362067999999994</v>
      </c>
      <c r="R2644" s="58">
        <v>6122900</v>
      </c>
    </row>
    <row r="2645" spans="12:18" x14ac:dyDescent="0.25">
      <c r="L2645" s="26">
        <v>43279</v>
      </c>
      <c r="M2645" s="6">
        <v>69.150002000000001</v>
      </c>
      <c r="N2645" s="6">
        <v>70.169998000000007</v>
      </c>
      <c r="O2645" s="6">
        <v>68.639999000000003</v>
      </c>
      <c r="P2645" s="6">
        <v>69.669998000000007</v>
      </c>
      <c r="Q2645" s="6">
        <v>67.839195000000004</v>
      </c>
      <c r="R2645" s="58">
        <v>3052900</v>
      </c>
    </row>
    <row r="2646" spans="12:18" x14ac:dyDescent="0.25">
      <c r="L2646" s="26">
        <v>43280</v>
      </c>
      <c r="M2646" s="6">
        <v>69.739998</v>
      </c>
      <c r="N2646" s="6">
        <v>70.300003000000004</v>
      </c>
      <c r="O2646" s="6">
        <v>68.739998</v>
      </c>
      <c r="P2646" s="6">
        <v>69.870002999999997</v>
      </c>
      <c r="Q2646" s="6">
        <v>68.033935999999997</v>
      </c>
      <c r="R2646" s="58">
        <v>2226200</v>
      </c>
    </row>
    <row r="2647" spans="12:18" x14ac:dyDescent="0.25">
      <c r="L2647" s="26">
        <v>43283</v>
      </c>
      <c r="M2647" s="6">
        <v>69.589995999999999</v>
      </c>
      <c r="N2647" s="6">
        <v>70.059997999999993</v>
      </c>
      <c r="O2647" s="6">
        <v>69.150002000000001</v>
      </c>
      <c r="P2647" s="6">
        <v>69.610000999999997</v>
      </c>
      <c r="Q2647" s="6">
        <v>67.780769000000006</v>
      </c>
      <c r="R2647" s="58">
        <v>2061700</v>
      </c>
    </row>
    <row r="2648" spans="12:18" x14ac:dyDescent="0.25">
      <c r="L2648" s="26">
        <v>43284</v>
      </c>
      <c r="M2648" s="6">
        <v>69.690002000000007</v>
      </c>
      <c r="N2648" s="6">
        <v>69.75</v>
      </c>
      <c r="O2648" s="6">
        <v>69.169998000000007</v>
      </c>
      <c r="P2648" s="6">
        <v>69.339995999999999</v>
      </c>
      <c r="Q2648" s="6">
        <v>67.517859999999999</v>
      </c>
      <c r="R2648" s="58">
        <v>1202500</v>
      </c>
    </row>
    <row r="2649" spans="12:18" x14ac:dyDescent="0.25">
      <c r="L2649" s="26">
        <v>43286</v>
      </c>
      <c r="M2649" s="6">
        <v>69.730002999999996</v>
      </c>
      <c r="N2649" s="6">
        <v>71.550003000000004</v>
      </c>
      <c r="O2649" s="6">
        <v>69.540001000000004</v>
      </c>
      <c r="P2649" s="6">
        <v>71.540001000000004</v>
      </c>
      <c r="Q2649" s="6">
        <v>69.660049000000001</v>
      </c>
      <c r="R2649" s="58">
        <v>3337200</v>
      </c>
    </row>
    <row r="2650" spans="12:18" x14ac:dyDescent="0.25">
      <c r="L2650" s="26">
        <v>43287</v>
      </c>
      <c r="M2650" s="6">
        <v>71.589995999999999</v>
      </c>
      <c r="N2650" s="6">
        <v>72.239998</v>
      </c>
      <c r="O2650" s="6">
        <v>71.059997999999993</v>
      </c>
      <c r="P2650" s="6">
        <v>71.830001999999993</v>
      </c>
      <c r="Q2650" s="6">
        <v>69.942429000000004</v>
      </c>
      <c r="R2650" s="58">
        <v>2041600</v>
      </c>
    </row>
    <row r="2651" spans="12:18" x14ac:dyDescent="0.25">
      <c r="L2651" s="26">
        <v>43290</v>
      </c>
      <c r="M2651" s="6">
        <v>71.830001999999993</v>
      </c>
      <c r="N2651" s="6">
        <v>71.949996999999996</v>
      </c>
      <c r="O2651" s="6">
        <v>70.220000999999996</v>
      </c>
      <c r="P2651" s="6">
        <v>70.470000999999996</v>
      </c>
      <c r="Q2651" s="6">
        <v>68.618163999999993</v>
      </c>
      <c r="R2651" s="58">
        <v>2509100</v>
      </c>
    </row>
    <row r="2652" spans="12:18" x14ac:dyDescent="0.25">
      <c r="L2652" s="26">
        <v>43291</v>
      </c>
      <c r="M2652" s="6">
        <v>70.669998000000007</v>
      </c>
      <c r="N2652" s="6">
        <v>70.900002000000001</v>
      </c>
      <c r="O2652" s="6">
        <v>70.059997999999993</v>
      </c>
      <c r="P2652" s="6">
        <v>70.639999000000003</v>
      </c>
      <c r="Q2652" s="6">
        <v>68.783707000000007</v>
      </c>
      <c r="R2652" s="58">
        <v>2314500</v>
      </c>
    </row>
    <row r="2653" spans="12:18" x14ac:dyDescent="0.25">
      <c r="L2653" s="26">
        <v>43292</v>
      </c>
      <c r="M2653" s="6">
        <v>70.730002999999996</v>
      </c>
      <c r="N2653" s="6">
        <v>70.75</v>
      </c>
      <c r="O2653" s="6">
        <v>70.099997999999999</v>
      </c>
      <c r="P2653" s="6">
        <v>70.330001999999993</v>
      </c>
      <c r="Q2653" s="6">
        <v>68.481849999999994</v>
      </c>
      <c r="R2653" s="58">
        <v>1328300</v>
      </c>
    </row>
    <row r="2654" spans="12:18" x14ac:dyDescent="0.25">
      <c r="L2654" s="26">
        <v>43293</v>
      </c>
      <c r="M2654" s="6">
        <v>70.660004000000001</v>
      </c>
      <c r="N2654" s="6">
        <v>70.930000000000007</v>
      </c>
      <c r="O2654" s="6">
        <v>70.269997000000004</v>
      </c>
      <c r="P2654" s="6">
        <v>70.680000000000007</v>
      </c>
      <c r="Q2654" s="6">
        <v>68.822654999999997</v>
      </c>
      <c r="R2654" s="58">
        <v>1504900</v>
      </c>
    </row>
    <row r="2655" spans="12:18" x14ac:dyDescent="0.25">
      <c r="L2655" s="26">
        <v>43294</v>
      </c>
      <c r="M2655" s="6">
        <v>70.470000999999996</v>
      </c>
      <c r="N2655" s="6">
        <v>71.309997999999993</v>
      </c>
      <c r="O2655" s="6">
        <v>70.220000999999996</v>
      </c>
      <c r="P2655" s="6">
        <v>71.169998000000007</v>
      </c>
      <c r="Q2655" s="6">
        <v>69.299781999999993</v>
      </c>
      <c r="R2655" s="58">
        <v>1978400</v>
      </c>
    </row>
    <row r="2656" spans="12:18" x14ac:dyDescent="0.25">
      <c r="L2656" s="26">
        <v>43297</v>
      </c>
      <c r="M2656" s="6">
        <v>71.099997999999999</v>
      </c>
      <c r="N2656" s="6">
        <v>71.099997999999999</v>
      </c>
      <c r="O2656" s="6">
        <v>70.440002000000007</v>
      </c>
      <c r="P2656" s="6">
        <v>70.589995999999999</v>
      </c>
      <c r="Q2656" s="6">
        <v>68.735007999999993</v>
      </c>
      <c r="R2656" s="58">
        <v>1157900</v>
      </c>
    </row>
    <row r="2657" spans="12:18" x14ac:dyDescent="0.25">
      <c r="L2657" s="26">
        <v>43298</v>
      </c>
      <c r="M2657" s="6">
        <v>70.419998000000007</v>
      </c>
      <c r="N2657" s="6">
        <v>71</v>
      </c>
      <c r="O2657" s="6">
        <v>70.330001999999993</v>
      </c>
      <c r="P2657" s="6">
        <v>70.650002000000001</v>
      </c>
      <c r="Q2657" s="6">
        <v>68.793441999999999</v>
      </c>
      <c r="R2657" s="58">
        <v>1335600</v>
      </c>
    </row>
    <row r="2658" spans="12:18" x14ac:dyDescent="0.25">
      <c r="L2658" s="26">
        <v>43299</v>
      </c>
      <c r="M2658" s="6">
        <v>70.709998999999996</v>
      </c>
      <c r="N2658" s="6">
        <v>70.800003000000004</v>
      </c>
      <c r="O2658" s="6">
        <v>68.699996999999996</v>
      </c>
      <c r="P2658" s="6">
        <v>68.959998999999996</v>
      </c>
      <c r="Q2658" s="6">
        <v>67.147841999999997</v>
      </c>
      <c r="R2658" s="58">
        <v>2391300</v>
      </c>
    </row>
    <row r="2659" spans="12:18" x14ac:dyDescent="0.25">
      <c r="L2659" s="26">
        <v>43300</v>
      </c>
      <c r="M2659" s="6">
        <v>68.910004000000001</v>
      </c>
      <c r="N2659" s="6">
        <v>69.959998999999996</v>
      </c>
      <c r="O2659" s="6">
        <v>68.879997000000003</v>
      </c>
      <c r="P2659" s="6">
        <v>69.599997999999999</v>
      </c>
      <c r="Q2659" s="6">
        <v>67.771034</v>
      </c>
      <c r="R2659" s="58">
        <v>1669600</v>
      </c>
    </row>
    <row r="2660" spans="12:18" x14ac:dyDescent="0.25">
      <c r="L2660" s="26">
        <v>43301</v>
      </c>
      <c r="M2660" s="6">
        <v>70.080001999999993</v>
      </c>
      <c r="N2660" s="6">
        <v>70.370002999999997</v>
      </c>
      <c r="O2660" s="6">
        <v>69.400002000000001</v>
      </c>
      <c r="P2660" s="6">
        <v>70.199996999999996</v>
      </c>
      <c r="Q2660" s="6">
        <v>68.355262999999994</v>
      </c>
      <c r="R2660" s="58">
        <v>1330200</v>
      </c>
    </row>
    <row r="2661" spans="12:18" x14ac:dyDescent="0.25">
      <c r="L2661" s="26">
        <v>43304</v>
      </c>
      <c r="M2661" s="6">
        <v>70.050003000000004</v>
      </c>
      <c r="N2661" s="6">
        <v>70.349997999999999</v>
      </c>
      <c r="O2661" s="6">
        <v>69.440002000000007</v>
      </c>
      <c r="P2661" s="6">
        <v>69.860000999999997</v>
      </c>
      <c r="Q2661" s="6">
        <v>68.024199999999993</v>
      </c>
      <c r="R2661" s="58">
        <v>1508100</v>
      </c>
    </row>
    <row r="2662" spans="12:18" x14ac:dyDescent="0.25">
      <c r="L2662" s="26">
        <v>43305</v>
      </c>
      <c r="M2662" s="6">
        <v>69.639999000000003</v>
      </c>
      <c r="N2662" s="6">
        <v>70.220000999999996</v>
      </c>
      <c r="O2662" s="6">
        <v>69.209998999999996</v>
      </c>
      <c r="P2662" s="6">
        <v>70.180000000000007</v>
      </c>
      <c r="Q2662" s="6">
        <v>68.335792999999995</v>
      </c>
      <c r="R2662" s="58">
        <v>1413300</v>
      </c>
    </row>
    <row r="2663" spans="12:18" x14ac:dyDescent="0.25">
      <c r="L2663" s="26">
        <v>43306</v>
      </c>
      <c r="M2663" s="6">
        <v>70.199996999999996</v>
      </c>
      <c r="N2663" s="6">
        <v>70.900002000000001</v>
      </c>
      <c r="O2663" s="6">
        <v>70.180000000000007</v>
      </c>
      <c r="P2663" s="6">
        <v>70.849997999999999</v>
      </c>
      <c r="Q2663" s="6">
        <v>68.988181999999995</v>
      </c>
      <c r="R2663" s="58">
        <v>2754700</v>
      </c>
    </row>
    <row r="2664" spans="12:18" x14ac:dyDescent="0.25">
      <c r="L2664" s="26">
        <v>43307</v>
      </c>
      <c r="M2664" s="6">
        <v>71.349997999999999</v>
      </c>
      <c r="N2664" s="6">
        <v>72.260002</v>
      </c>
      <c r="O2664" s="6">
        <v>70.769997000000004</v>
      </c>
      <c r="P2664" s="6">
        <v>70.879997000000003</v>
      </c>
      <c r="Q2664" s="6">
        <v>69.017394999999993</v>
      </c>
      <c r="R2664" s="58">
        <v>2514300</v>
      </c>
    </row>
    <row r="2665" spans="12:18" x14ac:dyDescent="0.25">
      <c r="L2665" s="26">
        <v>43308</v>
      </c>
      <c r="M2665" s="6">
        <v>71.129997000000003</v>
      </c>
      <c r="N2665" s="6">
        <v>71.639999000000003</v>
      </c>
      <c r="O2665" s="6">
        <v>70.779999000000004</v>
      </c>
      <c r="P2665" s="6">
        <v>71.400002000000001</v>
      </c>
      <c r="Q2665" s="6">
        <v>69.523726999999994</v>
      </c>
      <c r="R2665" s="58">
        <v>1533600</v>
      </c>
    </row>
    <row r="2666" spans="12:18" x14ac:dyDescent="0.25">
      <c r="L2666" s="26">
        <v>43311</v>
      </c>
      <c r="M2666" s="6">
        <v>70.75</v>
      </c>
      <c r="N2666" s="6">
        <v>71.690002000000007</v>
      </c>
      <c r="O2666" s="6">
        <v>70.599997999999999</v>
      </c>
      <c r="P2666" s="6">
        <v>71.330001999999993</v>
      </c>
      <c r="Q2666" s="6">
        <v>69.455573999999999</v>
      </c>
      <c r="R2666" s="58">
        <v>1738200</v>
      </c>
    </row>
    <row r="2667" spans="12:18" x14ac:dyDescent="0.25">
      <c r="L2667" s="26">
        <v>43312</v>
      </c>
      <c r="M2667" s="6">
        <v>71.5</v>
      </c>
      <c r="N2667" s="6">
        <v>71.779999000000004</v>
      </c>
      <c r="O2667" s="6">
        <v>70.589995999999999</v>
      </c>
      <c r="P2667" s="6">
        <v>71.029999000000004</v>
      </c>
      <c r="Q2667" s="6">
        <v>69.163444999999996</v>
      </c>
      <c r="R2667" s="58">
        <v>2371500</v>
      </c>
    </row>
    <row r="2668" spans="12:18" x14ac:dyDescent="0.25">
      <c r="L2668" s="26">
        <v>43313</v>
      </c>
      <c r="M2668" s="6">
        <v>71.129997000000003</v>
      </c>
      <c r="N2668" s="6">
        <v>71.150002000000001</v>
      </c>
      <c r="O2668" s="6">
        <v>69.160004000000001</v>
      </c>
      <c r="P2668" s="6">
        <v>69.430000000000007</v>
      </c>
      <c r="Q2668" s="6">
        <v>67.605498999999995</v>
      </c>
      <c r="R2668" s="58">
        <v>3177400</v>
      </c>
    </row>
    <row r="2669" spans="12:18" x14ac:dyDescent="0.25">
      <c r="L2669" s="26">
        <v>43314</v>
      </c>
      <c r="M2669" s="6">
        <v>68.699996999999996</v>
      </c>
      <c r="N2669" s="6">
        <v>70.040001000000004</v>
      </c>
      <c r="O2669" s="6">
        <v>66.790001000000004</v>
      </c>
      <c r="P2669" s="6">
        <v>69.879997000000003</v>
      </c>
      <c r="Q2669" s="6">
        <v>68.043671000000003</v>
      </c>
      <c r="R2669" s="58">
        <v>3908600</v>
      </c>
    </row>
    <row r="2670" spans="12:18" x14ac:dyDescent="0.25">
      <c r="L2670" s="26">
        <v>43315</v>
      </c>
      <c r="M2670" s="6">
        <v>70.199996999999996</v>
      </c>
      <c r="N2670" s="6">
        <v>73.239998</v>
      </c>
      <c r="O2670" s="6">
        <v>70.019997000000004</v>
      </c>
      <c r="P2670" s="6">
        <v>72.150002000000001</v>
      </c>
      <c r="Q2670" s="6">
        <v>70.254028000000005</v>
      </c>
      <c r="R2670" s="58">
        <v>3626800</v>
      </c>
    </row>
    <row r="2671" spans="12:18" x14ac:dyDescent="0.25">
      <c r="L2671" s="26">
        <v>43318</v>
      </c>
      <c r="M2671" s="6">
        <v>72.300003000000004</v>
      </c>
      <c r="N2671" s="6">
        <v>72.660004000000001</v>
      </c>
      <c r="O2671" s="6">
        <v>71.580001999999993</v>
      </c>
      <c r="P2671" s="6">
        <v>72.199996999999996</v>
      </c>
      <c r="Q2671" s="6">
        <v>70.302704000000006</v>
      </c>
      <c r="R2671" s="58">
        <v>2064200</v>
      </c>
    </row>
    <row r="2672" spans="12:18" x14ac:dyDescent="0.25">
      <c r="L2672" s="26">
        <v>43319</v>
      </c>
      <c r="M2672" s="6">
        <v>72.050003000000004</v>
      </c>
      <c r="N2672" s="6">
        <v>72.080001999999993</v>
      </c>
      <c r="O2672" s="6">
        <v>71.370002999999997</v>
      </c>
      <c r="P2672" s="6">
        <v>71.900002000000001</v>
      </c>
      <c r="Q2672" s="6">
        <v>70.010597000000004</v>
      </c>
      <c r="R2672" s="58">
        <v>1711400</v>
      </c>
    </row>
    <row r="2673" spans="12:18" x14ac:dyDescent="0.25">
      <c r="L2673" s="26">
        <v>43320</v>
      </c>
      <c r="M2673" s="6">
        <v>72.150002000000001</v>
      </c>
      <c r="N2673" s="6">
        <v>72.239998</v>
      </c>
      <c r="O2673" s="6">
        <v>71</v>
      </c>
      <c r="P2673" s="6">
        <v>71.010002</v>
      </c>
      <c r="Q2673" s="6">
        <v>69.143974</v>
      </c>
      <c r="R2673" s="58">
        <v>1382900</v>
      </c>
    </row>
    <row r="2674" spans="12:18" x14ac:dyDescent="0.25">
      <c r="L2674" s="26">
        <v>43321</v>
      </c>
      <c r="M2674" s="6">
        <v>71.459998999999996</v>
      </c>
      <c r="N2674" s="6">
        <v>71.459998999999996</v>
      </c>
      <c r="O2674" s="6">
        <v>70.900002000000001</v>
      </c>
      <c r="P2674" s="6">
        <v>71.300003000000004</v>
      </c>
      <c r="Q2674" s="6">
        <v>69.426361</v>
      </c>
      <c r="R2674" s="58">
        <v>1421600</v>
      </c>
    </row>
    <row r="2675" spans="12:18" x14ac:dyDescent="0.25">
      <c r="L2675" s="26">
        <v>43322</v>
      </c>
      <c r="M2675" s="6">
        <v>71.080001999999993</v>
      </c>
      <c r="N2675" s="6">
        <v>71.809997999999993</v>
      </c>
      <c r="O2675" s="6">
        <v>70.830001999999993</v>
      </c>
      <c r="P2675" s="6">
        <v>71.379997000000003</v>
      </c>
      <c r="Q2675" s="6">
        <v>69.504249999999999</v>
      </c>
      <c r="R2675" s="58">
        <v>1125600</v>
      </c>
    </row>
    <row r="2676" spans="12:18" x14ac:dyDescent="0.25">
      <c r="L2676" s="26">
        <v>43325</v>
      </c>
      <c r="M2676" s="6">
        <v>71.480002999999996</v>
      </c>
      <c r="N2676" s="6">
        <v>71.540001000000004</v>
      </c>
      <c r="O2676" s="6">
        <v>70.589995999999999</v>
      </c>
      <c r="P2676" s="6">
        <v>71.010002</v>
      </c>
      <c r="Q2676" s="6">
        <v>69.143974</v>
      </c>
      <c r="R2676" s="58">
        <v>1535700</v>
      </c>
    </row>
    <row r="2677" spans="12:18" x14ac:dyDescent="0.25">
      <c r="L2677" s="26">
        <v>43326</v>
      </c>
      <c r="M2677" s="6">
        <v>71.139999000000003</v>
      </c>
      <c r="N2677" s="6">
        <v>72.150002000000001</v>
      </c>
      <c r="O2677" s="6">
        <v>71.139999000000003</v>
      </c>
      <c r="P2677" s="6">
        <v>71.510002</v>
      </c>
      <c r="Q2677" s="6">
        <v>69.630836000000002</v>
      </c>
      <c r="R2677" s="58">
        <v>1575300</v>
      </c>
    </row>
    <row r="2678" spans="12:18" x14ac:dyDescent="0.25">
      <c r="L2678" s="26">
        <v>43327</v>
      </c>
      <c r="M2678" s="6">
        <v>71.410004000000001</v>
      </c>
      <c r="N2678" s="6">
        <v>72.180000000000007</v>
      </c>
      <c r="O2678" s="6">
        <v>71.239998</v>
      </c>
      <c r="P2678" s="6">
        <v>72.099997999999999</v>
      </c>
      <c r="Q2678" s="6">
        <v>70.205337999999998</v>
      </c>
      <c r="R2678" s="58">
        <v>1425400</v>
      </c>
    </row>
    <row r="2679" spans="12:18" x14ac:dyDescent="0.25">
      <c r="L2679" s="26">
        <v>43328</v>
      </c>
      <c r="M2679" s="6">
        <v>72.099997999999999</v>
      </c>
      <c r="N2679" s="6">
        <v>73.309997999999993</v>
      </c>
      <c r="O2679" s="6">
        <v>71.989998</v>
      </c>
      <c r="P2679" s="6">
        <v>72.699996999999996</v>
      </c>
      <c r="Q2679" s="6">
        <v>70.789574000000002</v>
      </c>
      <c r="R2679" s="58">
        <v>2069700</v>
      </c>
    </row>
    <row r="2680" spans="12:18" x14ac:dyDescent="0.25">
      <c r="L2680" s="26">
        <v>43329</v>
      </c>
      <c r="M2680" s="6">
        <v>72.680000000000007</v>
      </c>
      <c r="N2680" s="6">
        <v>73.879997000000003</v>
      </c>
      <c r="O2680" s="6">
        <v>72.680000000000007</v>
      </c>
      <c r="P2680" s="6">
        <v>73.629997000000003</v>
      </c>
      <c r="Q2680" s="6">
        <v>71.695128999999994</v>
      </c>
      <c r="R2680" s="58">
        <v>1992900</v>
      </c>
    </row>
    <row r="2681" spans="12:18" x14ac:dyDescent="0.25">
      <c r="L2681" s="26">
        <v>43332</v>
      </c>
      <c r="M2681" s="6">
        <v>73.779999000000004</v>
      </c>
      <c r="N2681" s="6">
        <v>74.319999999999993</v>
      </c>
      <c r="O2681" s="6">
        <v>73.589995999999999</v>
      </c>
      <c r="P2681" s="6">
        <v>73.720000999999996</v>
      </c>
      <c r="Q2681" s="6">
        <v>71.782775999999998</v>
      </c>
      <c r="R2681" s="58">
        <v>1577900</v>
      </c>
    </row>
    <row r="2682" spans="12:18" x14ac:dyDescent="0.25">
      <c r="L2682" s="26">
        <v>43333</v>
      </c>
      <c r="M2682" s="6">
        <v>73.879997000000003</v>
      </c>
      <c r="N2682" s="6">
        <v>74.019997000000004</v>
      </c>
      <c r="O2682" s="6">
        <v>71.989998</v>
      </c>
      <c r="P2682" s="6">
        <v>72.220000999999996</v>
      </c>
      <c r="Q2682" s="6">
        <v>70.322188999999995</v>
      </c>
      <c r="R2682" s="58">
        <v>1909200</v>
      </c>
    </row>
    <row r="2683" spans="12:18" x14ac:dyDescent="0.25">
      <c r="L2683" s="26">
        <v>43334</v>
      </c>
      <c r="M2683" s="6">
        <v>72.290001000000004</v>
      </c>
      <c r="N2683" s="6">
        <v>72.669998000000007</v>
      </c>
      <c r="O2683" s="6">
        <v>71.529999000000004</v>
      </c>
      <c r="P2683" s="6">
        <v>72.139999000000003</v>
      </c>
      <c r="Q2683" s="6">
        <v>70.244286000000002</v>
      </c>
      <c r="R2683" s="58">
        <v>1245900</v>
      </c>
    </row>
    <row r="2684" spans="12:18" x14ac:dyDescent="0.25">
      <c r="L2684" s="26">
        <v>43335</v>
      </c>
      <c r="M2684" s="6">
        <v>71.709998999999996</v>
      </c>
      <c r="N2684" s="6">
        <v>72.120002999999997</v>
      </c>
      <c r="O2684" s="6">
        <v>71.339995999999999</v>
      </c>
      <c r="P2684" s="6">
        <v>72.110000999999997</v>
      </c>
      <c r="Q2684" s="6">
        <v>70.215073000000004</v>
      </c>
      <c r="R2684" s="58">
        <v>1115000</v>
      </c>
    </row>
    <row r="2685" spans="12:18" x14ac:dyDescent="0.25">
      <c r="L2685" s="26">
        <v>43336</v>
      </c>
      <c r="M2685" s="6">
        <v>72.120002999999997</v>
      </c>
      <c r="N2685" s="6">
        <v>72.949996999999996</v>
      </c>
      <c r="O2685" s="6">
        <v>72.080001999999993</v>
      </c>
      <c r="P2685" s="6">
        <v>72.449996999999996</v>
      </c>
      <c r="Q2685" s="6">
        <v>70.546143000000001</v>
      </c>
      <c r="R2685" s="58">
        <v>947400</v>
      </c>
    </row>
    <row r="2686" spans="12:18" x14ac:dyDescent="0.25">
      <c r="L2686" s="26">
        <v>43339</v>
      </c>
      <c r="M2686" s="6">
        <v>72.650002000000001</v>
      </c>
      <c r="N2686" s="6">
        <v>72.889999000000003</v>
      </c>
      <c r="O2686" s="6">
        <v>71.809997999999993</v>
      </c>
      <c r="P2686" s="6">
        <v>72.019997000000004</v>
      </c>
      <c r="Q2686" s="6">
        <v>70.127433999999994</v>
      </c>
      <c r="R2686" s="58">
        <v>1219600</v>
      </c>
    </row>
    <row r="2687" spans="12:18" x14ac:dyDescent="0.25">
      <c r="L2687" s="26">
        <v>43340</v>
      </c>
      <c r="M2687" s="6">
        <v>71.660004000000001</v>
      </c>
      <c r="N2687" s="6">
        <v>72.029999000000004</v>
      </c>
      <c r="O2687" s="6">
        <v>70.989998</v>
      </c>
      <c r="P2687" s="6">
        <v>71.470000999999996</v>
      </c>
      <c r="Q2687" s="6">
        <v>69.591887999999997</v>
      </c>
      <c r="R2687" s="58">
        <v>1143700</v>
      </c>
    </row>
    <row r="2688" spans="12:18" x14ac:dyDescent="0.25">
      <c r="L2688" s="26">
        <v>43341</v>
      </c>
      <c r="M2688" s="6">
        <v>71.870002999999997</v>
      </c>
      <c r="N2688" s="6">
        <v>71.919998000000007</v>
      </c>
      <c r="O2688" s="6">
        <v>71.440002000000007</v>
      </c>
      <c r="P2688" s="6">
        <v>71.809997999999993</v>
      </c>
      <c r="Q2688" s="6">
        <v>69.922950999999998</v>
      </c>
      <c r="R2688" s="58">
        <v>1333800</v>
      </c>
    </row>
    <row r="2689" spans="12:18" x14ac:dyDescent="0.25">
      <c r="L2689" s="26">
        <v>43342</v>
      </c>
      <c r="M2689" s="6">
        <v>71.519997000000004</v>
      </c>
      <c r="N2689" s="6">
        <v>72.160004000000001</v>
      </c>
      <c r="O2689" s="6">
        <v>71.480002999999996</v>
      </c>
      <c r="P2689" s="6">
        <v>71.75</v>
      </c>
      <c r="Q2689" s="6">
        <v>69.864531999999997</v>
      </c>
      <c r="R2689" s="58">
        <v>1144200</v>
      </c>
    </row>
    <row r="2690" spans="12:18" x14ac:dyDescent="0.25">
      <c r="L2690" s="26">
        <v>43343</v>
      </c>
      <c r="M2690" s="6">
        <v>71.279999000000004</v>
      </c>
      <c r="N2690" s="6">
        <v>72.089995999999999</v>
      </c>
      <c r="O2690" s="6">
        <v>71.260002</v>
      </c>
      <c r="P2690" s="6">
        <v>71.790001000000004</v>
      </c>
      <c r="Q2690" s="6">
        <v>70.453361999999998</v>
      </c>
      <c r="R2690" s="58">
        <v>1401100</v>
      </c>
    </row>
    <row r="2691" spans="12:18" x14ac:dyDescent="0.25">
      <c r="L2691" s="26">
        <v>43347</v>
      </c>
      <c r="M2691" s="6">
        <v>71.809997999999993</v>
      </c>
      <c r="N2691" s="6">
        <v>72.300003000000004</v>
      </c>
      <c r="O2691" s="6">
        <v>71.620002999999997</v>
      </c>
      <c r="P2691" s="6">
        <v>71.910004000000001</v>
      </c>
      <c r="Q2691" s="6">
        <v>70.571128999999999</v>
      </c>
      <c r="R2691" s="58">
        <v>1057000</v>
      </c>
    </row>
    <row r="2692" spans="12:18" x14ac:dyDescent="0.25">
      <c r="L2692" s="26">
        <v>43348</v>
      </c>
      <c r="M2692" s="6">
        <v>71.569999999999993</v>
      </c>
      <c r="N2692" s="6">
        <v>72.760002</v>
      </c>
      <c r="O2692" s="6">
        <v>71.319999999999993</v>
      </c>
      <c r="P2692" s="6">
        <v>72.699996999999996</v>
      </c>
      <c r="Q2692" s="6">
        <v>71.346419999999995</v>
      </c>
      <c r="R2692" s="58">
        <v>1539400</v>
      </c>
    </row>
    <row r="2693" spans="12:18" x14ac:dyDescent="0.25">
      <c r="L2693" s="26">
        <v>43349</v>
      </c>
      <c r="M2693" s="6">
        <v>72.470000999999996</v>
      </c>
      <c r="N2693" s="6">
        <v>73.720000999999996</v>
      </c>
      <c r="O2693" s="6">
        <v>72.459998999999996</v>
      </c>
      <c r="P2693" s="6">
        <v>73.650002000000001</v>
      </c>
      <c r="Q2693" s="6">
        <v>72.278732000000005</v>
      </c>
      <c r="R2693" s="58">
        <v>1485800</v>
      </c>
    </row>
    <row r="2694" spans="12:18" x14ac:dyDescent="0.25">
      <c r="L2694" s="26">
        <v>43350</v>
      </c>
      <c r="M2694" s="6">
        <v>73.339995999999999</v>
      </c>
      <c r="N2694" s="6">
        <v>74.440002000000007</v>
      </c>
      <c r="O2694" s="6">
        <v>73.150002000000001</v>
      </c>
      <c r="P2694" s="6">
        <v>74.089995999999999</v>
      </c>
      <c r="Q2694" s="6">
        <v>72.710532999999998</v>
      </c>
      <c r="R2694" s="58">
        <v>1925700</v>
      </c>
    </row>
    <row r="2695" spans="12:18" x14ac:dyDescent="0.25">
      <c r="L2695" s="26">
        <v>43353</v>
      </c>
      <c r="M2695" s="6">
        <v>74.139999000000003</v>
      </c>
      <c r="N2695" s="6">
        <v>74.580001999999993</v>
      </c>
      <c r="O2695" s="6">
        <v>73.779999000000004</v>
      </c>
      <c r="P2695" s="6">
        <v>74.019997000000004</v>
      </c>
      <c r="Q2695" s="6">
        <v>72.641838000000007</v>
      </c>
      <c r="R2695" s="58">
        <v>1827900</v>
      </c>
    </row>
    <row r="2696" spans="12:18" x14ac:dyDescent="0.25">
      <c r="L2696" s="26">
        <v>43354</v>
      </c>
      <c r="M2696" s="6">
        <v>73.889999000000003</v>
      </c>
      <c r="N2696" s="6">
        <v>73.989998</v>
      </c>
      <c r="O2696" s="6">
        <v>73.160004000000001</v>
      </c>
      <c r="P2696" s="6">
        <v>73.459998999999996</v>
      </c>
      <c r="Q2696" s="6">
        <v>72.092262000000005</v>
      </c>
      <c r="R2696" s="58">
        <v>995900</v>
      </c>
    </row>
    <row r="2697" spans="12:18" x14ac:dyDescent="0.25">
      <c r="L2697" s="26">
        <v>43355</v>
      </c>
      <c r="M2697" s="6">
        <v>73.790001000000004</v>
      </c>
      <c r="N2697" s="6">
        <v>74.510002</v>
      </c>
      <c r="O2697" s="6">
        <v>73.550003000000004</v>
      </c>
      <c r="P2697" s="6">
        <v>74.449996999999996</v>
      </c>
      <c r="Q2697" s="6">
        <v>73.063834999999997</v>
      </c>
      <c r="R2697" s="58">
        <v>1132900</v>
      </c>
    </row>
    <row r="2698" spans="12:18" x14ac:dyDescent="0.25">
      <c r="L2698" s="26">
        <v>43356</v>
      </c>
      <c r="M2698" s="6">
        <v>74.559997999999993</v>
      </c>
      <c r="N2698" s="6">
        <v>74.839995999999999</v>
      </c>
      <c r="O2698" s="6">
        <v>73.919998000000007</v>
      </c>
      <c r="P2698" s="6">
        <v>74.800003000000004</v>
      </c>
      <c r="Q2698" s="6">
        <v>73.407325999999998</v>
      </c>
      <c r="R2698" s="58">
        <v>1563900</v>
      </c>
    </row>
    <row r="2699" spans="12:18" x14ac:dyDescent="0.25">
      <c r="L2699" s="26">
        <v>43357</v>
      </c>
      <c r="M2699" s="6">
        <v>74.620002999999997</v>
      </c>
      <c r="N2699" s="6">
        <v>74.910004000000001</v>
      </c>
      <c r="O2699" s="6">
        <v>74.120002999999997</v>
      </c>
      <c r="P2699" s="6">
        <v>74.839995999999999</v>
      </c>
      <c r="Q2699" s="6">
        <v>73.446571000000006</v>
      </c>
      <c r="R2699" s="58">
        <v>865800</v>
      </c>
    </row>
    <row r="2700" spans="12:18" x14ac:dyDescent="0.25">
      <c r="L2700" s="26">
        <v>43360</v>
      </c>
      <c r="M2700" s="6">
        <v>74.690002000000007</v>
      </c>
      <c r="N2700" s="6">
        <v>74.980002999999996</v>
      </c>
      <c r="O2700" s="6">
        <v>74.319999999999993</v>
      </c>
      <c r="P2700" s="6">
        <v>74.699996999999996</v>
      </c>
      <c r="Q2700" s="6">
        <v>73.309173999999999</v>
      </c>
      <c r="R2700" s="58">
        <v>1158200</v>
      </c>
    </row>
    <row r="2701" spans="12:18" x14ac:dyDescent="0.25">
      <c r="L2701" s="26">
        <v>43361</v>
      </c>
      <c r="M2701" s="6">
        <v>73.739998</v>
      </c>
      <c r="N2701" s="6">
        <v>73.949996999999996</v>
      </c>
      <c r="O2701" s="6">
        <v>72.449996999999996</v>
      </c>
      <c r="P2701" s="6">
        <v>73.360000999999997</v>
      </c>
      <c r="Q2701" s="6">
        <v>71.994124999999997</v>
      </c>
      <c r="R2701" s="58">
        <v>2451400</v>
      </c>
    </row>
    <row r="2702" spans="12:18" x14ac:dyDescent="0.25">
      <c r="L2702" s="26">
        <v>43362</v>
      </c>
      <c r="M2702" s="6">
        <v>73.459998999999996</v>
      </c>
      <c r="N2702" s="6">
        <v>73.849997999999999</v>
      </c>
      <c r="O2702" s="6">
        <v>72.209998999999996</v>
      </c>
      <c r="P2702" s="6">
        <v>72.400002000000001</v>
      </c>
      <c r="Q2702" s="6">
        <v>71.052002000000002</v>
      </c>
      <c r="R2702" s="58">
        <v>1468900</v>
      </c>
    </row>
    <row r="2703" spans="12:18" x14ac:dyDescent="0.25">
      <c r="L2703" s="26">
        <v>43363</v>
      </c>
      <c r="M2703" s="6">
        <v>72.620002999999997</v>
      </c>
      <c r="N2703" s="6">
        <v>72.930000000000007</v>
      </c>
      <c r="O2703" s="6">
        <v>72.110000999999997</v>
      </c>
      <c r="P2703" s="6">
        <v>72.800003000000004</v>
      </c>
      <c r="Q2703" s="6">
        <v>71.444564999999997</v>
      </c>
      <c r="R2703" s="58">
        <v>1775900</v>
      </c>
    </row>
    <row r="2704" spans="12:18" x14ac:dyDescent="0.25">
      <c r="L2704" s="26">
        <v>43364</v>
      </c>
      <c r="M2704" s="6">
        <v>72.940002000000007</v>
      </c>
      <c r="N2704" s="6">
        <v>73.430000000000007</v>
      </c>
      <c r="O2704" s="6">
        <v>72.519997000000004</v>
      </c>
      <c r="P2704" s="6">
        <v>73.169998000000007</v>
      </c>
      <c r="Q2704" s="6">
        <v>71.807670999999999</v>
      </c>
      <c r="R2704" s="58">
        <v>2818500</v>
      </c>
    </row>
    <row r="2705" spans="12:18" x14ac:dyDescent="0.25">
      <c r="L2705" s="26">
        <v>43367</v>
      </c>
      <c r="M2705" s="6">
        <v>72.589995999999999</v>
      </c>
      <c r="N2705" s="6">
        <v>73.430000000000007</v>
      </c>
      <c r="O2705" s="6">
        <v>72.239998</v>
      </c>
      <c r="P2705" s="6">
        <v>72.339995999999999</v>
      </c>
      <c r="Q2705" s="6">
        <v>70.993117999999996</v>
      </c>
      <c r="R2705" s="58">
        <v>1197200</v>
      </c>
    </row>
    <row r="2706" spans="12:18" x14ac:dyDescent="0.25">
      <c r="L2706" s="26">
        <v>43368</v>
      </c>
      <c r="M2706" s="6">
        <v>72.459998999999996</v>
      </c>
      <c r="N2706" s="6">
        <v>72.589995999999999</v>
      </c>
      <c r="O2706" s="6">
        <v>71.819999999999993</v>
      </c>
      <c r="P2706" s="6">
        <v>72.099997999999999</v>
      </c>
      <c r="Q2706" s="6">
        <v>70.757591000000005</v>
      </c>
      <c r="R2706" s="58">
        <v>999400</v>
      </c>
    </row>
    <row r="2707" spans="12:18" x14ac:dyDescent="0.25">
      <c r="L2707" s="26">
        <v>43369</v>
      </c>
      <c r="M2707" s="6">
        <v>72.25</v>
      </c>
      <c r="N2707" s="6">
        <v>72.839995999999999</v>
      </c>
      <c r="O2707" s="6">
        <v>71.870002999999997</v>
      </c>
      <c r="P2707" s="6">
        <v>71.910004000000001</v>
      </c>
      <c r="Q2707" s="6">
        <v>70.571128999999999</v>
      </c>
      <c r="R2707" s="58">
        <v>1306000</v>
      </c>
    </row>
    <row r="2708" spans="12:18" x14ac:dyDescent="0.25">
      <c r="L2708" s="26">
        <v>43370</v>
      </c>
      <c r="M2708" s="6">
        <v>71.269997000000004</v>
      </c>
      <c r="N2708" s="6">
        <v>71.540001000000004</v>
      </c>
      <c r="O2708" s="6">
        <v>69.5</v>
      </c>
      <c r="P2708" s="6">
        <v>70.010002</v>
      </c>
      <c r="Q2708" s="6">
        <v>68.706496999999999</v>
      </c>
      <c r="R2708" s="58">
        <v>2174800</v>
      </c>
    </row>
    <row r="2709" spans="12:18" x14ac:dyDescent="0.25">
      <c r="L2709" s="26">
        <v>43371</v>
      </c>
      <c r="M2709" s="6">
        <v>70.150002000000001</v>
      </c>
      <c r="N2709" s="6">
        <v>70.760002</v>
      </c>
      <c r="O2709" s="6">
        <v>69.910004000000001</v>
      </c>
      <c r="P2709" s="6">
        <v>70.019997000000004</v>
      </c>
      <c r="Q2709" s="6">
        <v>68.716316000000006</v>
      </c>
      <c r="R2709" s="58">
        <v>2091800</v>
      </c>
    </row>
    <row r="2710" spans="12:18" x14ac:dyDescent="0.25">
      <c r="L2710" s="26">
        <v>43374</v>
      </c>
      <c r="M2710" s="6">
        <v>70.069999999999993</v>
      </c>
      <c r="N2710" s="6">
        <v>70.370002999999997</v>
      </c>
      <c r="O2710" s="6">
        <v>69.690002000000007</v>
      </c>
      <c r="P2710" s="6">
        <v>69.889999000000003</v>
      </c>
      <c r="Q2710" s="6">
        <v>68.588729999999998</v>
      </c>
      <c r="R2710" s="58">
        <v>1484600</v>
      </c>
    </row>
    <row r="2711" spans="12:18" x14ac:dyDescent="0.25">
      <c r="L2711" s="26">
        <v>43375</v>
      </c>
      <c r="M2711" s="6">
        <v>70.120002999999997</v>
      </c>
      <c r="N2711" s="6">
        <v>71.190002000000007</v>
      </c>
      <c r="O2711" s="6">
        <v>70.019997000000004</v>
      </c>
      <c r="P2711" s="6">
        <v>70.419998000000007</v>
      </c>
      <c r="Q2711" s="6">
        <v>69.108863999999997</v>
      </c>
      <c r="R2711" s="58">
        <v>1461000</v>
      </c>
    </row>
    <row r="2712" spans="12:18" x14ac:dyDescent="0.25">
      <c r="L2712" s="26">
        <v>43376</v>
      </c>
      <c r="M2712" s="6">
        <v>70.830001999999993</v>
      </c>
      <c r="N2712" s="6">
        <v>71.169998000000007</v>
      </c>
      <c r="O2712" s="6">
        <v>68.5</v>
      </c>
      <c r="P2712" s="6">
        <v>68.669998000000007</v>
      </c>
      <c r="Q2712" s="6">
        <v>67.391448999999994</v>
      </c>
      <c r="R2712" s="58">
        <v>2774400</v>
      </c>
    </row>
    <row r="2713" spans="12:18" x14ac:dyDescent="0.25">
      <c r="L2713" s="26">
        <v>43377</v>
      </c>
      <c r="M2713" s="6">
        <v>67.949996999999996</v>
      </c>
      <c r="N2713" s="6">
        <v>69.290001000000004</v>
      </c>
      <c r="O2713" s="6">
        <v>66.739998</v>
      </c>
      <c r="P2713" s="6">
        <v>69.139999000000003</v>
      </c>
      <c r="Q2713" s="6">
        <v>67.852699000000001</v>
      </c>
      <c r="R2713" s="58">
        <v>2204700</v>
      </c>
    </row>
    <row r="2714" spans="12:18" x14ac:dyDescent="0.25">
      <c r="L2714" s="26">
        <v>43378</v>
      </c>
      <c r="M2714" s="6">
        <v>69</v>
      </c>
      <c r="N2714" s="6">
        <v>69.699996999999996</v>
      </c>
      <c r="O2714" s="6">
        <v>69</v>
      </c>
      <c r="P2714" s="6">
        <v>69.379997000000003</v>
      </c>
      <c r="Q2714" s="6">
        <v>68.088226000000006</v>
      </c>
      <c r="R2714" s="58">
        <v>1278600</v>
      </c>
    </row>
    <row r="2715" spans="12:18" x14ac:dyDescent="0.25">
      <c r="L2715" s="26">
        <v>43381</v>
      </c>
      <c r="M2715" s="6">
        <v>69.559997999999993</v>
      </c>
      <c r="N2715" s="6">
        <v>70.550003000000004</v>
      </c>
      <c r="O2715" s="6">
        <v>69.559997999999993</v>
      </c>
      <c r="P2715" s="6">
        <v>70.260002</v>
      </c>
      <c r="Q2715" s="6">
        <v>68.951851000000005</v>
      </c>
      <c r="R2715" s="58">
        <v>1853100</v>
      </c>
    </row>
    <row r="2716" spans="12:18" x14ac:dyDescent="0.25">
      <c r="L2716" s="26">
        <v>43382</v>
      </c>
      <c r="M2716" s="6">
        <v>70.180000000000007</v>
      </c>
      <c r="N2716" s="6">
        <v>70.330001999999993</v>
      </c>
      <c r="O2716" s="6">
        <v>68.839995999999999</v>
      </c>
      <c r="P2716" s="6">
        <v>68.989998</v>
      </c>
      <c r="Q2716" s="6">
        <v>67.705498000000006</v>
      </c>
      <c r="R2716" s="58">
        <v>1489000</v>
      </c>
    </row>
    <row r="2717" spans="12:18" x14ac:dyDescent="0.25">
      <c r="L2717" s="26">
        <v>43383</v>
      </c>
      <c r="M2717" s="6">
        <v>69.199996999999996</v>
      </c>
      <c r="N2717" s="6">
        <v>70.400002000000001</v>
      </c>
      <c r="O2717" s="6">
        <v>68.720000999999996</v>
      </c>
      <c r="P2717" s="6">
        <v>68.730002999999996</v>
      </c>
      <c r="Q2717" s="6">
        <v>67.450333000000001</v>
      </c>
      <c r="R2717" s="58">
        <v>2524000</v>
      </c>
    </row>
    <row r="2718" spans="12:18" x14ac:dyDescent="0.25">
      <c r="L2718" s="26">
        <v>43384</v>
      </c>
      <c r="M2718" s="6">
        <v>68.910004000000001</v>
      </c>
      <c r="N2718" s="6">
        <v>69.349997999999999</v>
      </c>
      <c r="O2718" s="6">
        <v>67.519997000000004</v>
      </c>
      <c r="P2718" s="6">
        <v>67.620002999999997</v>
      </c>
      <c r="Q2718" s="6">
        <v>66.361007999999998</v>
      </c>
      <c r="R2718" s="58">
        <v>3101700</v>
      </c>
    </row>
    <row r="2719" spans="12:18" x14ac:dyDescent="0.25">
      <c r="L2719" s="26">
        <v>43385</v>
      </c>
      <c r="M2719" s="6">
        <v>67.919998000000007</v>
      </c>
      <c r="N2719" s="6">
        <v>68.230002999999996</v>
      </c>
      <c r="O2719" s="6">
        <v>67.489998</v>
      </c>
      <c r="P2719" s="6">
        <v>67.949996999999996</v>
      </c>
      <c r="Q2719" s="6">
        <v>66.68486</v>
      </c>
      <c r="R2719" s="58">
        <v>1648600</v>
      </c>
    </row>
    <row r="2720" spans="12:18" x14ac:dyDescent="0.25">
      <c r="L2720" s="26">
        <v>43388</v>
      </c>
      <c r="M2720" s="6">
        <v>68.010002</v>
      </c>
      <c r="N2720" s="6">
        <v>69.25</v>
      </c>
      <c r="O2720" s="6">
        <v>68.010002</v>
      </c>
      <c r="P2720" s="6">
        <v>68.669998000000007</v>
      </c>
      <c r="Q2720" s="6">
        <v>67.391448999999994</v>
      </c>
      <c r="R2720" s="58">
        <v>1697900</v>
      </c>
    </row>
    <row r="2721" spans="12:18" x14ac:dyDescent="0.25">
      <c r="L2721" s="26">
        <v>43389</v>
      </c>
      <c r="M2721" s="6">
        <v>68.989998</v>
      </c>
      <c r="N2721" s="6">
        <v>70.269997000000004</v>
      </c>
      <c r="O2721" s="6">
        <v>68.680000000000007</v>
      </c>
      <c r="P2721" s="6">
        <v>69.849997999999999</v>
      </c>
      <c r="Q2721" s="6">
        <v>68.549476999999996</v>
      </c>
      <c r="R2721" s="58">
        <v>1703900</v>
      </c>
    </row>
    <row r="2722" spans="12:18" x14ac:dyDescent="0.25">
      <c r="L2722" s="26">
        <v>43390</v>
      </c>
      <c r="M2722" s="6">
        <v>69.580001999999993</v>
      </c>
      <c r="N2722" s="6">
        <v>70.209998999999996</v>
      </c>
      <c r="O2722" s="6">
        <v>69.069999999999993</v>
      </c>
      <c r="P2722" s="6">
        <v>69.650002000000001</v>
      </c>
      <c r="Q2722" s="6">
        <v>68.353202999999993</v>
      </c>
      <c r="R2722" s="58">
        <v>1369400</v>
      </c>
    </row>
    <row r="2723" spans="12:18" x14ac:dyDescent="0.25">
      <c r="L2723" s="26">
        <v>43391</v>
      </c>
      <c r="M2723" s="6">
        <v>69.819999999999993</v>
      </c>
      <c r="N2723" s="6">
        <v>70.519997000000004</v>
      </c>
      <c r="O2723" s="6">
        <v>69.220000999999996</v>
      </c>
      <c r="P2723" s="6">
        <v>69.559997999999993</v>
      </c>
      <c r="Q2723" s="6">
        <v>68.264885000000007</v>
      </c>
      <c r="R2723" s="58">
        <v>1759400</v>
      </c>
    </row>
    <row r="2724" spans="12:18" x14ac:dyDescent="0.25">
      <c r="L2724" s="26">
        <v>43392</v>
      </c>
      <c r="M2724" s="6">
        <v>70</v>
      </c>
      <c r="N2724" s="6">
        <v>71.360000999999997</v>
      </c>
      <c r="O2724" s="6">
        <v>70</v>
      </c>
      <c r="P2724" s="6">
        <v>71.169998000000007</v>
      </c>
      <c r="Q2724" s="6">
        <v>69.844909999999999</v>
      </c>
      <c r="R2724" s="58">
        <v>2648700</v>
      </c>
    </row>
    <row r="2725" spans="12:18" x14ac:dyDescent="0.25">
      <c r="L2725" s="26">
        <v>43395</v>
      </c>
      <c r="M2725" s="6">
        <v>71.529999000000004</v>
      </c>
      <c r="N2725" s="6">
        <v>71.949996999999996</v>
      </c>
      <c r="O2725" s="6">
        <v>70.379997000000003</v>
      </c>
      <c r="P2725" s="6">
        <v>70.589995999999999</v>
      </c>
      <c r="Q2725" s="6">
        <v>69.275695999999996</v>
      </c>
      <c r="R2725" s="58">
        <v>1729600</v>
      </c>
    </row>
    <row r="2726" spans="12:18" x14ac:dyDescent="0.25">
      <c r="L2726" s="26">
        <v>43396</v>
      </c>
      <c r="M2726" s="6">
        <v>70.309997999999993</v>
      </c>
      <c r="N2726" s="6">
        <v>71.519997000000004</v>
      </c>
      <c r="O2726" s="6">
        <v>69.699996999999996</v>
      </c>
      <c r="P2726" s="6">
        <v>71.180000000000007</v>
      </c>
      <c r="Q2726" s="6">
        <v>69.854720999999998</v>
      </c>
      <c r="R2726" s="58">
        <v>2507400</v>
      </c>
    </row>
    <row r="2727" spans="12:18" x14ac:dyDescent="0.25">
      <c r="L2727" s="26">
        <v>43397</v>
      </c>
      <c r="M2727" s="6">
        <v>71.349997999999999</v>
      </c>
      <c r="N2727" s="6">
        <v>72.980002999999996</v>
      </c>
      <c r="O2727" s="6">
        <v>71.330001999999993</v>
      </c>
      <c r="P2727" s="6">
        <v>71.449996999999996</v>
      </c>
      <c r="Q2727" s="6">
        <v>70.119690000000006</v>
      </c>
      <c r="R2727" s="58">
        <v>3225500</v>
      </c>
    </row>
    <row r="2728" spans="12:18" x14ac:dyDescent="0.25">
      <c r="L2728" s="26">
        <v>43398</v>
      </c>
      <c r="M2728" s="6">
        <v>71.279999000000004</v>
      </c>
      <c r="N2728" s="6">
        <v>71.349997999999999</v>
      </c>
      <c r="O2728" s="6">
        <v>70.269997000000004</v>
      </c>
      <c r="P2728" s="6">
        <v>70.550003000000004</v>
      </c>
      <c r="Q2728" s="6">
        <v>69.236450000000005</v>
      </c>
      <c r="R2728" s="58">
        <v>2315200</v>
      </c>
    </row>
    <row r="2729" spans="12:18" x14ac:dyDescent="0.25">
      <c r="L2729" s="26">
        <v>43399</v>
      </c>
      <c r="M2729" s="6">
        <v>70.360000999999997</v>
      </c>
      <c r="N2729" s="6">
        <v>70.760002</v>
      </c>
      <c r="O2729" s="6">
        <v>68.730002999999996</v>
      </c>
      <c r="P2729" s="6">
        <v>69.160004000000001</v>
      </c>
      <c r="Q2729" s="6">
        <v>67.872330000000005</v>
      </c>
      <c r="R2729" s="58">
        <v>1688100</v>
      </c>
    </row>
    <row r="2730" spans="12:18" x14ac:dyDescent="0.25">
      <c r="L2730" s="26">
        <v>43402</v>
      </c>
      <c r="M2730" s="6">
        <v>69.440002000000007</v>
      </c>
      <c r="N2730" s="6">
        <v>71.150002000000001</v>
      </c>
      <c r="O2730" s="6">
        <v>69.440002000000007</v>
      </c>
      <c r="P2730" s="6">
        <v>70.290001000000004</v>
      </c>
      <c r="Q2730" s="6">
        <v>68.981292999999994</v>
      </c>
      <c r="R2730" s="58">
        <v>1553000</v>
      </c>
    </row>
    <row r="2731" spans="12:18" x14ac:dyDescent="0.25">
      <c r="L2731" s="26">
        <v>43403</v>
      </c>
      <c r="M2731" s="6">
        <v>70.879997000000003</v>
      </c>
      <c r="N2731" s="6">
        <v>72.019997000000004</v>
      </c>
      <c r="O2731" s="6">
        <v>70.440002000000007</v>
      </c>
      <c r="P2731" s="6">
        <v>71.860000999999997</v>
      </c>
      <c r="Q2731" s="6">
        <v>70.522057000000004</v>
      </c>
      <c r="R2731" s="58">
        <v>2010200</v>
      </c>
    </row>
    <row r="2732" spans="12:18" x14ac:dyDescent="0.25">
      <c r="L2732" s="26">
        <v>43404</v>
      </c>
      <c r="M2732" s="6">
        <v>65.669998000000007</v>
      </c>
      <c r="N2732" s="6">
        <v>67.459998999999996</v>
      </c>
      <c r="O2732" s="6">
        <v>64.949996999999996</v>
      </c>
      <c r="P2732" s="6">
        <v>65.480002999999996</v>
      </c>
      <c r="Q2732" s="6">
        <v>64.260848999999993</v>
      </c>
      <c r="R2732" s="58">
        <v>7930700</v>
      </c>
    </row>
    <row r="2733" spans="12:18" x14ac:dyDescent="0.25">
      <c r="L2733" s="26">
        <v>43405</v>
      </c>
      <c r="M2733" s="6">
        <v>65.110000999999997</v>
      </c>
      <c r="N2733" s="6">
        <v>65.110000999999997</v>
      </c>
      <c r="O2733" s="6">
        <v>63.52</v>
      </c>
      <c r="P2733" s="6">
        <v>64</v>
      </c>
      <c r="Q2733" s="6">
        <v>62.808399000000001</v>
      </c>
      <c r="R2733" s="58">
        <v>6415800</v>
      </c>
    </row>
    <row r="2734" spans="12:18" x14ac:dyDescent="0.25">
      <c r="L2734" s="26">
        <v>43406</v>
      </c>
      <c r="M2734" s="6">
        <v>63.77</v>
      </c>
      <c r="N2734" s="6">
        <v>64.230002999999996</v>
      </c>
      <c r="O2734" s="6">
        <v>62.549999</v>
      </c>
      <c r="P2734" s="6">
        <v>63</v>
      </c>
      <c r="Q2734" s="6">
        <v>61.827022999999997</v>
      </c>
      <c r="R2734" s="58">
        <v>4802800</v>
      </c>
    </row>
    <row r="2735" spans="12:18" x14ac:dyDescent="0.25">
      <c r="L2735" s="26">
        <v>43409</v>
      </c>
      <c r="M2735" s="6">
        <v>63.349997999999999</v>
      </c>
      <c r="N2735" s="6">
        <v>64.129997000000003</v>
      </c>
      <c r="O2735" s="6">
        <v>62.919998</v>
      </c>
      <c r="P2735" s="6">
        <v>63.150002000000001</v>
      </c>
      <c r="Q2735" s="6">
        <v>61.974227999999997</v>
      </c>
      <c r="R2735" s="58">
        <v>3723700</v>
      </c>
    </row>
    <row r="2736" spans="12:18" x14ac:dyDescent="0.25">
      <c r="L2736" s="26">
        <v>43410</v>
      </c>
      <c r="M2736" s="6">
        <v>63.290000999999997</v>
      </c>
      <c r="N2736" s="6">
        <v>64.419998000000007</v>
      </c>
      <c r="O2736" s="6">
        <v>62.82</v>
      </c>
      <c r="P2736" s="6">
        <v>64.389999000000003</v>
      </c>
      <c r="Q2736" s="6">
        <v>63.191139</v>
      </c>
      <c r="R2736" s="58">
        <v>5683800</v>
      </c>
    </row>
    <row r="2737" spans="12:18" x14ac:dyDescent="0.25">
      <c r="L2737" s="26">
        <v>43411</v>
      </c>
      <c r="M2737" s="6">
        <v>64.75</v>
      </c>
      <c r="N2737" s="6">
        <v>64.900002000000001</v>
      </c>
      <c r="O2737" s="6">
        <v>63.23</v>
      </c>
      <c r="P2737" s="6">
        <v>64.269997000000004</v>
      </c>
      <c r="Q2737" s="6">
        <v>63.073371999999999</v>
      </c>
      <c r="R2737" s="58">
        <v>2417200</v>
      </c>
    </row>
    <row r="2738" spans="12:18" x14ac:dyDescent="0.25">
      <c r="L2738" s="26">
        <v>43412</v>
      </c>
      <c r="M2738" s="6">
        <v>64.019997000000004</v>
      </c>
      <c r="N2738" s="6">
        <v>65.230002999999996</v>
      </c>
      <c r="O2738" s="6">
        <v>64</v>
      </c>
      <c r="P2738" s="6">
        <v>65.180000000000007</v>
      </c>
      <c r="Q2738" s="6">
        <v>63.966434</v>
      </c>
      <c r="R2738" s="58">
        <v>3821800</v>
      </c>
    </row>
    <row r="2739" spans="12:18" x14ac:dyDescent="0.25">
      <c r="L2739" s="26">
        <v>43413</v>
      </c>
      <c r="M2739" s="6">
        <v>65.089995999999999</v>
      </c>
      <c r="N2739" s="6">
        <v>65.660004000000001</v>
      </c>
      <c r="O2739" s="6">
        <v>64.459998999999996</v>
      </c>
      <c r="P2739" s="6">
        <v>65.010002</v>
      </c>
      <c r="Q2739" s="6">
        <v>63.799594999999997</v>
      </c>
      <c r="R2739" s="58">
        <v>2305600</v>
      </c>
    </row>
    <row r="2740" spans="12:18" x14ac:dyDescent="0.25">
      <c r="L2740" s="26">
        <v>43416</v>
      </c>
      <c r="M2740" s="6">
        <v>64.940002000000007</v>
      </c>
      <c r="N2740" s="6">
        <v>65.489998</v>
      </c>
      <c r="O2740" s="6">
        <v>64.110000999999997</v>
      </c>
      <c r="P2740" s="6">
        <v>64.300003000000004</v>
      </c>
      <c r="Q2740" s="6">
        <v>63.102817999999999</v>
      </c>
      <c r="R2740" s="58">
        <v>2247800</v>
      </c>
    </row>
    <row r="2741" spans="12:18" x14ac:dyDescent="0.25">
      <c r="L2741" s="26">
        <v>43417</v>
      </c>
      <c r="M2741" s="6">
        <v>64.389999000000003</v>
      </c>
      <c r="N2741" s="6">
        <v>64.620002999999997</v>
      </c>
      <c r="O2741" s="6">
        <v>62.599997999999999</v>
      </c>
      <c r="P2741" s="6">
        <v>63.419998</v>
      </c>
      <c r="Q2741" s="6">
        <v>62.239196999999997</v>
      </c>
      <c r="R2741" s="58">
        <v>3491600</v>
      </c>
    </row>
    <row r="2742" spans="12:18" x14ac:dyDescent="0.25">
      <c r="L2742" s="26">
        <v>43418</v>
      </c>
      <c r="M2742" s="6">
        <v>62.32</v>
      </c>
      <c r="N2742" s="6">
        <v>62.970001000000003</v>
      </c>
      <c r="O2742" s="6">
        <v>61.799999</v>
      </c>
      <c r="P2742" s="6">
        <v>62.459999000000003</v>
      </c>
      <c r="Q2742" s="6">
        <v>61.297072999999997</v>
      </c>
      <c r="R2742" s="58">
        <v>4010400</v>
      </c>
    </row>
    <row r="2743" spans="12:18" x14ac:dyDescent="0.25">
      <c r="L2743" s="26">
        <v>43419</v>
      </c>
      <c r="M2743" s="6">
        <v>62.09</v>
      </c>
      <c r="N2743" s="6">
        <v>62.540000999999997</v>
      </c>
      <c r="O2743" s="6">
        <v>61.349997999999999</v>
      </c>
      <c r="P2743" s="6">
        <v>62.52</v>
      </c>
      <c r="Q2743" s="6">
        <v>61.355956999999997</v>
      </c>
      <c r="R2743" s="58">
        <v>2572000</v>
      </c>
    </row>
    <row r="2744" spans="12:18" x14ac:dyDescent="0.25">
      <c r="L2744" s="26">
        <v>43420</v>
      </c>
      <c r="M2744" s="6">
        <v>62.509998000000003</v>
      </c>
      <c r="N2744" s="6">
        <v>62.75</v>
      </c>
      <c r="O2744" s="6">
        <v>61.509998000000003</v>
      </c>
      <c r="P2744" s="6">
        <v>61.73</v>
      </c>
      <c r="Q2744" s="6">
        <v>60.580666000000001</v>
      </c>
      <c r="R2744" s="58">
        <v>3385700</v>
      </c>
    </row>
    <row r="2745" spans="12:18" x14ac:dyDescent="0.25">
      <c r="L2745" s="26">
        <v>43423</v>
      </c>
      <c r="M2745" s="6">
        <v>61.700001</v>
      </c>
      <c r="N2745" s="6">
        <v>62.279998999999997</v>
      </c>
      <c r="O2745" s="6">
        <v>60.880001</v>
      </c>
      <c r="P2745" s="6">
        <v>61.689999</v>
      </c>
      <c r="Q2745" s="6">
        <v>60.541409000000002</v>
      </c>
      <c r="R2745" s="58">
        <v>4337900</v>
      </c>
    </row>
    <row r="2746" spans="12:18" x14ac:dyDescent="0.25">
      <c r="L2746" s="26">
        <v>43424</v>
      </c>
      <c r="M2746" s="6">
        <v>62.299999</v>
      </c>
      <c r="N2746" s="6">
        <v>62.889999000000003</v>
      </c>
      <c r="O2746" s="6">
        <v>61.549999</v>
      </c>
      <c r="P2746" s="6">
        <v>61.709999000000003</v>
      </c>
      <c r="Q2746" s="6">
        <v>60.561034999999997</v>
      </c>
      <c r="R2746" s="58">
        <v>4210200</v>
      </c>
    </row>
    <row r="2747" spans="12:18" x14ac:dyDescent="0.25">
      <c r="L2747" s="26">
        <v>43425</v>
      </c>
      <c r="M2747" s="6">
        <v>61.709999000000003</v>
      </c>
      <c r="N2747" s="6">
        <v>63.25</v>
      </c>
      <c r="O2747" s="6">
        <v>61.580002</v>
      </c>
      <c r="P2747" s="6">
        <v>61.889999000000003</v>
      </c>
      <c r="Q2747" s="6">
        <v>60.737685999999997</v>
      </c>
      <c r="R2747" s="58">
        <v>3976900</v>
      </c>
    </row>
    <row r="2748" spans="12:18" x14ac:dyDescent="0.25">
      <c r="L2748" s="26">
        <v>43427</v>
      </c>
      <c r="M2748" s="6">
        <v>61.650002000000001</v>
      </c>
      <c r="N2748" s="6">
        <v>61.880001</v>
      </c>
      <c r="O2748" s="6">
        <v>61.16</v>
      </c>
      <c r="P2748" s="6">
        <v>61.740001999999997</v>
      </c>
      <c r="Q2748" s="6">
        <v>60.590480999999997</v>
      </c>
      <c r="R2748" s="58">
        <v>959400</v>
      </c>
    </row>
    <row r="2749" spans="12:18" x14ac:dyDescent="0.25">
      <c r="L2749" s="26">
        <v>43430</v>
      </c>
      <c r="M2749" s="6">
        <v>61.68</v>
      </c>
      <c r="N2749" s="6">
        <v>61.959999000000003</v>
      </c>
      <c r="O2749" s="6">
        <v>61.200001</v>
      </c>
      <c r="P2749" s="6">
        <v>61.5</v>
      </c>
      <c r="Q2749" s="6">
        <v>60.354950000000002</v>
      </c>
      <c r="R2749" s="58">
        <v>3338900</v>
      </c>
    </row>
    <row r="2750" spans="12:18" x14ac:dyDescent="0.25">
      <c r="L2750" s="26">
        <v>43431</v>
      </c>
      <c r="M2750" s="6">
        <v>61.540000999999997</v>
      </c>
      <c r="N2750" s="6">
        <v>62.48</v>
      </c>
      <c r="O2750" s="6">
        <v>61.099997999999999</v>
      </c>
      <c r="P2750" s="6">
        <v>62.25</v>
      </c>
      <c r="Q2750" s="6">
        <v>61.090983999999999</v>
      </c>
      <c r="R2750" s="58">
        <v>3075200</v>
      </c>
    </row>
    <row r="2751" spans="12:18" x14ac:dyDescent="0.25">
      <c r="L2751" s="26">
        <v>43432</v>
      </c>
      <c r="M2751" s="6">
        <v>61.639999000000003</v>
      </c>
      <c r="N2751" s="6">
        <v>62.66</v>
      </c>
      <c r="O2751" s="6">
        <v>61.360000999999997</v>
      </c>
      <c r="P2751" s="6">
        <v>62.599997999999999</v>
      </c>
      <c r="Q2751" s="6">
        <v>61.434466999999998</v>
      </c>
      <c r="R2751" s="58">
        <v>2357800</v>
      </c>
    </row>
    <row r="2752" spans="12:18" x14ac:dyDescent="0.25">
      <c r="L2752" s="26">
        <v>43433</v>
      </c>
      <c r="M2752" s="6">
        <v>62.57</v>
      </c>
      <c r="N2752" s="6">
        <v>63.650002000000001</v>
      </c>
      <c r="O2752" s="6">
        <v>62.529998999999997</v>
      </c>
      <c r="P2752" s="6">
        <v>63.25</v>
      </c>
      <c r="Q2752" s="6">
        <v>62.072364999999998</v>
      </c>
      <c r="R2752" s="58">
        <v>2687500</v>
      </c>
    </row>
    <row r="2753" spans="12:18" x14ac:dyDescent="0.25">
      <c r="L2753" s="26">
        <v>43434</v>
      </c>
      <c r="M2753" s="6">
        <v>62.709999000000003</v>
      </c>
      <c r="N2753" s="6">
        <v>63.689999</v>
      </c>
      <c r="O2753" s="6">
        <v>62.68</v>
      </c>
      <c r="P2753" s="6">
        <v>63.650002000000001</v>
      </c>
      <c r="Q2753" s="6">
        <v>63.022906999999996</v>
      </c>
      <c r="R2753" s="58">
        <v>3138300</v>
      </c>
    </row>
    <row r="2754" spans="12:18" x14ac:dyDescent="0.25">
      <c r="L2754" s="26">
        <v>43437</v>
      </c>
      <c r="M2754" s="6">
        <v>63.610000999999997</v>
      </c>
      <c r="N2754" s="6">
        <v>63.610000999999997</v>
      </c>
      <c r="O2754" s="6">
        <v>62.650002000000001</v>
      </c>
      <c r="P2754" s="6">
        <v>63.119999</v>
      </c>
      <c r="Q2754" s="6">
        <v>62.498126999999997</v>
      </c>
      <c r="R2754" s="58">
        <v>2937800</v>
      </c>
    </row>
    <row r="2755" spans="12:18" x14ac:dyDescent="0.25">
      <c r="L2755" s="26">
        <v>43438</v>
      </c>
      <c r="M2755" s="6">
        <v>63.439999</v>
      </c>
      <c r="N2755" s="6">
        <v>63.919998</v>
      </c>
      <c r="O2755" s="6">
        <v>61.540000999999997</v>
      </c>
      <c r="P2755" s="6">
        <v>61.740001999999997</v>
      </c>
      <c r="Q2755" s="6">
        <v>61.131725000000003</v>
      </c>
      <c r="R2755" s="58">
        <v>2761200</v>
      </c>
    </row>
    <row r="2756" spans="12:18" x14ac:dyDescent="0.25">
      <c r="L2756" s="26">
        <v>43440</v>
      </c>
      <c r="M2756" s="6">
        <v>61.75</v>
      </c>
      <c r="N2756" s="6">
        <v>62</v>
      </c>
      <c r="O2756" s="6">
        <v>60.48</v>
      </c>
      <c r="P2756" s="6">
        <v>61.27</v>
      </c>
      <c r="Q2756" s="6">
        <v>60.666355000000003</v>
      </c>
      <c r="R2756" s="58">
        <v>3679300</v>
      </c>
    </row>
    <row r="2757" spans="12:18" x14ac:dyDescent="0.25">
      <c r="L2757" s="26">
        <v>43441</v>
      </c>
      <c r="M2757" s="6">
        <v>61.25</v>
      </c>
      <c r="N2757" s="6">
        <v>61.25</v>
      </c>
      <c r="O2757" s="6">
        <v>60.200001</v>
      </c>
      <c r="P2757" s="6">
        <v>60.84</v>
      </c>
      <c r="Q2757" s="6">
        <v>60.240589</v>
      </c>
      <c r="R2757" s="58">
        <v>2710600</v>
      </c>
    </row>
    <row r="2758" spans="12:18" x14ac:dyDescent="0.25">
      <c r="L2758" s="26">
        <v>43444</v>
      </c>
      <c r="M2758" s="6">
        <v>60.950001</v>
      </c>
      <c r="N2758" s="6">
        <v>61.169998</v>
      </c>
      <c r="O2758" s="6">
        <v>59.509998000000003</v>
      </c>
      <c r="P2758" s="6">
        <v>60.299999</v>
      </c>
      <c r="Q2758" s="6">
        <v>59.705910000000003</v>
      </c>
      <c r="R2758" s="58">
        <v>3343300</v>
      </c>
    </row>
    <row r="2759" spans="12:18" x14ac:dyDescent="0.25">
      <c r="L2759" s="26">
        <v>43445</v>
      </c>
      <c r="M2759" s="6">
        <v>60.529998999999997</v>
      </c>
      <c r="N2759" s="6">
        <v>61.560001</v>
      </c>
      <c r="O2759" s="6">
        <v>60.490001999999997</v>
      </c>
      <c r="P2759" s="6">
        <v>60.869999</v>
      </c>
      <c r="Q2759" s="6">
        <v>60.270294</v>
      </c>
      <c r="R2759" s="58">
        <v>1843700</v>
      </c>
    </row>
    <row r="2760" spans="12:18" x14ac:dyDescent="0.25">
      <c r="L2760" s="26">
        <v>43446</v>
      </c>
      <c r="M2760" s="6">
        <v>61.25</v>
      </c>
      <c r="N2760" s="6">
        <v>61.419998</v>
      </c>
      <c r="O2760" s="6">
        <v>60.709999000000003</v>
      </c>
      <c r="P2760" s="6">
        <v>61</v>
      </c>
      <c r="Q2760" s="6">
        <v>60.399014000000001</v>
      </c>
      <c r="R2760" s="58">
        <v>2721400</v>
      </c>
    </row>
    <row r="2761" spans="12:18" x14ac:dyDescent="0.25">
      <c r="L2761" s="26">
        <v>43447</v>
      </c>
      <c r="M2761" s="6">
        <v>61.169998</v>
      </c>
      <c r="N2761" s="6">
        <v>61.360000999999997</v>
      </c>
      <c r="O2761" s="6">
        <v>60.66</v>
      </c>
      <c r="P2761" s="6">
        <v>61.049999</v>
      </c>
      <c r="Q2761" s="6">
        <v>60.448521</v>
      </c>
      <c r="R2761" s="58">
        <v>1839600</v>
      </c>
    </row>
    <row r="2762" spans="12:18" x14ac:dyDescent="0.25">
      <c r="L2762" s="26">
        <v>43448</v>
      </c>
      <c r="M2762" s="6">
        <v>60.82</v>
      </c>
      <c r="N2762" s="6">
        <v>61.189999</v>
      </c>
      <c r="O2762" s="6">
        <v>60.049999</v>
      </c>
      <c r="P2762" s="6">
        <v>60.360000999999997</v>
      </c>
      <c r="Q2762" s="6">
        <v>59.765320000000003</v>
      </c>
      <c r="R2762" s="58">
        <v>2755900</v>
      </c>
    </row>
    <row r="2763" spans="12:18" x14ac:dyDescent="0.25">
      <c r="L2763" s="26">
        <v>43451</v>
      </c>
      <c r="M2763" s="6">
        <v>60.200001</v>
      </c>
      <c r="N2763" s="6">
        <v>60.549999</v>
      </c>
      <c r="O2763" s="6">
        <v>58.75</v>
      </c>
      <c r="P2763" s="6">
        <v>59.23</v>
      </c>
      <c r="Q2763" s="6">
        <v>58.646450000000002</v>
      </c>
      <c r="R2763" s="58">
        <v>2377800</v>
      </c>
    </row>
    <row r="2764" spans="12:18" x14ac:dyDescent="0.25">
      <c r="L2764" s="26">
        <v>43452</v>
      </c>
      <c r="M2764" s="6">
        <v>59.16</v>
      </c>
      <c r="N2764" s="6">
        <v>59.77</v>
      </c>
      <c r="O2764" s="6">
        <v>58.48</v>
      </c>
      <c r="P2764" s="6">
        <v>58.849997999999999</v>
      </c>
      <c r="Q2764" s="6">
        <v>58.270195000000001</v>
      </c>
      <c r="R2764" s="58">
        <v>2700800</v>
      </c>
    </row>
    <row r="2765" spans="12:18" x14ac:dyDescent="0.25">
      <c r="L2765" s="26">
        <v>43453</v>
      </c>
      <c r="M2765" s="6">
        <v>59.66</v>
      </c>
      <c r="N2765" s="6">
        <v>60.48</v>
      </c>
      <c r="O2765" s="6">
        <v>58.48</v>
      </c>
      <c r="P2765" s="6">
        <v>58.689999</v>
      </c>
      <c r="Q2765" s="6">
        <v>58.111770999999997</v>
      </c>
      <c r="R2765" s="58">
        <v>3415000</v>
      </c>
    </row>
    <row r="2766" spans="12:18" x14ac:dyDescent="0.25">
      <c r="L2766" s="26">
        <v>43454</v>
      </c>
      <c r="M2766" s="6">
        <v>58.48</v>
      </c>
      <c r="N2766" s="6">
        <v>58.619999</v>
      </c>
      <c r="O2766" s="6">
        <v>56.490001999999997</v>
      </c>
      <c r="P2766" s="6">
        <v>57.32</v>
      </c>
      <c r="Q2766" s="6">
        <v>56.755268000000001</v>
      </c>
      <c r="R2766" s="58">
        <v>3289500</v>
      </c>
    </row>
    <row r="2767" spans="12:18" x14ac:dyDescent="0.25">
      <c r="L2767" s="26">
        <v>43455</v>
      </c>
      <c r="M2767" s="6">
        <v>57.77</v>
      </c>
      <c r="N2767" s="6">
        <v>58.950001</v>
      </c>
      <c r="O2767" s="6">
        <v>57.189999</v>
      </c>
      <c r="P2767" s="6">
        <v>57.639999000000003</v>
      </c>
      <c r="Q2767" s="6">
        <v>57.072116999999999</v>
      </c>
      <c r="R2767" s="58">
        <v>5327100</v>
      </c>
    </row>
    <row r="2768" spans="12:18" x14ac:dyDescent="0.25">
      <c r="L2768" s="26">
        <v>43458</v>
      </c>
      <c r="M2768" s="6">
        <v>57.48</v>
      </c>
      <c r="N2768" s="6">
        <v>57.490001999999997</v>
      </c>
      <c r="O2768" s="6">
        <v>55.639999000000003</v>
      </c>
      <c r="P2768" s="6">
        <v>55.82</v>
      </c>
      <c r="Q2768" s="6">
        <v>55.270049999999998</v>
      </c>
      <c r="R2768" s="58">
        <v>1104700</v>
      </c>
    </row>
    <row r="2769" spans="12:18" x14ac:dyDescent="0.25">
      <c r="L2769" s="26">
        <v>43460</v>
      </c>
      <c r="M2769" s="6">
        <v>56.049999</v>
      </c>
      <c r="N2769" s="6">
        <v>57.18</v>
      </c>
      <c r="O2769" s="6">
        <v>55.110000999999997</v>
      </c>
      <c r="P2769" s="6">
        <v>57.150002000000001</v>
      </c>
      <c r="Q2769" s="6">
        <v>56.586948</v>
      </c>
      <c r="R2769" s="58">
        <v>2113800</v>
      </c>
    </row>
    <row r="2770" spans="12:18" x14ac:dyDescent="0.25">
      <c r="L2770" s="26">
        <v>43461</v>
      </c>
      <c r="M2770" s="6">
        <v>56.98</v>
      </c>
      <c r="N2770" s="6">
        <v>57.139999000000003</v>
      </c>
      <c r="O2770" s="6">
        <v>55.560001</v>
      </c>
      <c r="P2770" s="6">
        <v>57.139999000000003</v>
      </c>
      <c r="Q2770" s="6">
        <v>56.577041999999999</v>
      </c>
      <c r="R2770" s="58">
        <v>2483100</v>
      </c>
    </row>
    <row r="2771" spans="12:18" x14ac:dyDescent="0.25">
      <c r="L2771" s="26">
        <v>43462</v>
      </c>
      <c r="M2771" s="6">
        <v>57.32</v>
      </c>
      <c r="N2771" s="6">
        <v>58.029998999999997</v>
      </c>
      <c r="O2771" s="6">
        <v>56.880001</v>
      </c>
      <c r="P2771" s="6">
        <v>57.25</v>
      </c>
      <c r="Q2771" s="6">
        <v>56.685958999999997</v>
      </c>
      <c r="R2771" s="58">
        <v>1685600</v>
      </c>
    </row>
    <row r="2772" spans="12:18" x14ac:dyDescent="0.25">
      <c r="L2772" s="26">
        <v>43465</v>
      </c>
      <c r="M2772" s="6">
        <v>57.189999</v>
      </c>
      <c r="N2772" s="6">
        <v>57.450001</v>
      </c>
      <c r="O2772" s="6">
        <v>56.549999</v>
      </c>
      <c r="P2772" s="6">
        <v>57.009998000000003</v>
      </c>
      <c r="Q2772" s="6">
        <v>56.448321999999997</v>
      </c>
      <c r="R2772" s="58">
        <v>2093000</v>
      </c>
    </row>
  </sheetData>
  <sortState xmlns:xlrd2="http://schemas.microsoft.com/office/spreadsheetml/2017/richdata2" ref="W4:X46">
    <sortCondition ref="W3:W46"/>
  </sortState>
  <mergeCells count="4">
    <mergeCell ref="A1:F1"/>
    <mergeCell ref="A19:H19"/>
    <mergeCell ref="B36:C37"/>
    <mergeCell ref="E36:E37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FBE93-1E81-4305-8887-E8203860D6C4}">
  <sheetPr codeName="Sheet7"/>
  <dimension ref="A1:J131"/>
  <sheetViews>
    <sheetView workbookViewId="0">
      <selection sqref="A1:J131"/>
    </sheetView>
  </sheetViews>
  <sheetFormatPr defaultRowHeight="13.8" outlineLevelRow="1" x14ac:dyDescent="0.25"/>
  <cols>
    <col min="1" max="1" width="24.5" bestFit="1" customWidth="1"/>
    <col min="2" max="3" width="9.59765625" customWidth="1"/>
    <col min="4" max="4" width="5" customWidth="1"/>
    <col min="5" max="6" width="8.796875" customWidth="1"/>
    <col min="7" max="7" width="12.796875" bestFit="1" customWidth="1"/>
    <col min="8" max="9" width="7.3984375" bestFit="1" customWidth="1"/>
    <col min="10" max="10" width="20.69921875" bestFit="1" customWidth="1"/>
  </cols>
  <sheetData>
    <row r="1" spans="1:10" ht="32.85" customHeight="1" x14ac:dyDescent="0.3">
      <c r="A1" s="64" t="s">
        <v>92</v>
      </c>
      <c r="B1" s="64"/>
      <c r="C1" s="64"/>
      <c r="D1" s="64"/>
      <c r="E1" s="64"/>
      <c r="F1" s="64"/>
      <c r="G1" s="64"/>
      <c r="H1" s="64"/>
      <c r="I1" s="64"/>
      <c r="J1" s="64"/>
    </row>
    <row r="2" spans="1:10" x14ac:dyDescent="0.25">
      <c r="A2" s="4"/>
      <c r="B2" s="77" t="s">
        <v>93</v>
      </c>
      <c r="C2" s="77"/>
      <c r="D2" s="4"/>
      <c r="E2" s="77" t="s">
        <v>44</v>
      </c>
      <c r="F2" s="77"/>
      <c r="H2" s="77" t="s">
        <v>45</v>
      </c>
      <c r="I2" s="77"/>
    </row>
    <row r="3" spans="1:10" x14ac:dyDescent="0.25">
      <c r="A3" s="4" t="s">
        <v>6</v>
      </c>
      <c r="B3" s="4" t="s">
        <v>7</v>
      </c>
      <c r="C3" s="4" t="s">
        <v>50</v>
      </c>
      <c r="D3" s="4"/>
      <c r="E3" s="4" t="str">
        <f>B3</f>
        <v>AAPL</v>
      </c>
      <c r="F3" s="4" t="str">
        <f>C3</f>
        <v>Kellogg</v>
      </c>
      <c r="H3" s="4" t="str">
        <f>E3</f>
        <v>AAPL</v>
      </c>
      <c r="I3" s="4" t="str">
        <f>F3</f>
        <v>Kellogg</v>
      </c>
    </row>
    <row r="4" spans="1:10" x14ac:dyDescent="0.25">
      <c r="A4" s="63">
        <v>43435</v>
      </c>
      <c r="B4" s="6">
        <v>157.06637599999999</v>
      </c>
      <c r="C4" s="6">
        <v>56.448321999999997</v>
      </c>
      <c r="E4" s="3">
        <f>LN(B4/B5)</f>
        <v>-0.12060544914787433</v>
      </c>
      <c r="F4" s="3">
        <f>LN(C4/C5)</f>
        <v>-0.10127955443263523</v>
      </c>
      <c r="G4" t="str">
        <f ca="1">"&lt;--"&amp;_xlfn.FORMULATEXT(F4)</f>
        <v>&lt;--=LN(C4/C5)</v>
      </c>
      <c r="H4" s="3">
        <f>B4/B5-1</f>
        <v>-0.1136163859796645</v>
      </c>
      <c r="I4" s="3">
        <f>C4/C5-1</f>
        <v>-9.6319630282084789E-2</v>
      </c>
      <c r="J4" t="str">
        <f ca="1">"&lt;--"&amp;_xlfn.FORMULATEXT(I4)</f>
        <v>&lt;--=C4/C5-1</v>
      </c>
    </row>
    <row r="5" spans="1:10" x14ac:dyDescent="0.25">
      <c r="A5" s="63">
        <v>43405</v>
      </c>
      <c r="B5" s="6">
        <v>177.19909699999999</v>
      </c>
      <c r="C5" s="6">
        <v>62.464919999999999</v>
      </c>
      <c r="E5" s="3">
        <f t="shared" ref="E5:F65" si="0">LN(B5/B6)</f>
        <v>-0.20339554632600876</v>
      </c>
      <c r="F5" s="3">
        <f t="shared" si="0"/>
        <v>-2.8345446386111743E-2</v>
      </c>
      <c r="G5" t="str">
        <f ca="1">"&lt;--"&amp;_xlfn.FORMULATEXT(F5)</f>
        <v>&lt;--=LN(C5/C6)</v>
      </c>
      <c r="H5" s="3">
        <f t="shared" ref="H5:I68" si="1">B5/B6-1</f>
        <v>-0.18404457058602541</v>
      </c>
      <c r="I5" s="3">
        <f t="shared" si="1"/>
        <v>-2.7947483233531467E-2</v>
      </c>
      <c r="J5" t="str">
        <f ca="1">"&lt;--"&amp;_xlfn.FORMULATEXT(I5)</f>
        <v>&lt;--=C5/C6-1</v>
      </c>
    </row>
    <row r="6" spans="1:10" x14ac:dyDescent="0.25">
      <c r="A6" s="63">
        <v>43374</v>
      </c>
      <c r="B6" s="6">
        <v>217.167618</v>
      </c>
      <c r="C6" s="6">
        <v>64.260848999999993</v>
      </c>
      <c r="E6" s="3">
        <f t="shared" si="0"/>
        <v>-3.0951701391631649E-2</v>
      </c>
      <c r="F6" s="3">
        <f t="shared" si="0"/>
        <v>-6.7036101839614837E-2</v>
      </c>
      <c r="H6" s="3">
        <f t="shared" si="1"/>
        <v>-3.0477601472154392E-2</v>
      </c>
      <c r="I6" s="3">
        <f t="shared" si="1"/>
        <v>-6.4838560320958027E-2</v>
      </c>
    </row>
    <row r="7" spans="1:10" x14ac:dyDescent="0.25">
      <c r="A7" s="63">
        <v>43344</v>
      </c>
      <c r="B7" s="6">
        <v>223.99443099999999</v>
      </c>
      <c r="C7" s="6">
        <v>68.716316000000006</v>
      </c>
      <c r="E7" s="3">
        <f t="shared" si="0"/>
        <v>-4.8366106134015195E-3</v>
      </c>
      <c r="F7" s="3">
        <f t="shared" si="0"/>
        <v>-1.7128780322179672E-2</v>
      </c>
      <c r="H7" s="3">
        <f t="shared" si="1"/>
        <v>-4.8249330464890106E-3</v>
      </c>
      <c r="I7" s="3">
        <f t="shared" si="1"/>
        <v>-1.6982916773486512E-2</v>
      </c>
    </row>
    <row r="8" spans="1:10" hidden="1" outlineLevel="1" x14ac:dyDescent="0.25">
      <c r="A8" s="63">
        <v>43313</v>
      </c>
      <c r="B8" s="6">
        <v>225.08042900000001</v>
      </c>
      <c r="C8" s="6">
        <v>69.903480999999999</v>
      </c>
      <c r="E8" s="3">
        <f t="shared" si="0"/>
        <v>0.17917233187127421</v>
      </c>
      <c r="F8" s="3">
        <f t="shared" si="0"/>
        <v>1.0642976109089951E-2</v>
      </c>
      <c r="H8" s="3">
        <f t="shared" si="1"/>
        <v>0.19622687442170483</v>
      </c>
      <c r="I8" s="3">
        <f t="shared" si="1"/>
        <v>1.0699814041940758E-2</v>
      </c>
    </row>
    <row r="9" spans="1:10" hidden="1" outlineLevel="1" x14ac:dyDescent="0.25">
      <c r="A9" s="63">
        <v>43282</v>
      </c>
      <c r="B9" s="6">
        <v>188.158646</v>
      </c>
      <c r="C9" s="6">
        <v>69.163444999999996</v>
      </c>
      <c r="E9" s="3">
        <f t="shared" si="0"/>
        <v>2.7598887839150311E-2</v>
      </c>
      <c r="F9" s="3">
        <f t="shared" si="0"/>
        <v>1.646583209338915E-2</v>
      </c>
      <c r="H9" s="3">
        <f t="shared" si="1"/>
        <v>2.7983265124965406E-2</v>
      </c>
      <c r="I9" s="3">
        <f t="shared" si="1"/>
        <v>1.6602141025619854E-2</v>
      </c>
    </row>
    <row r="10" spans="1:10" hidden="1" outlineLevel="1" x14ac:dyDescent="0.25">
      <c r="A10" s="63">
        <v>43252</v>
      </c>
      <c r="B10" s="6">
        <v>183.03668200000001</v>
      </c>
      <c r="C10" s="6">
        <v>68.033935999999997</v>
      </c>
      <c r="E10" s="3">
        <f t="shared" si="0"/>
        <v>-5.6142405580539871E-3</v>
      </c>
      <c r="F10" s="3">
        <f t="shared" si="0"/>
        <v>8.9897280865844614E-2</v>
      </c>
      <c r="H10" s="3">
        <f t="shared" si="1"/>
        <v>-5.5985101613766908E-3</v>
      </c>
      <c r="I10" s="3">
        <f t="shared" si="1"/>
        <v>9.4061896842412507E-2</v>
      </c>
    </row>
    <row r="11" spans="1:10" hidden="1" outlineLevel="1" x14ac:dyDescent="0.25">
      <c r="A11" s="63">
        <v>43221</v>
      </c>
      <c r="B11" s="6">
        <v>184.067184</v>
      </c>
      <c r="C11" s="6">
        <v>62.184722999999998</v>
      </c>
      <c r="E11" s="3">
        <f t="shared" si="0"/>
        <v>0.12289326386661924</v>
      </c>
      <c r="F11" s="3">
        <f t="shared" si="0"/>
        <v>8.9117209341012499E-2</v>
      </c>
      <c r="H11" s="3">
        <f t="shared" si="1"/>
        <v>0.13076372115872581</v>
      </c>
      <c r="I11" s="3">
        <f t="shared" si="1"/>
        <v>9.3208783098412296E-2</v>
      </c>
    </row>
    <row r="12" spans="1:10" hidden="1" outlineLevel="1" x14ac:dyDescent="0.25">
      <c r="A12" s="63">
        <v>43191</v>
      </c>
      <c r="B12" s="6">
        <v>162.781296</v>
      </c>
      <c r="C12" s="6">
        <v>56.882750999999999</v>
      </c>
      <c r="E12" s="3">
        <f t="shared" si="0"/>
        <v>-1.5133636467927848E-2</v>
      </c>
      <c r="F12" s="3">
        <f t="shared" si="0"/>
        <v>-9.0596719136717449E-2</v>
      </c>
      <c r="H12" s="3">
        <f t="shared" si="1"/>
        <v>-1.5019698481039234E-2</v>
      </c>
      <c r="I12" s="3">
        <f t="shared" si="1"/>
        <v>-8.661401227558374E-2</v>
      </c>
    </row>
    <row r="13" spans="1:10" hidden="1" outlineLevel="1" x14ac:dyDescent="0.25">
      <c r="A13" s="63">
        <v>43160</v>
      </c>
      <c r="B13" s="6">
        <v>165.26350400000001</v>
      </c>
      <c r="C13" s="6">
        <v>62.276794000000002</v>
      </c>
      <c r="E13" s="3">
        <f t="shared" si="0"/>
        <v>-5.5735023670836853E-2</v>
      </c>
      <c r="F13" s="3">
        <f t="shared" si="0"/>
        <v>-1.8139248304434259E-2</v>
      </c>
      <c r="H13" s="3">
        <f t="shared" si="1"/>
        <v>-5.4210285423051285E-2</v>
      </c>
      <c r="I13" s="3">
        <f t="shared" si="1"/>
        <v>-1.7975722378482994E-2</v>
      </c>
    </row>
    <row r="14" spans="1:10" hidden="1" outlineLevel="1" x14ac:dyDescent="0.25">
      <c r="A14" s="63">
        <v>43132</v>
      </c>
      <c r="B14" s="6">
        <v>174.73599200000001</v>
      </c>
      <c r="C14" s="6">
        <v>63.416755999999999</v>
      </c>
      <c r="E14" s="3">
        <f t="shared" si="0"/>
        <v>6.1892137187384975E-2</v>
      </c>
      <c r="F14" s="3">
        <f t="shared" si="0"/>
        <v>-2.844367511200694E-2</v>
      </c>
      <c r="H14" s="3">
        <f t="shared" si="1"/>
        <v>6.3847588946066791E-2</v>
      </c>
      <c r="I14" s="3">
        <f t="shared" si="1"/>
        <v>-2.80429620242999E-2</v>
      </c>
    </row>
    <row r="15" spans="1:10" hidden="1" outlineLevel="1" x14ac:dyDescent="0.25">
      <c r="A15" s="63">
        <v>43101</v>
      </c>
      <c r="B15" s="6">
        <v>164.24908400000001</v>
      </c>
      <c r="C15" s="6">
        <v>65.246459999999999</v>
      </c>
      <c r="E15" s="3">
        <f t="shared" si="0"/>
        <v>-1.0693511068397676E-2</v>
      </c>
      <c r="F15" s="3">
        <f t="shared" si="0"/>
        <v>1.9105097893157086E-3</v>
      </c>
      <c r="H15" s="3">
        <f t="shared" si="1"/>
        <v>-1.0636538737834211E-2</v>
      </c>
      <c r="I15" s="3">
        <f t="shared" si="1"/>
        <v>1.9123359759405378E-3</v>
      </c>
    </row>
    <row r="16" spans="1:10" hidden="1" outlineLevel="1" x14ac:dyDescent="0.25">
      <c r="A16" s="63">
        <v>43070</v>
      </c>
      <c r="B16" s="6">
        <v>166.01490799999999</v>
      </c>
      <c r="C16" s="6">
        <v>65.121925000000005</v>
      </c>
      <c r="E16" s="3">
        <f t="shared" si="0"/>
        <v>-1.1774756619693866E-2</v>
      </c>
      <c r="F16" s="3">
        <f t="shared" si="0"/>
        <v>4.8644400540017625E-2</v>
      </c>
      <c r="H16" s="3">
        <f t="shared" si="1"/>
        <v>-1.170570545889571E-2</v>
      </c>
      <c r="I16" s="3">
        <f t="shared" si="1"/>
        <v>4.9846959343266661E-2</v>
      </c>
    </row>
    <row r="17" spans="1:9" hidden="1" outlineLevel="1" x14ac:dyDescent="0.25">
      <c r="A17" s="63">
        <v>43040</v>
      </c>
      <c r="B17" s="6">
        <v>167.981247</v>
      </c>
      <c r="C17" s="6">
        <v>62.029921999999999</v>
      </c>
      <c r="E17" s="3">
        <f t="shared" si="0"/>
        <v>1.6486598492966249E-2</v>
      </c>
      <c r="F17" s="3">
        <f t="shared" si="0"/>
        <v>4.3039395618039149E-2</v>
      </c>
      <c r="H17" s="3">
        <f t="shared" si="1"/>
        <v>1.6623252411094303E-2</v>
      </c>
      <c r="I17" s="3">
        <f t="shared" si="1"/>
        <v>4.3979022239288845E-2</v>
      </c>
    </row>
    <row r="18" spans="1:9" hidden="1" outlineLevel="1" x14ac:dyDescent="0.25">
      <c r="A18" s="63">
        <v>43009</v>
      </c>
      <c r="B18" s="6">
        <v>165.234512</v>
      </c>
      <c r="C18" s="6">
        <v>59.416828000000002</v>
      </c>
      <c r="E18" s="3">
        <f t="shared" si="0"/>
        <v>9.2403994893137831E-2</v>
      </c>
      <c r="F18" s="3">
        <f t="shared" si="0"/>
        <v>2.5619986777041764E-3</v>
      </c>
      <c r="H18" s="3">
        <f t="shared" si="1"/>
        <v>9.6807837351881698E-2</v>
      </c>
      <c r="I18" s="3">
        <f t="shared" si="1"/>
        <v>2.5652834008695891E-3</v>
      </c>
    </row>
    <row r="19" spans="1:9" hidden="1" outlineLevel="1" x14ac:dyDescent="0.25">
      <c r="A19" s="63">
        <v>42979</v>
      </c>
      <c r="B19" s="6">
        <v>150.650375</v>
      </c>
      <c r="C19" s="6">
        <v>59.264797000000002</v>
      </c>
      <c r="E19" s="3">
        <f t="shared" si="0"/>
        <v>-5.8215744133111216E-2</v>
      </c>
      <c r="F19" s="3">
        <f t="shared" si="0"/>
        <v>-4.0176705273349524E-2</v>
      </c>
      <c r="H19" s="3">
        <f t="shared" si="1"/>
        <v>-5.6553617543307011E-2</v>
      </c>
      <c r="I19" s="3">
        <f t="shared" si="1"/>
        <v>-3.9380322408830271E-2</v>
      </c>
    </row>
    <row r="20" spans="1:9" hidden="1" outlineLevel="1" x14ac:dyDescent="0.25">
      <c r="A20" s="63">
        <v>42948</v>
      </c>
      <c r="B20" s="6">
        <v>159.68090799999999</v>
      </c>
      <c r="C20" s="6">
        <v>61.694339999999997</v>
      </c>
      <c r="E20" s="3">
        <f t="shared" si="0"/>
        <v>9.7734009206961375E-2</v>
      </c>
      <c r="F20" s="3">
        <f t="shared" si="0"/>
        <v>-3.8068472802024099E-2</v>
      </c>
      <c r="H20" s="3">
        <f t="shared" si="1"/>
        <v>0.10266944617706164</v>
      </c>
      <c r="I20" s="3">
        <f t="shared" si="1"/>
        <v>-3.7352976504608004E-2</v>
      </c>
    </row>
    <row r="21" spans="1:9" hidden="1" outlineLevel="1" x14ac:dyDescent="0.25">
      <c r="A21" s="63">
        <v>42917</v>
      </c>
      <c r="B21" s="6">
        <v>144.81303399999999</v>
      </c>
      <c r="C21" s="6">
        <v>64.088226000000006</v>
      </c>
      <c r="E21" s="3">
        <f t="shared" si="0"/>
        <v>3.2180259892837251E-2</v>
      </c>
      <c r="F21" s="3">
        <f t="shared" si="0"/>
        <v>-2.124338932319263E-2</v>
      </c>
      <c r="H21" s="3">
        <f t="shared" si="1"/>
        <v>3.2703643576105668E-2</v>
      </c>
      <c r="I21" s="3">
        <f t="shared" si="1"/>
        <v>-2.1019337870273214E-2</v>
      </c>
    </row>
    <row r="22" spans="1:9" hidden="1" outlineLevel="1" x14ac:dyDescent="0.25">
      <c r="A22" s="63">
        <v>42887</v>
      </c>
      <c r="B22" s="6">
        <v>140.22709699999999</v>
      </c>
      <c r="C22" s="6">
        <v>65.464241000000001</v>
      </c>
      <c r="E22" s="3">
        <f t="shared" si="0"/>
        <v>-5.4796785860792403E-2</v>
      </c>
      <c r="F22" s="3">
        <f t="shared" si="0"/>
        <v>-2.3157594131138274E-2</v>
      </c>
      <c r="H22" s="3">
        <f t="shared" si="1"/>
        <v>-5.3322493337559229E-2</v>
      </c>
      <c r="I22" s="3">
        <f t="shared" si="1"/>
        <v>-2.2891514923783052E-2</v>
      </c>
    </row>
    <row r="23" spans="1:9" hidden="1" outlineLevel="1" x14ac:dyDescent="0.25">
      <c r="A23" s="63">
        <v>42856</v>
      </c>
      <c r="B23" s="6">
        <v>148.125519</v>
      </c>
      <c r="C23" s="6">
        <v>66.997924999999995</v>
      </c>
      <c r="E23" s="3">
        <f t="shared" si="0"/>
        <v>6.1488392155418861E-2</v>
      </c>
      <c r="F23" s="3">
        <f t="shared" si="0"/>
        <v>8.4151498773705272E-3</v>
      </c>
      <c r="H23" s="3">
        <f t="shared" si="1"/>
        <v>6.3418152464517208E-2</v>
      </c>
      <c r="I23" s="3">
        <f t="shared" si="1"/>
        <v>8.45065677985124E-3</v>
      </c>
    </row>
    <row r="24" spans="1:9" hidden="1" outlineLevel="1" x14ac:dyDescent="0.25">
      <c r="A24" s="63">
        <v>42826</v>
      </c>
      <c r="B24" s="6">
        <v>139.29188500000001</v>
      </c>
      <c r="C24" s="6">
        <v>66.436492999999999</v>
      </c>
      <c r="E24" s="3">
        <f t="shared" si="0"/>
        <v>-6.9779089266844212E-5</v>
      </c>
      <c r="F24" s="3">
        <f t="shared" si="0"/>
        <v>-2.2422634199798841E-2</v>
      </c>
      <c r="H24" s="3">
        <f t="shared" si="1"/>
        <v>-6.9776654762820911E-5</v>
      </c>
      <c r="I24" s="3">
        <f t="shared" si="1"/>
        <v>-2.2173115373576135E-2</v>
      </c>
    </row>
    <row r="25" spans="1:9" hidden="1" outlineLevel="1" x14ac:dyDescent="0.25">
      <c r="A25" s="63">
        <v>42795</v>
      </c>
      <c r="B25" s="6">
        <v>139.301605</v>
      </c>
      <c r="C25" s="6">
        <v>67.943000999999995</v>
      </c>
      <c r="E25" s="3">
        <f t="shared" si="0"/>
        <v>5.186772067849077E-2</v>
      </c>
      <c r="F25" s="3">
        <f t="shared" si="0"/>
        <v>-1.2972030708049111E-2</v>
      </c>
      <c r="H25" s="3">
        <f t="shared" si="1"/>
        <v>5.3236411900333458E-2</v>
      </c>
      <c r="I25" s="3">
        <f t="shared" si="1"/>
        <v>-1.2888256549267618E-2</v>
      </c>
    </row>
    <row r="26" spans="1:9" hidden="1" outlineLevel="1" x14ac:dyDescent="0.25">
      <c r="A26" s="63">
        <v>42767</v>
      </c>
      <c r="B26" s="6">
        <v>132.26052899999999</v>
      </c>
      <c r="C26" s="6">
        <v>68.830100999999999</v>
      </c>
      <c r="E26" s="3">
        <f t="shared" si="0"/>
        <v>0.12122896059991176</v>
      </c>
      <c r="F26" s="3">
        <f t="shared" si="0"/>
        <v>1.8531722154569764E-2</v>
      </c>
      <c r="H26" s="3">
        <f t="shared" si="1"/>
        <v>0.12888335258954009</v>
      </c>
      <c r="I26" s="3">
        <f t="shared" si="1"/>
        <v>1.8704500158636783E-2</v>
      </c>
    </row>
    <row r="27" spans="1:9" hidden="1" outlineLevel="1" x14ac:dyDescent="0.25">
      <c r="A27" s="63">
        <v>42736</v>
      </c>
      <c r="B27" s="6">
        <v>117.160492</v>
      </c>
      <c r="C27" s="6">
        <v>67.566306999999995</v>
      </c>
      <c r="E27" s="3">
        <f t="shared" si="0"/>
        <v>4.6641729923096294E-2</v>
      </c>
      <c r="F27" s="3">
        <f t="shared" si="0"/>
        <v>-1.3659367215252205E-2</v>
      </c>
      <c r="H27" s="3">
        <f t="shared" si="1"/>
        <v>4.77465655859588E-2</v>
      </c>
      <c r="I27" s="3">
        <f t="shared" si="1"/>
        <v>-1.3566501369315365E-2</v>
      </c>
    </row>
    <row r="28" spans="1:9" hidden="1" outlineLevel="1" x14ac:dyDescent="0.25">
      <c r="A28" s="63">
        <v>42705</v>
      </c>
      <c r="B28" s="6">
        <v>111.821404</v>
      </c>
      <c r="C28" s="6">
        <v>68.495552000000004</v>
      </c>
      <c r="E28" s="3">
        <f t="shared" si="0"/>
        <v>5.1961893797766889E-2</v>
      </c>
      <c r="F28" s="3">
        <f t="shared" si="0"/>
        <v>3.0534592450257136E-2</v>
      </c>
      <c r="H28" s="3">
        <f t="shared" si="1"/>
        <v>5.3335603129077702E-2</v>
      </c>
      <c r="I28" s="3">
        <f t="shared" si="1"/>
        <v>3.1005554440274752E-2</v>
      </c>
    </row>
    <row r="29" spans="1:9" hidden="1" outlineLevel="1" x14ac:dyDescent="0.25">
      <c r="A29" s="63">
        <v>42675</v>
      </c>
      <c r="B29" s="6">
        <v>106.15933200000001</v>
      </c>
      <c r="C29" s="6">
        <v>66.435676999999998</v>
      </c>
      <c r="E29" s="3">
        <f t="shared" si="0"/>
        <v>-2.6958815702871286E-2</v>
      </c>
      <c r="F29" s="3">
        <f t="shared" si="0"/>
        <v>-4.2553949775697097E-2</v>
      </c>
      <c r="H29" s="3">
        <f t="shared" si="1"/>
        <v>-2.6598670451585815E-2</v>
      </c>
      <c r="I29" s="3">
        <f t="shared" si="1"/>
        <v>-4.1661238034988002E-2</v>
      </c>
    </row>
    <row r="30" spans="1:9" hidden="1" outlineLevel="1" x14ac:dyDescent="0.25">
      <c r="A30" s="63">
        <v>42644</v>
      </c>
      <c r="B30" s="6">
        <v>109.060188</v>
      </c>
      <c r="C30" s="6">
        <v>69.323791999999997</v>
      </c>
      <c r="E30" s="3">
        <f t="shared" si="0"/>
        <v>4.3249837686929271E-3</v>
      </c>
      <c r="F30" s="3">
        <f t="shared" si="0"/>
        <v>-3.0670877482395959E-2</v>
      </c>
      <c r="H30" s="3">
        <f t="shared" si="1"/>
        <v>4.3343500090704534E-3</v>
      </c>
      <c r="I30" s="3">
        <f t="shared" si="1"/>
        <v>-3.0205298169258765E-2</v>
      </c>
    </row>
    <row r="31" spans="1:9" hidden="1" outlineLevel="1" x14ac:dyDescent="0.25">
      <c r="A31" s="63">
        <v>42614</v>
      </c>
      <c r="B31" s="6">
        <v>108.589523</v>
      </c>
      <c r="C31" s="6">
        <v>71.482956000000001</v>
      </c>
      <c r="E31" s="3">
        <f t="shared" si="0"/>
        <v>6.8850853926348474E-2</v>
      </c>
      <c r="F31" s="3">
        <f t="shared" si="0"/>
        <v>-5.3109529125624423E-2</v>
      </c>
      <c r="H31" s="3">
        <f t="shared" si="1"/>
        <v>7.127642056080008E-2</v>
      </c>
      <c r="I31" s="3">
        <f t="shared" si="1"/>
        <v>-5.1723857062754619E-2</v>
      </c>
    </row>
    <row r="32" spans="1:9" hidden="1" outlineLevel="1" x14ac:dyDescent="0.25">
      <c r="A32" s="63">
        <v>42583</v>
      </c>
      <c r="B32" s="6">
        <v>101.364616</v>
      </c>
      <c r="C32" s="6">
        <v>75.382003999999995</v>
      </c>
      <c r="E32" s="3">
        <f t="shared" si="0"/>
        <v>1.7973893476060612E-2</v>
      </c>
      <c r="F32" s="3">
        <f t="shared" si="0"/>
        <v>-6.0637724807484673E-3</v>
      </c>
      <c r="H32" s="3">
        <f t="shared" si="1"/>
        <v>1.8136396040638214E-2</v>
      </c>
      <c r="I32" s="3">
        <f t="shared" si="1"/>
        <v>-6.0454249162835705E-3</v>
      </c>
    </row>
    <row r="33" spans="1:9" hidden="1" outlineLevel="1" x14ac:dyDescent="0.25">
      <c r="A33" s="63">
        <v>42552</v>
      </c>
      <c r="B33" s="6">
        <v>99.558975000000004</v>
      </c>
      <c r="C33" s="6">
        <v>75.840491999999998</v>
      </c>
      <c r="E33" s="3">
        <f t="shared" si="0"/>
        <v>8.6235254938462166E-2</v>
      </c>
      <c r="F33" s="3">
        <f t="shared" si="0"/>
        <v>1.2898796747206988E-2</v>
      </c>
      <c r="H33" s="3">
        <f t="shared" si="1"/>
        <v>9.0062740785798345E-2</v>
      </c>
      <c r="I33" s="3">
        <f t="shared" si="1"/>
        <v>1.2982345063759393E-2</v>
      </c>
    </row>
    <row r="34" spans="1:9" hidden="1" outlineLevel="1" x14ac:dyDescent="0.25">
      <c r="A34" s="63">
        <v>42522</v>
      </c>
      <c r="B34" s="6">
        <v>91.333252000000002</v>
      </c>
      <c r="C34" s="6">
        <v>74.868522999999996</v>
      </c>
      <c r="E34" s="3">
        <f t="shared" si="0"/>
        <v>-3.7526417648364709E-2</v>
      </c>
      <c r="F34" s="3">
        <f t="shared" si="0"/>
        <v>0.10004862617064693</v>
      </c>
      <c r="H34" s="3">
        <f t="shared" si="1"/>
        <v>-3.6831027274512484E-2</v>
      </c>
      <c r="I34" s="3">
        <f t="shared" si="1"/>
        <v>0.10522465961191596</v>
      </c>
    </row>
    <row r="35" spans="1:9" hidden="1" outlineLevel="1" x14ac:dyDescent="0.25">
      <c r="A35" s="63">
        <v>42491</v>
      </c>
      <c r="B35" s="6">
        <v>94.825783000000001</v>
      </c>
      <c r="C35" s="6">
        <v>67.740547000000007</v>
      </c>
      <c r="E35" s="3">
        <f t="shared" si="0"/>
        <v>6.3244347576697169E-2</v>
      </c>
      <c r="F35" s="3">
        <f t="shared" si="0"/>
        <v>-3.228212308558543E-2</v>
      </c>
      <c r="H35" s="3">
        <f t="shared" si="1"/>
        <v>6.5287107755285678E-2</v>
      </c>
      <c r="I35" s="3">
        <f t="shared" si="1"/>
        <v>-3.1766617446389755E-2</v>
      </c>
    </row>
    <row r="36" spans="1:9" hidden="1" outlineLevel="1" x14ac:dyDescent="0.25">
      <c r="A36" s="63">
        <v>42461</v>
      </c>
      <c r="B36" s="6">
        <v>89.014296999999999</v>
      </c>
      <c r="C36" s="6">
        <v>69.963036000000002</v>
      </c>
      <c r="E36" s="3">
        <f t="shared" si="0"/>
        <v>-0.15073127149063728</v>
      </c>
      <c r="F36" s="3">
        <f t="shared" si="0"/>
        <v>3.39062910569403E-3</v>
      </c>
      <c r="H36" s="3">
        <f t="shared" si="1"/>
        <v>-0.13992120470071778</v>
      </c>
      <c r="I36" s="3">
        <f t="shared" si="1"/>
        <v>3.3963837907229344E-3</v>
      </c>
    </row>
    <row r="37" spans="1:9" hidden="1" outlineLevel="1" x14ac:dyDescent="0.25">
      <c r="A37" s="63">
        <v>42430</v>
      </c>
      <c r="B37" s="6">
        <v>103.495514</v>
      </c>
      <c r="C37" s="6">
        <v>69.726219</v>
      </c>
      <c r="E37" s="3">
        <f t="shared" si="0"/>
        <v>0.12515770247534916</v>
      </c>
      <c r="F37" s="3">
        <f t="shared" si="0"/>
        <v>4.0305900937300021E-2</v>
      </c>
      <c r="H37" s="3">
        <f t="shared" si="1"/>
        <v>0.13332716747429485</v>
      </c>
      <c r="I37" s="3">
        <f t="shared" si="1"/>
        <v>4.112920788586516E-2</v>
      </c>
    </row>
    <row r="38" spans="1:9" hidden="1" outlineLevel="1" x14ac:dyDescent="0.25">
      <c r="A38" s="63">
        <v>42401</v>
      </c>
      <c r="B38" s="6">
        <v>91.320068000000006</v>
      </c>
      <c r="C38" s="6">
        <v>66.971725000000006</v>
      </c>
      <c r="E38" s="3">
        <f t="shared" si="0"/>
        <v>-6.6999269060085574E-3</v>
      </c>
      <c r="F38" s="3">
        <f t="shared" si="0"/>
        <v>7.8664799627023961E-3</v>
      </c>
      <c r="H38" s="3">
        <f t="shared" si="1"/>
        <v>-6.6775324374147571E-3</v>
      </c>
      <c r="I38" s="3">
        <f t="shared" si="1"/>
        <v>7.8975020076164082E-3</v>
      </c>
    </row>
    <row r="39" spans="1:9" hidden="1" outlineLevel="1" x14ac:dyDescent="0.25">
      <c r="A39" s="63">
        <v>42370</v>
      </c>
      <c r="B39" s="6">
        <v>91.933959999999999</v>
      </c>
      <c r="C39" s="6">
        <v>66.446960000000004</v>
      </c>
      <c r="E39" s="3">
        <f t="shared" si="0"/>
        <v>-7.8223471566607181E-2</v>
      </c>
      <c r="F39" s="3">
        <f t="shared" si="0"/>
        <v>1.6059912097553433E-2</v>
      </c>
      <c r="H39" s="3">
        <f t="shared" si="1"/>
        <v>-7.5242253611487175E-2</v>
      </c>
      <c r="I39" s="3">
        <f t="shared" si="1"/>
        <v>1.6189565630734482E-2</v>
      </c>
    </row>
    <row r="40" spans="1:9" hidden="1" outlineLevel="1" x14ac:dyDescent="0.25">
      <c r="A40" s="63">
        <v>42339</v>
      </c>
      <c r="B40" s="6">
        <v>99.414101000000002</v>
      </c>
      <c r="C40" s="6">
        <v>65.388351</v>
      </c>
      <c r="E40" s="3">
        <f t="shared" si="0"/>
        <v>-0.11251880068259988</v>
      </c>
      <c r="F40" s="3">
        <f t="shared" si="0"/>
        <v>5.6895312000143583E-2</v>
      </c>
      <c r="H40" s="3">
        <f t="shared" si="1"/>
        <v>-0.10641945297365241</v>
      </c>
      <c r="I40" s="3">
        <f t="shared" si="1"/>
        <v>5.8544987637181078E-2</v>
      </c>
    </row>
    <row r="41" spans="1:9" hidden="1" outlineLevel="1" x14ac:dyDescent="0.25">
      <c r="A41" s="63">
        <v>42309</v>
      </c>
      <c r="B41" s="6">
        <v>111.253654</v>
      </c>
      <c r="C41" s="6">
        <v>61.771915</v>
      </c>
      <c r="E41" s="3">
        <f t="shared" si="0"/>
        <v>-1.0092751987705661E-2</v>
      </c>
      <c r="F41" s="3">
        <f t="shared" si="0"/>
        <v>-2.5128821564664408E-2</v>
      </c>
      <c r="H41" s="3">
        <f t="shared" si="1"/>
        <v>-1.004199108230619E-2</v>
      </c>
      <c r="I41" s="3">
        <f t="shared" si="1"/>
        <v>-2.4815720828283205E-2</v>
      </c>
    </row>
    <row r="42" spans="1:9" hidden="1" outlineLevel="1" x14ac:dyDescent="0.25">
      <c r="A42" s="63">
        <v>42278</v>
      </c>
      <c r="B42" s="6">
        <v>112.382195</v>
      </c>
      <c r="C42" s="6">
        <v>63.343837999999998</v>
      </c>
      <c r="E42" s="3">
        <f t="shared" si="0"/>
        <v>8.0112422362387081E-2</v>
      </c>
      <c r="F42" s="3">
        <f t="shared" si="0"/>
        <v>5.7942558993461672E-2</v>
      </c>
      <c r="H42" s="3">
        <f t="shared" si="1"/>
        <v>8.3408860212224045E-2</v>
      </c>
      <c r="I42" s="3">
        <f t="shared" si="1"/>
        <v>5.9654126362505222E-2</v>
      </c>
    </row>
    <row r="43" spans="1:9" hidden="1" outlineLevel="1" x14ac:dyDescent="0.25">
      <c r="A43" s="63">
        <v>42248</v>
      </c>
      <c r="B43" s="6">
        <v>103.73017900000001</v>
      </c>
      <c r="C43" s="6">
        <v>59.777842999999997</v>
      </c>
      <c r="E43" s="3">
        <f t="shared" si="0"/>
        <v>-1.8959506852724829E-2</v>
      </c>
      <c r="F43" s="3">
        <f t="shared" si="0"/>
        <v>1.1516169301347825E-2</v>
      </c>
      <c r="H43" s="3">
        <f t="shared" si="1"/>
        <v>-1.8780905912347046E-2</v>
      </c>
      <c r="I43" s="3">
        <f t="shared" si="1"/>
        <v>1.1582735663453247E-2</v>
      </c>
    </row>
    <row r="44" spans="1:9" hidden="1" outlineLevel="1" x14ac:dyDescent="0.25">
      <c r="A44" s="63">
        <v>42217</v>
      </c>
      <c r="B44" s="6">
        <v>105.715614</v>
      </c>
      <c r="C44" s="6">
        <v>59.093380000000003</v>
      </c>
      <c r="E44" s="3">
        <f t="shared" si="0"/>
        <v>-7.1587104068490684E-2</v>
      </c>
      <c r="F44" s="3">
        <f t="shared" si="0"/>
        <v>1.6608028265237701E-3</v>
      </c>
      <c r="H44" s="3">
        <f t="shared" si="1"/>
        <v>-6.9084812436979282E-2</v>
      </c>
      <c r="I44" s="3">
        <f t="shared" si="1"/>
        <v>1.6621827233445075E-3</v>
      </c>
    </row>
    <row r="45" spans="1:9" hidden="1" outlineLevel="1" x14ac:dyDescent="0.25">
      <c r="A45" s="63">
        <v>42186</v>
      </c>
      <c r="B45" s="6">
        <v>113.560951</v>
      </c>
      <c r="C45" s="6">
        <v>58.995319000000002</v>
      </c>
      <c r="E45" s="3">
        <f t="shared" si="0"/>
        <v>-3.348093898422045E-2</v>
      </c>
      <c r="F45" s="3">
        <f t="shared" si="0"/>
        <v>5.3865707695234903E-2</v>
      </c>
      <c r="H45" s="3">
        <f t="shared" si="1"/>
        <v>-3.2926655543996985E-2</v>
      </c>
      <c r="I45" s="3">
        <f t="shared" si="1"/>
        <v>5.5342868212314489E-2</v>
      </c>
    </row>
    <row r="46" spans="1:9" hidden="1" outlineLevel="1" x14ac:dyDescent="0.25">
      <c r="A46" s="63">
        <v>42156</v>
      </c>
      <c r="B46" s="6">
        <v>117.42744399999999</v>
      </c>
      <c r="C46" s="6">
        <v>55.901566000000003</v>
      </c>
      <c r="E46" s="3">
        <f t="shared" si="0"/>
        <v>-3.3769804060179459E-2</v>
      </c>
      <c r="F46" s="3">
        <f t="shared" si="0"/>
        <v>6.6626039142650478E-3</v>
      </c>
      <c r="H46" s="3">
        <f t="shared" si="1"/>
        <v>-3.3205968915219874E-2</v>
      </c>
      <c r="I46" s="3">
        <f t="shared" si="1"/>
        <v>6.6848484344255166E-3</v>
      </c>
    </row>
    <row r="47" spans="1:9" hidden="1" outlineLevel="1" x14ac:dyDescent="0.25">
      <c r="A47" s="63">
        <v>42125</v>
      </c>
      <c r="B47" s="6">
        <v>121.460663</v>
      </c>
      <c r="C47" s="6">
        <v>55.530354000000003</v>
      </c>
      <c r="E47" s="3">
        <f t="shared" si="0"/>
        <v>4.0172822193584826E-2</v>
      </c>
      <c r="F47" s="3">
        <f t="shared" si="0"/>
        <v>-8.8818126508505551E-3</v>
      </c>
      <c r="H47" s="3">
        <f t="shared" si="1"/>
        <v>4.099066493759973E-2</v>
      </c>
      <c r="I47" s="3">
        <f t="shared" si="1"/>
        <v>-8.8424858700267839E-3</v>
      </c>
    </row>
    <row r="48" spans="1:9" hidden="1" outlineLevel="1" x14ac:dyDescent="0.25">
      <c r="A48" s="63">
        <v>42095</v>
      </c>
      <c r="B48" s="6">
        <v>116.67795599999999</v>
      </c>
      <c r="C48" s="6">
        <v>56.025761000000003</v>
      </c>
      <c r="E48" s="3">
        <f t="shared" si="0"/>
        <v>5.769885673670077E-3</v>
      </c>
      <c r="F48" s="3">
        <f t="shared" si="0"/>
        <v>-3.2942430486370675E-2</v>
      </c>
      <c r="H48" s="3">
        <f t="shared" si="1"/>
        <v>5.7865635250164971E-3</v>
      </c>
      <c r="I48" s="3">
        <f t="shared" si="1"/>
        <v>-3.2405738083312263E-2</v>
      </c>
    </row>
    <row r="49" spans="1:9" hidden="1" outlineLevel="1" x14ac:dyDescent="0.25">
      <c r="A49" s="63">
        <v>42064</v>
      </c>
      <c r="B49" s="6">
        <v>116.006676</v>
      </c>
      <c r="C49" s="6">
        <v>57.902121999999999</v>
      </c>
      <c r="E49" s="3">
        <f t="shared" si="0"/>
        <v>-2.7935606365857572E-2</v>
      </c>
      <c r="F49" s="3">
        <f t="shared" si="0"/>
        <v>2.2541764870257896E-2</v>
      </c>
      <c r="H49" s="3">
        <f t="shared" si="1"/>
        <v>-2.7549015561949997E-2</v>
      </c>
      <c r="I49" s="3">
        <f t="shared" si="1"/>
        <v>2.2797750287763874E-2</v>
      </c>
    </row>
    <row r="50" spans="1:9" hidden="1" outlineLevel="1" x14ac:dyDescent="0.25">
      <c r="A50" s="63">
        <v>42036</v>
      </c>
      <c r="B50" s="6">
        <v>119.293083</v>
      </c>
      <c r="C50" s="6">
        <v>56.611507000000003</v>
      </c>
      <c r="E50" s="3">
        <f t="shared" si="0"/>
        <v>9.2077105043209415E-2</v>
      </c>
      <c r="F50" s="3">
        <f t="shared" si="0"/>
        <v>-1.6915811747022877E-2</v>
      </c>
      <c r="H50" s="3">
        <f t="shared" si="1"/>
        <v>9.644936059692788E-2</v>
      </c>
      <c r="I50" s="3">
        <f t="shared" si="1"/>
        <v>-1.677354273166265E-2</v>
      </c>
    </row>
    <row r="51" spans="1:9" hidden="1" outlineLevel="1" x14ac:dyDescent="0.25">
      <c r="A51" s="63">
        <v>42005</v>
      </c>
      <c r="B51" s="6">
        <v>108.799446</v>
      </c>
      <c r="C51" s="6">
        <v>57.577281999999997</v>
      </c>
      <c r="E51" s="3">
        <f t="shared" si="0"/>
        <v>5.9611590767431326E-2</v>
      </c>
      <c r="F51" s="3">
        <f t="shared" si="0"/>
        <v>2.1369778230634936E-3</v>
      </c>
      <c r="H51" s="3">
        <f t="shared" si="1"/>
        <v>6.1424199512083888E-2</v>
      </c>
      <c r="I51" s="3">
        <f t="shared" si="1"/>
        <v>2.13926278752119E-3</v>
      </c>
    </row>
    <row r="52" spans="1:9" hidden="1" outlineLevel="1" x14ac:dyDescent="0.25">
      <c r="A52" s="63">
        <v>41974</v>
      </c>
      <c r="B52" s="6">
        <v>102.503265</v>
      </c>
      <c r="C52" s="6">
        <v>57.454371999999999</v>
      </c>
      <c r="E52" s="3">
        <f t="shared" si="0"/>
        <v>-7.0279312581139133E-2</v>
      </c>
      <c r="F52" s="3">
        <f t="shared" si="0"/>
        <v>-4.7511008252483283E-3</v>
      </c>
      <c r="H52" s="3">
        <f t="shared" si="1"/>
        <v>-6.7866573051320489E-2</v>
      </c>
      <c r="I52" s="3">
        <f t="shared" si="1"/>
        <v>-4.739832198912608E-3</v>
      </c>
    </row>
    <row r="53" spans="1:9" hidden="1" outlineLevel="1" x14ac:dyDescent="0.25">
      <c r="A53" s="63">
        <v>41944</v>
      </c>
      <c r="B53" s="6">
        <v>109.966301</v>
      </c>
      <c r="C53" s="6">
        <v>57.727992999999998</v>
      </c>
      <c r="E53" s="3">
        <f t="shared" si="0"/>
        <v>9.640398815914436E-2</v>
      </c>
      <c r="F53" s="3">
        <f t="shared" si="0"/>
        <v>3.5177810436369653E-2</v>
      </c>
      <c r="H53" s="3">
        <f t="shared" si="1"/>
        <v>0.10120384745948074</v>
      </c>
      <c r="I53" s="3">
        <f t="shared" si="1"/>
        <v>3.5803869164290125E-2</v>
      </c>
    </row>
    <row r="54" spans="1:9" hidden="1" outlineLevel="1" x14ac:dyDescent="0.25">
      <c r="A54" s="63">
        <v>41913</v>
      </c>
      <c r="B54" s="6">
        <v>99.860077000000004</v>
      </c>
      <c r="C54" s="6">
        <v>55.732551999999998</v>
      </c>
      <c r="E54" s="3">
        <f t="shared" si="0"/>
        <v>6.9489005002121809E-2</v>
      </c>
      <c r="F54" s="3">
        <f t="shared" si="0"/>
        <v>3.7595884789121473E-2</v>
      </c>
      <c r="H54" s="3">
        <f t="shared" si="1"/>
        <v>7.1960274939027569E-2</v>
      </c>
      <c r="I54" s="3">
        <f t="shared" si="1"/>
        <v>3.8311550592986077E-2</v>
      </c>
    </row>
    <row r="55" spans="1:9" hidden="1" outlineLevel="1" x14ac:dyDescent="0.25">
      <c r="A55" s="63">
        <v>41883</v>
      </c>
      <c r="B55" s="6">
        <v>93.156509</v>
      </c>
      <c r="C55" s="6">
        <v>53.676136</v>
      </c>
      <c r="E55" s="3">
        <f t="shared" si="0"/>
        <v>-1.2258742758189969E-2</v>
      </c>
      <c r="F55" s="3">
        <f t="shared" si="0"/>
        <v>-4.5729328184746572E-2</v>
      </c>
      <c r="H55" s="3">
        <f t="shared" si="1"/>
        <v>-1.2183910466576187E-2</v>
      </c>
      <c r="I55" s="3">
        <f t="shared" si="1"/>
        <v>-4.4699499879849114E-2</v>
      </c>
    </row>
    <row r="56" spans="1:9" hidden="1" outlineLevel="1" x14ac:dyDescent="0.25">
      <c r="A56" s="63">
        <v>41852</v>
      </c>
      <c r="B56" s="6">
        <v>94.305519000000004</v>
      </c>
      <c r="C56" s="6">
        <v>56.187697999999997</v>
      </c>
      <c r="E56" s="3">
        <f t="shared" si="0"/>
        <v>6.9689915730000301E-2</v>
      </c>
      <c r="F56" s="3">
        <f t="shared" si="0"/>
        <v>8.241863193198376E-2</v>
      </c>
      <c r="H56" s="3">
        <f t="shared" si="1"/>
        <v>7.2175664894474245E-2</v>
      </c>
      <c r="I56" s="3">
        <f t="shared" si="1"/>
        <v>8.5910311420102747E-2</v>
      </c>
    </row>
    <row r="57" spans="1:9" hidden="1" outlineLevel="1" x14ac:dyDescent="0.25">
      <c r="A57" s="63">
        <v>41821</v>
      </c>
      <c r="B57" s="6">
        <v>87.957153000000005</v>
      </c>
      <c r="C57" s="6">
        <v>51.742485000000002</v>
      </c>
      <c r="E57" s="3">
        <f t="shared" si="0"/>
        <v>2.8326287757557078E-2</v>
      </c>
      <c r="F57" s="3">
        <f t="shared" si="0"/>
        <v>-9.3591907020372775E-2</v>
      </c>
      <c r="H57" s="3">
        <f t="shared" si="1"/>
        <v>2.8731292092535998E-2</v>
      </c>
      <c r="I57" s="3">
        <f t="shared" si="1"/>
        <v>-8.9345681944983824E-2</v>
      </c>
    </row>
    <row r="58" spans="1:9" hidden="1" outlineLevel="1" x14ac:dyDescent="0.25">
      <c r="A58" s="63">
        <v>41791</v>
      </c>
      <c r="B58" s="6">
        <v>85.500609999999995</v>
      </c>
      <c r="C58" s="6">
        <v>56.819018999999997</v>
      </c>
      <c r="E58" s="3">
        <f t="shared" si="0"/>
        <v>6.6942249910657281E-2</v>
      </c>
      <c r="F58" s="3">
        <f t="shared" si="0"/>
        <v>-4.1932136438268985E-2</v>
      </c>
      <c r="H58" s="3">
        <f t="shared" si="1"/>
        <v>6.9233728048256671E-2</v>
      </c>
      <c r="I58" s="3">
        <f t="shared" si="1"/>
        <v>-4.1065144900899964E-2</v>
      </c>
    </row>
    <row r="59" spans="1:9" hidden="1" outlineLevel="1" x14ac:dyDescent="0.25">
      <c r="A59" s="63">
        <v>41760</v>
      </c>
      <c r="B59" s="6">
        <v>79.964377999999996</v>
      </c>
      <c r="C59" s="6">
        <v>59.252220000000001</v>
      </c>
      <c r="E59" s="3">
        <f t="shared" si="0"/>
        <v>7.0195609177416365E-2</v>
      </c>
      <c r="F59" s="3">
        <f t="shared" si="0"/>
        <v>3.1664750172367459E-2</v>
      </c>
      <c r="H59" s="3">
        <f t="shared" si="1"/>
        <v>7.2717994217325499E-2</v>
      </c>
      <c r="I59" s="3">
        <f t="shared" si="1"/>
        <v>3.2171412006538169E-2</v>
      </c>
    </row>
    <row r="60" spans="1:9" hidden="1" outlineLevel="1" x14ac:dyDescent="0.25">
      <c r="A60" s="63">
        <v>41730</v>
      </c>
      <c r="B60" s="6">
        <v>74.543709000000007</v>
      </c>
      <c r="C60" s="6">
        <v>57.405406999999997</v>
      </c>
      <c r="E60" s="3">
        <f t="shared" si="0"/>
        <v>9.4761408163302557E-2</v>
      </c>
      <c r="F60" s="3">
        <f t="shared" si="0"/>
        <v>7.1241974157682339E-2</v>
      </c>
      <c r="H60" s="3">
        <f t="shared" si="1"/>
        <v>9.9396516797254142E-2</v>
      </c>
      <c r="I60" s="3">
        <f t="shared" si="1"/>
        <v>7.3841036213617484E-2</v>
      </c>
    </row>
    <row r="61" spans="1:9" hidden="1" outlineLevel="1" x14ac:dyDescent="0.25">
      <c r="A61" s="63">
        <v>41699</v>
      </c>
      <c r="B61" s="6">
        <v>67.804207000000005</v>
      </c>
      <c r="C61" s="6">
        <v>53.458011999999997</v>
      </c>
      <c r="E61" s="3">
        <f t="shared" si="0"/>
        <v>6.2299784568121873E-2</v>
      </c>
      <c r="F61" s="3">
        <f t="shared" si="0"/>
        <v>3.2741924695456226E-2</v>
      </c>
      <c r="H61" s="3">
        <f t="shared" si="1"/>
        <v>6.428135203439056E-2</v>
      </c>
      <c r="I61" s="3">
        <f t="shared" si="1"/>
        <v>3.3283839786881098E-2</v>
      </c>
    </row>
    <row r="62" spans="1:9" hidden="1" outlineLevel="1" x14ac:dyDescent="0.25">
      <c r="A62" s="63">
        <v>41671</v>
      </c>
      <c r="B62" s="6">
        <v>63.708911999999998</v>
      </c>
      <c r="C62" s="6">
        <v>51.736038000000001</v>
      </c>
      <c r="E62" s="3">
        <f t="shared" si="0"/>
        <v>4.9950146236972089E-2</v>
      </c>
      <c r="F62" s="3">
        <f t="shared" si="0"/>
        <v>4.5681031959037381E-2</v>
      </c>
      <c r="H62" s="3">
        <f t="shared" si="1"/>
        <v>5.1218687862298884E-2</v>
      </c>
      <c r="I62" s="3">
        <f t="shared" si="1"/>
        <v>4.6740480942664586E-2</v>
      </c>
    </row>
    <row r="63" spans="1:9" hidden="1" outlineLevel="1" x14ac:dyDescent="0.25">
      <c r="A63" s="63">
        <v>41640</v>
      </c>
      <c r="B63" s="6">
        <v>60.604813</v>
      </c>
      <c r="C63" s="6">
        <v>49.425849999999997</v>
      </c>
      <c r="E63" s="3">
        <f t="shared" si="0"/>
        <v>-0.11394935387957596</v>
      </c>
      <c r="F63" s="3">
        <f t="shared" si="0"/>
        <v>-5.1922852667961435E-2</v>
      </c>
      <c r="H63" s="3">
        <f t="shared" si="1"/>
        <v>-0.10769685356935543</v>
      </c>
      <c r="I63" s="3">
        <f t="shared" si="1"/>
        <v>-5.0597892142668188E-2</v>
      </c>
    </row>
    <row r="64" spans="1:9" hidden="1" outlineLevel="1" x14ac:dyDescent="0.25">
      <c r="A64" s="63">
        <v>41609</v>
      </c>
      <c r="B64" s="6">
        <v>67.919533000000001</v>
      </c>
      <c r="C64" s="6">
        <v>52.059975000000001</v>
      </c>
      <c r="E64" s="3">
        <f t="shared" si="0"/>
        <v>5.03427966552496E-2</v>
      </c>
      <c r="F64" s="3">
        <f t="shared" si="0"/>
        <v>1.454589436375049E-2</v>
      </c>
      <c r="H64" s="3">
        <f t="shared" si="1"/>
        <v>5.1631530365875866E-2</v>
      </c>
      <c r="I64" s="3">
        <f t="shared" si="1"/>
        <v>1.4652200700016937E-2</v>
      </c>
    </row>
    <row r="65" spans="1:9" hidden="1" outlineLevel="1" x14ac:dyDescent="0.25">
      <c r="A65" s="63">
        <v>41579</v>
      </c>
      <c r="B65" s="6">
        <v>64.584914999999995</v>
      </c>
      <c r="C65" s="6">
        <v>51.308197</v>
      </c>
      <c r="E65" s="3">
        <f t="shared" si="0"/>
        <v>6.1886721555747294E-2</v>
      </c>
      <c r="F65" s="3">
        <f t="shared" si="0"/>
        <v>-4.2140314756534507E-2</v>
      </c>
      <c r="H65" s="3">
        <f t="shared" si="1"/>
        <v>6.3841827555007225E-2</v>
      </c>
      <c r="I65" s="3">
        <f t="shared" si="1"/>
        <v>-4.1264753568541424E-2</v>
      </c>
    </row>
    <row r="66" spans="1:9" hidden="1" outlineLevel="1" x14ac:dyDescent="0.25">
      <c r="A66" s="63">
        <v>41548</v>
      </c>
      <c r="B66" s="6">
        <v>60.709133000000001</v>
      </c>
      <c r="C66" s="6">
        <v>53.516544000000003</v>
      </c>
      <c r="E66" s="3">
        <f t="shared" ref="E66:F122" si="2">LN(B66/B67)</f>
        <v>9.2015184988865406E-2</v>
      </c>
      <c r="F66" s="3">
        <f t="shared" si="2"/>
        <v>7.4144329652407942E-2</v>
      </c>
      <c r="H66" s="3">
        <f t="shared" si="1"/>
        <v>9.6381470494835364E-2</v>
      </c>
      <c r="I66" s="3">
        <f t="shared" si="1"/>
        <v>7.6962231864214692E-2</v>
      </c>
    </row>
    <row r="67" spans="1:9" hidden="1" outlineLevel="1" x14ac:dyDescent="0.25">
      <c r="A67" s="63">
        <v>41518</v>
      </c>
      <c r="B67" s="6">
        <v>55.372272000000002</v>
      </c>
      <c r="C67" s="6">
        <v>49.692126999999999</v>
      </c>
      <c r="E67" s="3">
        <f t="shared" si="2"/>
        <v>2.528008176933963E-2</v>
      </c>
      <c r="F67" s="3">
        <f t="shared" si="2"/>
        <v>-2.5598030418524428E-2</v>
      </c>
      <c r="H67" s="3">
        <f t="shared" si="1"/>
        <v>2.5602332817102003E-2</v>
      </c>
      <c r="I67" s="3">
        <f t="shared" si="1"/>
        <v>-2.5273178596205481E-2</v>
      </c>
    </row>
    <row r="68" spans="1:9" hidden="1" outlineLevel="1" x14ac:dyDescent="0.25">
      <c r="A68" s="63">
        <v>41487</v>
      </c>
      <c r="B68" s="6">
        <v>53.990001999999997</v>
      </c>
      <c r="C68" s="6">
        <v>50.980567999999998</v>
      </c>
      <c r="E68" s="3">
        <f t="shared" si="2"/>
        <v>7.3861726107924061E-2</v>
      </c>
      <c r="F68" s="3">
        <f t="shared" si="2"/>
        <v>-8.7176190915463553E-2</v>
      </c>
      <c r="H68" s="3">
        <f t="shared" si="1"/>
        <v>7.6657921521830596E-2</v>
      </c>
      <c r="I68" s="3">
        <f t="shared" si="1"/>
        <v>-8.3484400316034435E-2</v>
      </c>
    </row>
    <row r="69" spans="1:9" hidden="1" outlineLevel="1" x14ac:dyDescent="0.25">
      <c r="A69" s="63">
        <v>41456</v>
      </c>
      <c r="B69" s="6">
        <v>50.145919999999997</v>
      </c>
      <c r="C69" s="6">
        <v>55.624332000000003</v>
      </c>
      <c r="E69" s="3">
        <f t="shared" si="2"/>
        <v>0.13210205184677712</v>
      </c>
      <c r="F69" s="3">
        <f t="shared" si="2"/>
        <v>3.0814137045351003E-2</v>
      </c>
      <c r="H69" s="3">
        <f t="shared" ref="H69:I122" si="3">B69/B70-1</f>
        <v>0.1412247774208728</v>
      </c>
      <c r="I69" s="3">
        <f t="shared" si="3"/>
        <v>3.1293806758341924E-2</v>
      </c>
    </row>
    <row r="70" spans="1:9" hidden="1" outlineLevel="1" x14ac:dyDescent="0.25">
      <c r="A70" s="63">
        <v>41426</v>
      </c>
      <c r="B70" s="6">
        <v>43.940441</v>
      </c>
      <c r="C70" s="6">
        <v>53.936455000000002</v>
      </c>
      <c r="E70" s="3">
        <f t="shared" si="2"/>
        <v>-7.877377903156231E-2</v>
      </c>
      <c r="F70" s="3">
        <f t="shared" si="2"/>
        <v>4.147113237600298E-2</v>
      </c>
      <c r="H70" s="3">
        <f t="shared" si="3"/>
        <v>-7.5751014702247432E-2</v>
      </c>
      <c r="I70" s="3">
        <f t="shared" si="3"/>
        <v>4.2343071449293834E-2</v>
      </c>
    </row>
    <row r="71" spans="1:9" hidden="1" outlineLevel="1" x14ac:dyDescent="0.25">
      <c r="A71" s="63">
        <v>41395</v>
      </c>
      <c r="B71" s="6">
        <v>47.541778999999998</v>
      </c>
      <c r="C71" s="6">
        <v>51.745396</v>
      </c>
      <c r="E71" s="3">
        <f t="shared" si="2"/>
        <v>1.5574579732374539E-2</v>
      </c>
      <c r="F71" s="3">
        <f t="shared" si="2"/>
        <v>-4.7061905590419478E-2</v>
      </c>
      <c r="H71" s="3">
        <f t="shared" si="3"/>
        <v>1.5696495606475791E-2</v>
      </c>
      <c r="I71" s="3">
        <f t="shared" si="3"/>
        <v>-4.5971663925150619E-2</v>
      </c>
    </row>
    <row r="72" spans="1:9" hidden="1" outlineLevel="1" x14ac:dyDescent="0.25">
      <c r="A72" s="63">
        <v>41365</v>
      </c>
      <c r="B72" s="6">
        <v>46.807071999999998</v>
      </c>
      <c r="C72" s="6">
        <v>54.238846000000002</v>
      </c>
      <c r="E72" s="3">
        <f t="shared" si="2"/>
        <v>2.7093593488165661E-4</v>
      </c>
      <c r="F72" s="3">
        <f t="shared" si="2"/>
        <v>9.4230338982560311E-3</v>
      </c>
      <c r="H72" s="3">
        <f t="shared" si="3"/>
        <v>2.7097264133701948E-4</v>
      </c>
      <c r="I72" s="3">
        <f t="shared" si="3"/>
        <v>9.4675704621123291E-3</v>
      </c>
    </row>
    <row r="73" spans="1:9" hidden="1" outlineLevel="1" x14ac:dyDescent="0.25">
      <c r="A73" s="63">
        <v>41334</v>
      </c>
      <c r="B73" s="6">
        <v>46.794392000000002</v>
      </c>
      <c r="C73" s="6">
        <v>53.730151999999997</v>
      </c>
      <c r="E73" s="3">
        <f t="shared" si="2"/>
        <v>4.425549471421529E-2</v>
      </c>
      <c r="F73" s="3">
        <f t="shared" si="2"/>
        <v>7.0236559325180206E-2</v>
      </c>
      <c r="H73" s="3">
        <f t="shared" si="3"/>
        <v>4.5249376466414359E-2</v>
      </c>
      <c r="I73" s="3">
        <f t="shared" si="3"/>
        <v>7.2761923077138135E-2</v>
      </c>
    </row>
    <row r="74" spans="1:9" hidden="1" outlineLevel="1" x14ac:dyDescent="0.25">
      <c r="A74" s="63">
        <v>41306</v>
      </c>
      <c r="B74" s="6">
        <v>44.768639</v>
      </c>
      <c r="C74" s="6">
        <v>50.085811999999997</v>
      </c>
      <c r="E74" s="3">
        <f t="shared" si="2"/>
        <v>-3.14221629752853E-2</v>
      </c>
      <c r="F74" s="3">
        <f t="shared" si="2"/>
        <v>3.3616583495417483E-2</v>
      </c>
      <c r="H74" s="3">
        <f t="shared" si="3"/>
        <v>-3.0933617237792865E-2</v>
      </c>
      <c r="I74" s="3">
        <f t="shared" si="3"/>
        <v>3.4188005951011791E-2</v>
      </c>
    </row>
    <row r="75" spans="1:9" hidden="1" outlineLevel="1" x14ac:dyDescent="0.25">
      <c r="A75" s="63">
        <v>41275</v>
      </c>
      <c r="B75" s="6">
        <v>46.197701000000002</v>
      </c>
      <c r="C75" s="6">
        <v>48.430084000000001</v>
      </c>
      <c r="E75" s="3">
        <f t="shared" si="2"/>
        <v>-0.15558907021766993</v>
      </c>
      <c r="F75" s="3">
        <f t="shared" si="2"/>
        <v>4.635711167231342E-2</v>
      </c>
      <c r="H75" s="3">
        <f t="shared" si="3"/>
        <v>-0.14408916263094806</v>
      </c>
      <c r="I75" s="3">
        <f t="shared" si="3"/>
        <v>4.7448400224862519E-2</v>
      </c>
    </row>
    <row r="76" spans="1:9" hidden="1" outlineLevel="1" x14ac:dyDescent="0.25">
      <c r="A76" s="63">
        <v>41244</v>
      </c>
      <c r="B76" s="6">
        <v>53.974899000000001</v>
      </c>
      <c r="C76" s="6">
        <v>46.236248000000003</v>
      </c>
      <c r="E76" s="3">
        <f t="shared" si="2"/>
        <v>-6.278341324704087E-2</v>
      </c>
      <c r="F76" s="3">
        <f t="shared" si="2"/>
        <v>1.4927001401711633E-2</v>
      </c>
      <c r="H76" s="3">
        <f t="shared" si="3"/>
        <v>-6.0853141568262825E-2</v>
      </c>
      <c r="I76" s="3">
        <f t="shared" si="3"/>
        <v>1.5038965489496903E-2</v>
      </c>
    </row>
    <row r="77" spans="1:9" hidden="1" outlineLevel="1" x14ac:dyDescent="0.25">
      <c r="A77" s="63">
        <v>41214</v>
      </c>
      <c r="B77" s="6">
        <v>57.472267000000002</v>
      </c>
      <c r="C77" s="6">
        <v>45.551205000000003</v>
      </c>
      <c r="E77" s="3">
        <f t="shared" si="2"/>
        <v>-1.7009228134492078E-2</v>
      </c>
      <c r="F77" s="3">
        <f t="shared" si="2"/>
        <v>5.8283357022854705E-2</v>
      </c>
      <c r="H77" s="3">
        <f t="shared" si="3"/>
        <v>-1.6865387905375839E-2</v>
      </c>
      <c r="I77" s="3">
        <f t="shared" si="3"/>
        <v>6.0015315943460656E-2</v>
      </c>
    </row>
    <row r="78" spans="1:9" hidden="1" outlineLevel="1" x14ac:dyDescent="0.25">
      <c r="A78" s="63">
        <v>41183</v>
      </c>
      <c r="B78" s="6">
        <v>58.458187000000002</v>
      </c>
      <c r="C78" s="6">
        <v>42.972214000000001</v>
      </c>
      <c r="E78" s="3">
        <f t="shared" si="2"/>
        <v>-0.11384054355176348</v>
      </c>
      <c r="F78" s="3">
        <f t="shared" si="2"/>
        <v>1.2694903426794076E-2</v>
      </c>
      <c r="H78" s="3">
        <f t="shared" si="3"/>
        <v>-0.10759975648899744</v>
      </c>
      <c r="I78" s="3">
        <f t="shared" si="3"/>
        <v>1.2775825784570927E-2</v>
      </c>
    </row>
    <row r="79" spans="1:9" hidden="1" outlineLevel="1" x14ac:dyDescent="0.25">
      <c r="A79" s="63">
        <v>41153</v>
      </c>
      <c r="B79" s="6">
        <v>65.506691000000004</v>
      </c>
      <c r="C79" s="6">
        <v>42.430134000000002</v>
      </c>
      <c r="E79" s="3">
        <f t="shared" si="2"/>
        <v>3.3175234820611556E-2</v>
      </c>
      <c r="F79" s="3">
        <f t="shared" si="2"/>
        <v>2.833847675805343E-2</v>
      </c>
      <c r="H79" s="3">
        <f t="shared" si="3"/>
        <v>3.3731669154312804E-2</v>
      </c>
      <c r="I79" s="3">
        <f t="shared" si="3"/>
        <v>2.8743831375186435E-2</v>
      </c>
    </row>
    <row r="80" spans="1:9" hidden="1" outlineLevel="1" x14ac:dyDescent="0.25">
      <c r="A80" s="63">
        <v>41122</v>
      </c>
      <c r="B80" s="6">
        <v>63.369143999999999</v>
      </c>
      <c r="C80" s="6">
        <v>41.244605999999997</v>
      </c>
      <c r="E80" s="3">
        <f t="shared" si="2"/>
        <v>8.5443927510820875E-2</v>
      </c>
      <c r="F80" s="3">
        <f t="shared" si="2"/>
        <v>6.0007829877709876E-2</v>
      </c>
      <c r="H80" s="3">
        <f t="shared" si="3"/>
        <v>8.9200485449308697E-2</v>
      </c>
      <c r="I80" s="3">
        <f t="shared" si="3"/>
        <v>6.1844860628216036E-2</v>
      </c>
    </row>
    <row r="81" spans="1:9" hidden="1" outlineLevel="1" x14ac:dyDescent="0.25">
      <c r="A81" s="63">
        <v>41091</v>
      </c>
      <c r="B81" s="6">
        <v>58.179504000000001</v>
      </c>
      <c r="C81" s="6">
        <v>38.842402999999997</v>
      </c>
      <c r="E81" s="3">
        <f t="shared" si="2"/>
        <v>4.4803079652886366E-2</v>
      </c>
      <c r="F81" s="3">
        <f t="shared" si="2"/>
        <v>-3.3601340670216528E-2</v>
      </c>
      <c r="H81" s="3">
        <f t="shared" si="3"/>
        <v>4.5821896019359043E-2</v>
      </c>
      <c r="I81" s="3">
        <f t="shared" si="3"/>
        <v>-3.3043085795811389E-2</v>
      </c>
    </row>
    <row r="82" spans="1:9" hidden="1" outlineLevel="1" x14ac:dyDescent="0.25">
      <c r="A82" s="63">
        <v>41061</v>
      </c>
      <c r="B82" s="6">
        <v>55.630412999999997</v>
      </c>
      <c r="C82" s="6">
        <v>40.169735000000003</v>
      </c>
      <c r="E82" s="3">
        <f t="shared" si="2"/>
        <v>1.0794044610391084E-2</v>
      </c>
      <c r="F82" s="3">
        <f t="shared" si="2"/>
        <v>1.9766929913424238E-2</v>
      </c>
      <c r="H82" s="3">
        <f t="shared" si="3"/>
        <v>1.0852510481634159E-2</v>
      </c>
      <c r="I82" s="3">
        <f t="shared" si="3"/>
        <v>1.9963589319476283E-2</v>
      </c>
    </row>
    <row r="83" spans="1:9" hidden="1" outlineLevel="1" x14ac:dyDescent="0.25">
      <c r="A83" s="63">
        <v>41030</v>
      </c>
      <c r="B83" s="6">
        <v>55.033164999999997</v>
      </c>
      <c r="C83" s="6">
        <v>39.383499</v>
      </c>
      <c r="E83" s="3">
        <f t="shared" si="2"/>
        <v>-1.0760105764054529E-2</v>
      </c>
      <c r="F83" s="3">
        <f t="shared" si="2"/>
        <v>-3.603809909189918E-2</v>
      </c>
      <c r="H83" s="3">
        <f t="shared" si="3"/>
        <v>-1.0702422902638675E-2</v>
      </c>
      <c r="I83" s="3">
        <f t="shared" si="3"/>
        <v>-3.5396457735969555E-2</v>
      </c>
    </row>
    <row r="84" spans="1:9" hidden="1" outlineLevel="1" x14ac:dyDescent="0.25">
      <c r="A84" s="63">
        <v>41000</v>
      </c>
      <c r="B84" s="6">
        <v>55.628525000000003</v>
      </c>
      <c r="C84" s="6">
        <v>40.828690000000002</v>
      </c>
      <c r="E84" s="3">
        <f t="shared" si="2"/>
        <v>-2.6312522384197522E-2</v>
      </c>
      <c r="F84" s="3">
        <f t="shared" si="2"/>
        <v>-5.8750062326359903E-2</v>
      </c>
      <c r="H84" s="3">
        <f t="shared" si="3"/>
        <v>-2.5969364339647583E-2</v>
      </c>
      <c r="I84" s="3">
        <f t="shared" si="3"/>
        <v>-5.7057583458739569E-2</v>
      </c>
    </row>
    <row r="85" spans="1:9" hidden="1" outlineLevel="1" x14ac:dyDescent="0.25">
      <c r="A85" s="63">
        <v>40969</v>
      </c>
      <c r="B85" s="6">
        <v>57.111679000000002</v>
      </c>
      <c r="C85" s="6">
        <v>43.299239999999998</v>
      </c>
      <c r="E85" s="3">
        <f t="shared" si="2"/>
        <v>0.1001018723259286</v>
      </c>
      <c r="F85" s="3">
        <f t="shared" si="2"/>
        <v>3.2318489923243605E-2</v>
      </c>
      <c r="H85" s="3">
        <f t="shared" si="3"/>
        <v>0.10528351014253112</v>
      </c>
      <c r="I85" s="3">
        <f t="shared" si="3"/>
        <v>3.2846404098826332E-2</v>
      </c>
    </row>
    <row r="86" spans="1:9" hidden="1" outlineLevel="1" x14ac:dyDescent="0.25">
      <c r="A86" s="63">
        <v>40940</v>
      </c>
      <c r="B86" s="6">
        <v>51.671520000000001</v>
      </c>
      <c r="C86" s="6">
        <v>41.922244999999997</v>
      </c>
      <c r="E86" s="3">
        <f t="shared" si="2"/>
        <v>0.17253272365200584</v>
      </c>
      <c r="F86" s="3">
        <f t="shared" si="2"/>
        <v>5.5575139189848612E-2</v>
      </c>
      <c r="H86" s="3">
        <f t="shared" si="3"/>
        <v>0.18831070584476439</v>
      </c>
      <c r="I86" s="3">
        <f t="shared" si="3"/>
        <v>5.7148447366106359E-2</v>
      </c>
    </row>
    <row r="87" spans="1:9" hidden="1" outlineLevel="1" x14ac:dyDescent="0.25">
      <c r="A87" s="63">
        <v>40909</v>
      </c>
      <c r="B87" s="6">
        <v>43.483173000000001</v>
      </c>
      <c r="C87" s="6">
        <v>39.655968000000001</v>
      </c>
      <c r="E87" s="3">
        <f t="shared" si="2"/>
        <v>0.11965778366501913</v>
      </c>
      <c r="F87" s="3">
        <f t="shared" si="2"/>
        <v>-2.0981974039671596E-2</v>
      </c>
      <c r="H87" s="3">
        <f t="shared" si="3"/>
        <v>0.12711106975331199</v>
      </c>
      <c r="I87" s="3">
        <f t="shared" si="3"/>
        <v>-2.076338390923993E-2</v>
      </c>
    </row>
    <row r="88" spans="1:9" hidden="1" outlineLevel="1" x14ac:dyDescent="0.25">
      <c r="A88" s="63">
        <v>40878</v>
      </c>
      <c r="B88" s="6">
        <v>38.579315000000001</v>
      </c>
      <c r="C88" s="6">
        <v>40.496819000000002</v>
      </c>
      <c r="E88" s="3">
        <f t="shared" si="2"/>
        <v>5.7942882909883787E-2</v>
      </c>
      <c r="F88" s="3">
        <f t="shared" si="2"/>
        <v>3.7161599108149042E-2</v>
      </c>
      <c r="H88" s="3">
        <f t="shared" si="3"/>
        <v>5.9654469601934101E-2</v>
      </c>
      <c r="I88" s="3">
        <f t="shared" si="3"/>
        <v>3.7860724654885658E-2</v>
      </c>
    </row>
    <row r="89" spans="1:9" hidden="1" outlineLevel="1" x14ac:dyDescent="0.25">
      <c r="A89" s="63">
        <v>40848</v>
      </c>
      <c r="B89" s="6">
        <v>36.407448000000002</v>
      </c>
      <c r="C89" s="6">
        <v>39.019511999999999</v>
      </c>
      <c r="E89" s="3">
        <f t="shared" si="2"/>
        <v>-5.7399698294657964E-2</v>
      </c>
      <c r="F89" s="3">
        <f t="shared" si="2"/>
        <v>-9.7784798880145074E-2</v>
      </c>
      <c r="H89" s="3">
        <f t="shared" si="3"/>
        <v>-5.5783407828625453E-2</v>
      </c>
      <c r="I89" s="3">
        <f t="shared" si="3"/>
        <v>-9.315596339102461E-2</v>
      </c>
    </row>
    <row r="90" spans="1:9" hidden="1" outlineLevel="1" x14ac:dyDescent="0.25">
      <c r="A90" s="63">
        <v>40817</v>
      </c>
      <c r="B90" s="6">
        <v>38.558365000000002</v>
      </c>
      <c r="C90" s="6">
        <v>43.027808999999998</v>
      </c>
      <c r="E90" s="3">
        <f t="shared" si="2"/>
        <v>5.9704656309112342E-2</v>
      </c>
      <c r="F90" s="3">
        <f t="shared" si="2"/>
        <v>1.8995125155575675E-2</v>
      </c>
      <c r="H90" s="3">
        <f t="shared" si="3"/>
        <v>6.152298612690843E-2</v>
      </c>
      <c r="I90" s="3">
        <f t="shared" si="3"/>
        <v>1.9176680277540825E-2</v>
      </c>
    </row>
    <row r="91" spans="1:9" hidden="1" outlineLevel="1" x14ac:dyDescent="0.25">
      <c r="A91" s="63">
        <v>40787</v>
      </c>
      <c r="B91" s="6">
        <v>36.323627000000002</v>
      </c>
      <c r="C91" s="6">
        <v>42.218204</v>
      </c>
      <c r="E91" s="3">
        <f t="shared" si="2"/>
        <v>-9.1623742544899751E-3</v>
      </c>
      <c r="F91" s="3">
        <f t="shared" si="2"/>
        <v>-1.3051258179502197E-2</v>
      </c>
      <c r="H91" s="3">
        <f t="shared" si="3"/>
        <v>-9.120527605908868E-3</v>
      </c>
      <c r="I91" s="3">
        <f t="shared" si="3"/>
        <v>-1.2966459818778309E-2</v>
      </c>
    </row>
    <row r="92" spans="1:9" hidden="1" outlineLevel="1" x14ac:dyDescent="0.25">
      <c r="A92" s="63">
        <v>40756</v>
      </c>
      <c r="B92" s="6">
        <v>36.657966999999999</v>
      </c>
      <c r="C92" s="6">
        <v>42.772815999999999</v>
      </c>
      <c r="E92" s="3">
        <f t="shared" si="2"/>
        <v>-1.4575148075378373E-2</v>
      </c>
      <c r="F92" s="3">
        <f t="shared" si="2"/>
        <v>-2.652293211084138E-2</v>
      </c>
      <c r="H92" s="3">
        <f t="shared" si="3"/>
        <v>-1.4469444774899531E-2</v>
      </c>
      <c r="I92" s="3">
        <f t="shared" si="3"/>
        <v>-2.6174288299686377E-2</v>
      </c>
    </row>
    <row r="93" spans="1:9" hidden="1" outlineLevel="1" x14ac:dyDescent="0.25">
      <c r="A93" s="63">
        <v>40725</v>
      </c>
      <c r="B93" s="6">
        <v>37.196174999999997</v>
      </c>
      <c r="C93" s="6">
        <v>43.922454999999999</v>
      </c>
      <c r="E93" s="3">
        <f t="shared" si="2"/>
        <v>0.15124817703954213</v>
      </c>
      <c r="F93" s="3">
        <f t="shared" si="2"/>
        <v>8.2811146004195119E-3</v>
      </c>
      <c r="H93" s="3">
        <f t="shared" si="3"/>
        <v>0.16328532296793719</v>
      </c>
      <c r="I93" s="3">
        <f t="shared" si="3"/>
        <v>8.3154978750112907E-3</v>
      </c>
    </row>
    <row r="94" spans="1:9" hidden="1" outlineLevel="1" x14ac:dyDescent="0.25">
      <c r="A94" s="63">
        <v>40695</v>
      </c>
      <c r="B94" s="6">
        <v>31.975109</v>
      </c>
      <c r="C94" s="6">
        <v>43.560229999999997</v>
      </c>
      <c r="E94" s="3">
        <f t="shared" si="2"/>
        <v>-3.5585106846870038E-2</v>
      </c>
      <c r="F94" s="3">
        <f t="shared" si="2"/>
        <v>-2.2583147116158272E-2</v>
      </c>
      <c r="H94" s="3">
        <f t="shared" si="3"/>
        <v>-3.4959400827574982E-2</v>
      </c>
      <c r="I94" s="3">
        <f t="shared" si="3"/>
        <v>-2.2330056622636429E-2</v>
      </c>
    </row>
    <row r="95" spans="1:9" hidden="1" outlineLevel="1" x14ac:dyDescent="0.25">
      <c r="A95" s="63">
        <v>40664</v>
      </c>
      <c r="B95" s="6">
        <v>33.133434000000001</v>
      </c>
      <c r="C95" s="6">
        <v>44.555149</v>
      </c>
      <c r="E95" s="3">
        <f t="shared" si="2"/>
        <v>-6.5907083685697943E-3</v>
      </c>
      <c r="F95" s="3">
        <f t="shared" si="2"/>
        <v>-4.9011169559721466E-3</v>
      </c>
      <c r="H95" s="3">
        <f t="shared" si="3"/>
        <v>-6.5690372855694568E-3</v>
      </c>
      <c r="I95" s="3">
        <f t="shared" si="3"/>
        <v>-4.8891260798245018E-3</v>
      </c>
    </row>
    <row r="96" spans="1:9" hidden="1" outlineLevel="1" x14ac:dyDescent="0.25">
      <c r="A96" s="63">
        <v>40634</v>
      </c>
      <c r="B96" s="6">
        <v>33.352528</v>
      </c>
      <c r="C96" s="6">
        <v>44.774054999999997</v>
      </c>
      <c r="E96" s="3">
        <f t="shared" si="2"/>
        <v>4.637462170940054E-3</v>
      </c>
      <c r="F96" s="3">
        <f t="shared" si="2"/>
        <v>5.9163503688842087E-2</v>
      </c>
      <c r="H96" s="3">
        <f t="shared" si="3"/>
        <v>4.6482318401757095E-3</v>
      </c>
      <c r="I96" s="3">
        <f t="shared" si="3"/>
        <v>6.0948695584919443E-2</v>
      </c>
    </row>
    <row r="97" spans="1:9" hidden="1" outlineLevel="1" x14ac:dyDescent="0.25">
      <c r="A97" s="63">
        <v>40603</v>
      </c>
      <c r="B97" s="6">
        <v>33.198214999999998</v>
      </c>
      <c r="C97" s="6">
        <v>42.201903999999999</v>
      </c>
      <c r="E97" s="3">
        <f t="shared" si="2"/>
        <v>-1.3396018114221324E-2</v>
      </c>
      <c r="F97" s="3">
        <f t="shared" si="2"/>
        <v>1.5467028061682707E-2</v>
      </c>
      <c r="H97" s="3">
        <f t="shared" si="3"/>
        <v>-1.3306690785283903E-2</v>
      </c>
      <c r="I97" s="3">
        <f t="shared" si="3"/>
        <v>1.5587261625711335E-2</v>
      </c>
    </row>
    <row r="98" spans="1:9" hidden="1" outlineLevel="1" x14ac:dyDescent="0.25">
      <c r="A98" s="63">
        <v>40575</v>
      </c>
      <c r="B98" s="6">
        <v>33.645930999999997</v>
      </c>
      <c r="C98" s="6">
        <v>41.554188000000003</v>
      </c>
      <c r="E98" s="3">
        <f t="shared" si="2"/>
        <v>4.0119263967248533E-2</v>
      </c>
      <c r="F98" s="3">
        <f t="shared" si="2"/>
        <v>6.2797663392619454E-2</v>
      </c>
      <c r="H98" s="3">
        <f t="shared" si="3"/>
        <v>4.0934912816958713E-2</v>
      </c>
      <c r="I98" s="3">
        <f t="shared" si="3"/>
        <v>6.481136711356994E-2</v>
      </c>
    </row>
    <row r="99" spans="1:9" hidden="1" outlineLevel="1" x14ac:dyDescent="0.25">
      <c r="A99" s="63">
        <v>40544</v>
      </c>
      <c r="B99" s="6">
        <v>32.322800000000001</v>
      </c>
      <c r="C99" s="6">
        <v>39.024929</v>
      </c>
      <c r="E99" s="3">
        <f t="shared" si="2"/>
        <v>5.0654093457427614E-2</v>
      </c>
      <c r="F99" s="3">
        <f t="shared" si="2"/>
        <v>-1.5388182553408857E-2</v>
      </c>
      <c r="H99" s="3">
        <f t="shared" si="3"/>
        <v>5.1958950858180364E-2</v>
      </c>
      <c r="I99" s="3">
        <f t="shared" si="3"/>
        <v>-1.5270389453510336E-2</v>
      </c>
    </row>
    <row r="100" spans="1:9" hidden="1" outlineLevel="1" x14ac:dyDescent="0.25">
      <c r="A100" s="63">
        <v>40513</v>
      </c>
      <c r="B100" s="6">
        <v>30.726293999999999</v>
      </c>
      <c r="C100" s="6">
        <v>39.630096000000002</v>
      </c>
      <c r="E100" s="3">
        <f t="shared" si="2"/>
        <v>3.6014516448256047E-2</v>
      </c>
      <c r="F100" s="3">
        <f t="shared" si="2"/>
        <v>4.5109042294686735E-2</v>
      </c>
      <c r="H100" s="3">
        <f t="shared" si="3"/>
        <v>3.6670895161104999E-2</v>
      </c>
      <c r="I100" s="3">
        <f t="shared" si="3"/>
        <v>4.614192740584544E-2</v>
      </c>
    </row>
    <row r="101" spans="1:9" hidden="1" outlineLevel="1" x14ac:dyDescent="0.25">
      <c r="A101" s="63">
        <v>40483</v>
      </c>
      <c r="B101" s="6">
        <v>29.639391</v>
      </c>
      <c r="C101" s="6">
        <v>37.882140999999997</v>
      </c>
      <c r="E101" s="3">
        <f t="shared" si="2"/>
        <v>3.3230999815200966E-2</v>
      </c>
      <c r="F101" s="3">
        <f t="shared" si="2"/>
        <v>-2.0706576155375384E-2</v>
      </c>
      <c r="H101" s="3">
        <f t="shared" si="3"/>
        <v>3.3789316802595559E-2</v>
      </c>
      <c r="I101" s="3">
        <f t="shared" si="3"/>
        <v>-2.0493667078925637E-2</v>
      </c>
    </row>
    <row r="102" spans="1:9" hidden="1" outlineLevel="1" x14ac:dyDescent="0.25">
      <c r="A102" s="63">
        <v>40452</v>
      </c>
      <c r="B102" s="6">
        <v>28.670629999999999</v>
      </c>
      <c r="C102" s="6">
        <v>38.674728000000002</v>
      </c>
      <c r="E102" s="3">
        <f t="shared" si="2"/>
        <v>5.8950422157251561E-2</v>
      </c>
      <c r="F102" s="3">
        <f t="shared" si="2"/>
        <v>-4.9615651172647381E-3</v>
      </c>
      <c r="H102" s="3">
        <f t="shared" si="3"/>
        <v>6.0722651095733493E-2</v>
      </c>
      <c r="I102" s="3">
        <f t="shared" si="3"/>
        <v>-4.9492768844141555E-3</v>
      </c>
    </row>
    <row r="103" spans="1:9" hidden="1" outlineLevel="1" x14ac:dyDescent="0.25">
      <c r="A103" s="63">
        <v>40422</v>
      </c>
      <c r="B103" s="6">
        <v>27.029337000000002</v>
      </c>
      <c r="C103" s="6">
        <v>38.867092</v>
      </c>
      <c r="E103" s="3">
        <f t="shared" si="2"/>
        <v>0.15462062541137916</v>
      </c>
      <c r="F103" s="3">
        <f t="shared" si="2"/>
        <v>2.4622627812122235E-2</v>
      </c>
      <c r="H103" s="3">
        <f t="shared" si="3"/>
        <v>0.16721506536348785</v>
      </c>
      <c r="I103" s="3">
        <f t="shared" si="3"/>
        <v>2.4928268112393903E-2</v>
      </c>
    </row>
    <row r="104" spans="1:9" hidden="1" outlineLevel="1" x14ac:dyDescent="0.25">
      <c r="A104" s="63">
        <v>40391</v>
      </c>
      <c r="B104" s="6">
        <v>23.157118000000001</v>
      </c>
      <c r="C104" s="6">
        <v>37.921768</v>
      </c>
      <c r="E104" s="3">
        <f t="shared" si="2"/>
        <v>-5.6575420975125419E-2</v>
      </c>
      <c r="F104" s="3">
        <f t="shared" si="2"/>
        <v>-7.4204705417428851E-3</v>
      </c>
      <c r="H104" s="3">
        <f t="shared" si="3"/>
        <v>-5.5004790652817825E-2</v>
      </c>
      <c r="I104" s="3">
        <f t="shared" si="3"/>
        <v>-7.3930068234360213E-3</v>
      </c>
    </row>
    <row r="105" spans="1:9" hidden="1" outlineLevel="1" x14ac:dyDescent="0.25">
      <c r="A105" s="63">
        <v>40360</v>
      </c>
      <c r="B105" s="6">
        <v>24.505011</v>
      </c>
      <c r="C105" s="6">
        <v>38.204211999999998</v>
      </c>
      <c r="E105" s="3">
        <f t="shared" si="2"/>
        <v>2.2486219627365481E-2</v>
      </c>
      <c r="F105" s="3">
        <f t="shared" si="2"/>
        <v>-4.9821746845733709E-3</v>
      </c>
      <c r="H105" s="3">
        <f t="shared" si="3"/>
        <v>2.2740940316070768E-2</v>
      </c>
      <c r="I105" s="3">
        <f t="shared" si="3"/>
        <v>-4.9697842379431423E-3</v>
      </c>
    </row>
    <row r="106" spans="1:9" hidden="1" outlineLevel="1" x14ac:dyDescent="0.25">
      <c r="A106" s="63">
        <v>40330</v>
      </c>
      <c r="B106" s="6">
        <v>23.960135000000001</v>
      </c>
      <c r="C106" s="6">
        <v>38.395026999999999</v>
      </c>
      <c r="E106" s="3">
        <f t="shared" si="2"/>
        <v>-2.1047152257473754E-2</v>
      </c>
      <c r="F106" s="3">
        <f t="shared" si="2"/>
        <v>-5.3254588882322713E-2</v>
      </c>
      <c r="H106" s="3">
        <f t="shared" si="3"/>
        <v>-2.0827206726731995E-2</v>
      </c>
      <c r="I106" s="3">
        <f t="shared" si="3"/>
        <v>-5.1861403792843097E-2</v>
      </c>
    </row>
    <row r="107" spans="1:9" hidden="1" outlineLevel="1" x14ac:dyDescent="0.25">
      <c r="A107" s="63">
        <v>40299</v>
      </c>
      <c r="B107" s="6">
        <v>24.469771999999999</v>
      </c>
      <c r="C107" s="6">
        <v>40.495162999999998</v>
      </c>
      <c r="E107" s="3">
        <f t="shared" si="2"/>
        <v>-1.6255864688260405E-2</v>
      </c>
      <c r="F107" s="3">
        <f t="shared" si="2"/>
        <v>-2.7869342827523631E-2</v>
      </c>
      <c r="H107" s="3">
        <f t="shared" si="3"/>
        <v>-1.6124451163613607E-2</v>
      </c>
      <c r="I107" s="3">
        <f t="shared" si="3"/>
        <v>-2.7484575383871279E-2</v>
      </c>
    </row>
    <row r="108" spans="1:9" hidden="1" outlineLevel="1" x14ac:dyDescent="0.25">
      <c r="A108" s="63">
        <v>40269</v>
      </c>
      <c r="B108" s="6">
        <v>24.870799999999999</v>
      </c>
      <c r="C108" s="6">
        <v>41.639609999999998</v>
      </c>
      <c r="E108" s="3">
        <f t="shared" si="2"/>
        <v>0.10527979060113814</v>
      </c>
      <c r="F108" s="3">
        <f t="shared" si="2"/>
        <v>2.7869342827523579E-2</v>
      </c>
      <c r="H108" s="3">
        <f t="shared" si="3"/>
        <v>0.11102142022387951</v>
      </c>
      <c r="I108" s="3">
        <f t="shared" si="3"/>
        <v>2.8261325926753234E-2</v>
      </c>
    </row>
    <row r="109" spans="1:9" hidden="1" outlineLevel="1" x14ac:dyDescent="0.25">
      <c r="A109" s="63">
        <v>40238</v>
      </c>
      <c r="B109" s="6">
        <v>22.385527</v>
      </c>
      <c r="C109" s="6">
        <v>40.495162999999998</v>
      </c>
      <c r="E109" s="3">
        <f t="shared" si="2"/>
        <v>0.13843072261054745</v>
      </c>
      <c r="F109" s="3">
        <f t="shared" si="2"/>
        <v>3.1442883779947424E-2</v>
      </c>
      <c r="H109" s="3">
        <f t="shared" si="3"/>
        <v>0.14847011580266911</v>
      </c>
      <c r="I109" s="3">
        <f t="shared" si="3"/>
        <v>3.1942433261280545E-2</v>
      </c>
    </row>
    <row r="110" spans="1:9" hidden="1" outlineLevel="1" x14ac:dyDescent="0.25">
      <c r="A110" s="63">
        <v>40210</v>
      </c>
      <c r="B110" s="6">
        <v>19.491606000000001</v>
      </c>
      <c r="C110" s="6">
        <v>39.241688000000003</v>
      </c>
      <c r="E110" s="3">
        <f t="shared" si="2"/>
        <v>6.3346820771750079E-2</v>
      </c>
      <c r="F110" s="3">
        <f t="shared" si="2"/>
        <v>-4.260778800395406E-2</v>
      </c>
      <c r="H110" s="3">
        <f t="shared" si="3"/>
        <v>6.5396276722216928E-2</v>
      </c>
      <c r="I110" s="3">
        <f t="shared" si="3"/>
        <v>-4.1712831907128378E-2</v>
      </c>
    </row>
    <row r="111" spans="1:9" hidden="1" outlineLevel="1" x14ac:dyDescent="0.25">
      <c r="A111" s="63">
        <v>40179</v>
      </c>
      <c r="B111" s="6">
        <v>18.295169999999999</v>
      </c>
      <c r="C111" s="6">
        <v>40.949821</v>
      </c>
      <c r="E111" s="3">
        <f t="shared" si="2"/>
        <v>-9.2769972651683186E-2</v>
      </c>
      <c r="F111" s="3">
        <f t="shared" si="2"/>
        <v>2.2673225895911069E-2</v>
      </c>
      <c r="H111" s="3">
        <f t="shared" si="3"/>
        <v>-8.8596876170534355E-2</v>
      </c>
      <c r="I111" s="3">
        <f t="shared" si="3"/>
        <v>2.2932217167435764E-2</v>
      </c>
    </row>
    <row r="112" spans="1:9" hidden="1" outlineLevel="1" x14ac:dyDescent="0.25">
      <c r="A112" s="63">
        <v>40148</v>
      </c>
      <c r="B112" s="6">
        <v>20.073630999999999</v>
      </c>
      <c r="C112" s="6">
        <v>40.031802999999996</v>
      </c>
      <c r="E112" s="3">
        <f t="shared" si="2"/>
        <v>5.271094910580109E-2</v>
      </c>
      <c r="F112" s="3">
        <f t="shared" si="2"/>
        <v>1.8827577427685521E-2</v>
      </c>
      <c r="H112" s="3">
        <f t="shared" si="3"/>
        <v>5.4124905332340045E-2</v>
      </c>
      <c r="I112" s="3">
        <f t="shared" si="3"/>
        <v>1.9005933844929546E-2</v>
      </c>
    </row>
    <row r="113" spans="1:10" hidden="1" outlineLevel="1" x14ac:dyDescent="0.25">
      <c r="A113" s="63">
        <v>40118</v>
      </c>
      <c r="B113" s="6">
        <v>19.042933999999999</v>
      </c>
      <c r="C113" s="6">
        <v>39.285151999999997</v>
      </c>
      <c r="E113" s="3">
        <f t="shared" si="2"/>
        <v>5.8768730172218744E-2</v>
      </c>
      <c r="F113" s="3">
        <f t="shared" si="2"/>
        <v>1.997787119485684E-2</v>
      </c>
      <c r="H113" s="3">
        <f t="shared" si="3"/>
        <v>6.0529943798902419E-2</v>
      </c>
      <c r="I113" s="3">
        <f t="shared" si="3"/>
        <v>2.0178764439881869E-2</v>
      </c>
    </row>
    <row r="114" spans="1:10" hidden="1" outlineLevel="1" x14ac:dyDescent="0.25">
      <c r="A114" s="63">
        <v>40087</v>
      </c>
      <c r="B114" s="6">
        <v>17.956054999999999</v>
      </c>
      <c r="C114" s="6">
        <v>38.508105999999998</v>
      </c>
      <c r="E114" s="3">
        <f t="shared" si="2"/>
        <v>1.6852054831431509E-2</v>
      </c>
      <c r="F114" s="3">
        <f t="shared" si="2"/>
        <v>4.5854840830725919E-2</v>
      </c>
      <c r="H114" s="3">
        <f t="shared" si="3"/>
        <v>1.6994851720044668E-2</v>
      </c>
      <c r="I114" s="3">
        <f t="shared" si="3"/>
        <v>4.6922429536289778E-2</v>
      </c>
    </row>
    <row r="115" spans="1:10" hidden="1" outlineLevel="1" x14ac:dyDescent="0.25">
      <c r="A115" s="63">
        <v>40057</v>
      </c>
      <c r="B115" s="6">
        <v>17.655994</v>
      </c>
      <c r="C115" s="6">
        <v>36.782195999999999</v>
      </c>
      <c r="E115" s="3">
        <f t="shared" si="2"/>
        <v>9.7032976419659439E-2</v>
      </c>
      <c r="F115" s="3">
        <f t="shared" si="2"/>
        <v>5.2459933479165811E-2</v>
      </c>
      <c r="H115" s="3">
        <f t="shared" si="3"/>
        <v>0.10189670963020969</v>
      </c>
      <c r="I115" s="3">
        <f t="shared" si="3"/>
        <v>5.3860336715493951E-2</v>
      </c>
    </row>
    <row r="116" spans="1:10" hidden="1" outlineLevel="1" x14ac:dyDescent="0.25">
      <c r="A116" s="63">
        <v>40026</v>
      </c>
      <c r="B116" s="6">
        <v>16.023275000000002</v>
      </c>
      <c r="C116" s="6">
        <v>34.902343999999999</v>
      </c>
      <c r="E116" s="3">
        <f t="shared" si="2"/>
        <v>2.9073316510300224E-2</v>
      </c>
      <c r="F116" s="3">
        <f t="shared" si="2"/>
        <v>-8.6692925354493293E-3</v>
      </c>
      <c r="H116" s="3">
        <f t="shared" si="3"/>
        <v>2.9500071060821087E-2</v>
      </c>
      <c r="I116" s="3">
        <f t="shared" si="3"/>
        <v>-8.6318225764422385E-3</v>
      </c>
    </row>
    <row r="117" spans="1:10" hidden="1" outlineLevel="1" x14ac:dyDescent="0.25">
      <c r="A117" s="63">
        <v>39995</v>
      </c>
      <c r="B117" s="6">
        <v>15.564132000000001</v>
      </c>
      <c r="C117" s="6">
        <v>35.206237999999999</v>
      </c>
      <c r="E117" s="3">
        <f t="shared" si="2"/>
        <v>0.13728922955037989</v>
      </c>
      <c r="F117" s="3">
        <f t="shared" si="2"/>
        <v>1.9773470388389794E-2</v>
      </c>
      <c r="H117" s="3">
        <f t="shared" si="3"/>
        <v>0.14715989308301047</v>
      </c>
      <c r="I117" s="3">
        <f t="shared" si="3"/>
        <v>1.9970260387613958E-2</v>
      </c>
    </row>
    <row r="118" spans="1:10" hidden="1" outlineLevel="1" x14ac:dyDescent="0.25">
      <c r="A118" s="63">
        <v>39965</v>
      </c>
      <c r="B118" s="6">
        <v>13.567534999999999</v>
      </c>
      <c r="C118" s="6">
        <v>34.516925999999998</v>
      </c>
      <c r="E118" s="3">
        <f t="shared" si="2"/>
        <v>4.7593717264136394E-2</v>
      </c>
      <c r="F118" s="3">
        <f t="shared" si="2"/>
        <v>8.1855323308452549E-2</v>
      </c>
      <c r="H118" s="3">
        <f t="shared" si="3"/>
        <v>4.8744481979535959E-2</v>
      </c>
      <c r="I118" s="3">
        <f t="shared" si="3"/>
        <v>8.5298781033639193E-2</v>
      </c>
    </row>
    <row r="119" spans="1:10" hidden="1" outlineLevel="1" collapsed="1" x14ac:dyDescent="0.25">
      <c r="A119" s="63">
        <v>39934</v>
      </c>
      <c r="B119" s="6">
        <v>12.936931</v>
      </c>
      <c r="C119" s="6">
        <v>31.804076999999999</v>
      </c>
      <c r="E119" s="3">
        <f t="shared" si="2"/>
        <v>7.6324928749680512E-2</v>
      </c>
      <c r="F119" s="3">
        <f t="shared" si="2"/>
        <v>2.6711765312306745E-2</v>
      </c>
      <c r="H119" s="3">
        <f t="shared" si="3"/>
        <v>7.9313217081355303E-2</v>
      </c>
      <c r="I119" s="3">
        <f t="shared" si="3"/>
        <v>2.7071722398079423E-2</v>
      </c>
    </row>
    <row r="120" spans="1:10" collapsed="1" x14ac:dyDescent="0.25">
      <c r="A120" s="63">
        <v>39904</v>
      </c>
      <c r="B120" s="6">
        <v>11.986262</v>
      </c>
      <c r="C120" s="6">
        <v>30.965779999999999</v>
      </c>
      <c r="E120" s="3">
        <f t="shared" si="2"/>
        <v>0.17982937483629954</v>
      </c>
      <c r="F120" s="3">
        <f t="shared" si="2"/>
        <v>0.13941774256888045</v>
      </c>
      <c r="H120" s="3">
        <f t="shared" si="3"/>
        <v>0.19701310513951387</v>
      </c>
      <c r="I120" s="3">
        <f t="shared" si="3"/>
        <v>0.14960423833723113</v>
      </c>
    </row>
    <row r="121" spans="1:10" x14ac:dyDescent="0.25">
      <c r="A121" s="63">
        <v>39873</v>
      </c>
      <c r="B121" s="6">
        <v>10.013476000000001</v>
      </c>
      <c r="C121" s="6">
        <v>26.936035</v>
      </c>
      <c r="E121" s="3">
        <f t="shared" si="2"/>
        <v>0.16298894786765122</v>
      </c>
      <c r="F121" s="3">
        <f t="shared" si="2"/>
        <v>-5.1818552970314548E-2</v>
      </c>
      <c r="H121" s="3">
        <f t="shared" si="3"/>
        <v>0.17702368099508026</v>
      </c>
      <c r="I121" s="3">
        <f t="shared" si="3"/>
        <v>-5.0498864625693085E-2</v>
      </c>
    </row>
    <row r="122" spans="1:10" x14ac:dyDescent="0.25">
      <c r="A122" s="63">
        <v>39845</v>
      </c>
      <c r="B122" s="6">
        <v>8.5074550000000002</v>
      </c>
      <c r="C122" s="6">
        <v>28.368618000000001</v>
      </c>
      <c r="E122" s="3">
        <f t="shared" si="2"/>
        <v>-9.1395831936074562E-3</v>
      </c>
      <c r="F122" s="3">
        <f t="shared" si="2"/>
        <v>-0.11561085485906979</v>
      </c>
      <c r="H122" s="3">
        <f t="shared" si="3"/>
        <v>-9.0979441541768624E-3</v>
      </c>
      <c r="I122" s="3">
        <f t="shared" si="3"/>
        <v>-0.10917818516342959</v>
      </c>
    </row>
    <row r="123" spans="1:10" x14ac:dyDescent="0.25">
      <c r="A123" s="63">
        <v>39814</v>
      </c>
      <c r="B123" s="6">
        <v>8.585566</v>
      </c>
      <c r="C123" s="6">
        <v>31.845445999999999</v>
      </c>
    </row>
    <row r="125" spans="1:10" x14ac:dyDescent="0.25">
      <c r="A125" s="7" t="s">
        <v>0</v>
      </c>
      <c r="D125" s="37" t="str">
        <f ca="1">_xlfn.FORMULATEXT(E125)&amp;"--&gt;"</f>
        <v>=AVERAGE(E4:E122)--&gt;</v>
      </c>
      <c r="E125" s="61">
        <f>AVERAGE(E4:E122)</f>
        <v>2.442509304160731E-2</v>
      </c>
      <c r="F125" s="61">
        <f>AVERAGE(F4:F122)</f>
        <v>4.8103460140296057E-3</v>
      </c>
      <c r="H125" s="61">
        <f>AVERAGE(H4:H122)</f>
        <v>2.7437977153144773E-2</v>
      </c>
      <c r="I125" s="61">
        <f>AVERAGE(I4:I122)</f>
        <v>5.8466024690749744E-3</v>
      </c>
      <c r="J125" t="str">
        <f ca="1">getformula(I125)</f>
        <v>&lt;--  =AVERAGE(I4:I122)</v>
      </c>
    </row>
    <row r="126" spans="1:10" x14ac:dyDescent="0.25">
      <c r="A126" s="7" t="s">
        <v>1</v>
      </c>
      <c r="D126" s="37" t="str">
        <f t="shared" ref="D126:D127" ca="1" si="4">_xlfn.FORMULATEXT(E126)&amp;"--&gt;"</f>
        <v>=VAR.S(E4:E122)--&gt;</v>
      </c>
      <c r="E126" s="62">
        <f>_xlfn.VAR.S(E4:E122)</f>
        <v>5.3712821527955373E-3</v>
      </c>
      <c r="F126" s="62">
        <f>_xlfn.VAR.S(F4:F122)</f>
        <v>2.0585201434897477E-3</v>
      </c>
      <c r="H126" s="62">
        <f>_xlfn.VAR.S(H4:H122)</f>
        <v>5.5599575386952134E-3</v>
      </c>
      <c r="I126" s="62">
        <f>_xlfn.VAR.S(I4:I122)</f>
        <v>2.0766412267114822E-3</v>
      </c>
      <c r="J126" t="str">
        <f ca="1">getformula(I126)</f>
        <v>&lt;--  =VAR.S(I4:I122)</v>
      </c>
    </row>
    <row r="127" spans="1:10" x14ac:dyDescent="0.25">
      <c r="A127" s="7" t="s">
        <v>2</v>
      </c>
      <c r="D127" s="37" t="str">
        <f t="shared" ca="1" si="4"/>
        <v>=STDEV.S(E4:E122)--&gt;</v>
      </c>
      <c r="E127" s="55">
        <f>_xlfn.STDEV.S(E4:E122)</f>
        <v>7.328903159952066E-2</v>
      </c>
      <c r="F127" s="55">
        <f>_xlfn.STDEV.S(F4:F122)</f>
        <v>4.5370917375448204E-2</v>
      </c>
      <c r="H127" s="55">
        <f>_xlfn.STDEV.S(H4:H122)</f>
        <v>7.4565122803460962E-2</v>
      </c>
      <c r="I127" s="55">
        <f>_xlfn.STDEV.S(I4:I122)</f>
        <v>4.5570179138461613E-2</v>
      </c>
      <c r="J127" t="str">
        <f ca="1">getformula(I127)</f>
        <v>&lt;--  =STDEV.S(I4:I122)</v>
      </c>
    </row>
    <row r="128" spans="1:10" x14ac:dyDescent="0.25">
      <c r="A128" s="7"/>
      <c r="E128" s="7"/>
      <c r="F128" s="7"/>
      <c r="H128" s="7"/>
      <c r="I128" s="7"/>
    </row>
    <row r="129" spans="1:10" x14ac:dyDescent="0.25">
      <c r="A129" s="7" t="s">
        <v>3</v>
      </c>
      <c r="D129" s="37" t="str">
        <f ca="1">_xlfn.FORMULATEXT(E129)&amp;"--&gt;"</f>
        <v>=12*E125--&gt;</v>
      </c>
      <c r="E129" s="55">
        <f>12*E125</f>
        <v>0.29310111649928772</v>
      </c>
      <c r="F129" s="55">
        <f>12*F125</f>
        <v>5.7724152168355268E-2</v>
      </c>
      <c r="H129" s="55">
        <f>(1+H125)^12-1</f>
        <v>0.38378103417912213</v>
      </c>
      <c r="I129" s="55">
        <f>(1+I125)^12-1</f>
        <v>7.2459843315819006E-2</v>
      </c>
      <c r="J129" t="str">
        <f ca="1">getformula(I129)</f>
        <v>&lt;--  =(1+I125)^12-1</v>
      </c>
    </row>
    <row r="130" spans="1:10" x14ac:dyDescent="0.25">
      <c r="A130" s="7" t="s">
        <v>4</v>
      </c>
      <c r="D130" s="37" t="str">
        <f t="shared" ref="D130:D131" ca="1" si="5">_xlfn.FORMULATEXT(E130)&amp;"--&gt;"</f>
        <v>=12*E126--&gt;</v>
      </c>
      <c r="E130" s="62">
        <f>12*E126</f>
        <v>6.4455385833546444E-2</v>
      </c>
      <c r="F130" s="62">
        <f>12*F126</f>
        <v>2.4702241721876975E-2</v>
      </c>
      <c r="H130" s="62">
        <f>12*H126</f>
        <v>6.6719490464342557E-2</v>
      </c>
      <c r="I130" s="62">
        <f>12*I126</f>
        <v>2.4919694720537788E-2</v>
      </c>
      <c r="J130" t="str">
        <f ca="1">getformula(I130)</f>
        <v>&lt;--  =12*I126</v>
      </c>
    </row>
    <row r="131" spans="1:10" x14ac:dyDescent="0.25">
      <c r="A131" s="7" t="s">
        <v>5</v>
      </c>
      <c r="D131" s="37" t="str">
        <f t="shared" ca="1" si="5"/>
        <v>=SQRT(12)*E127--&gt;</v>
      </c>
      <c r="E131" s="55">
        <f>SQRT(12)*E127</f>
        <v>0.25388065273578142</v>
      </c>
      <c r="F131" s="55">
        <f>SQRT(12)*F127</f>
        <v>0.15716946816057173</v>
      </c>
      <c r="H131" s="55">
        <f>SQRT(12)*H127</f>
        <v>0.25830116233641409</v>
      </c>
      <c r="I131" s="55">
        <f>SQRT(12)*I127</f>
        <v>0.15785973115566168</v>
      </c>
      <c r="J131" t="str">
        <f ca="1">getformula(I131)</f>
        <v>&lt;--  =SQRT(12)*I127</v>
      </c>
    </row>
  </sheetData>
  <mergeCells count="4">
    <mergeCell ref="B2:C2"/>
    <mergeCell ref="E2:F2"/>
    <mergeCell ref="H2:I2"/>
    <mergeCell ref="A1:J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71"/>
  <sheetViews>
    <sheetView tabSelected="1" workbookViewId="0">
      <selection sqref="A1:H1"/>
    </sheetView>
  </sheetViews>
  <sheetFormatPr defaultRowHeight="13.8" x14ac:dyDescent="0.25"/>
  <cols>
    <col min="1" max="1" width="22.69921875" bestFit="1" customWidth="1"/>
    <col min="3" max="3" width="10.69921875" customWidth="1"/>
    <col min="5" max="5" width="12.296875" customWidth="1"/>
    <col min="7" max="7" width="11.09765625" customWidth="1"/>
  </cols>
  <sheetData>
    <row r="1" spans="1:8" ht="37.200000000000003" customHeight="1" x14ac:dyDescent="0.3">
      <c r="A1" s="64" t="s">
        <v>46</v>
      </c>
      <c r="B1" s="64"/>
      <c r="C1" s="64"/>
      <c r="D1" s="64"/>
      <c r="E1" s="64"/>
      <c r="F1" s="64"/>
      <c r="G1" s="64"/>
      <c r="H1" s="64"/>
    </row>
    <row r="3" spans="1:8" s="4" customFormat="1" ht="27.6" x14ac:dyDescent="0.25">
      <c r="A3" s="4" t="s">
        <v>6</v>
      </c>
      <c r="B3" s="16" t="s">
        <v>42</v>
      </c>
      <c r="C3" s="16" t="s">
        <v>44</v>
      </c>
      <c r="D3" s="16" t="s">
        <v>45</v>
      </c>
      <c r="F3" s="16" t="s">
        <v>43</v>
      </c>
      <c r="G3" s="16" t="s">
        <v>44</v>
      </c>
      <c r="H3" s="16" t="s">
        <v>45</v>
      </c>
    </row>
    <row r="4" spans="1:8" x14ac:dyDescent="0.25">
      <c r="A4" s="5">
        <v>39234</v>
      </c>
      <c r="B4" s="6">
        <v>122.04</v>
      </c>
      <c r="F4" s="6">
        <v>580.11</v>
      </c>
    </row>
    <row r="5" spans="1:8" x14ac:dyDescent="0.25">
      <c r="A5" s="5">
        <v>39265</v>
      </c>
      <c r="B5" s="6">
        <v>131.76</v>
      </c>
      <c r="C5" s="1">
        <f>LN(B5/B4)</f>
        <v>7.6633226020915893E-2</v>
      </c>
      <c r="D5" s="1">
        <f>B5/B4-1</f>
        <v>7.9646017699114946E-2</v>
      </c>
      <c r="E5" t="str">
        <f ca="1">getformula(D5)</f>
        <v>&lt;--  =B5/B4-1</v>
      </c>
      <c r="F5" s="6">
        <v>645.9</v>
      </c>
      <c r="G5" s="1">
        <f>LN(F5/F4)</f>
        <v>0.10742695230781683</v>
      </c>
      <c r="H5" s="1">
        <f>F5/F4-1</f>
        <v>0.11340952577959351</v>
      </c>
    </row>
    <row r="6" spans="1:8" x14ac:dyDescent="0.25">
      <c r="A6" s="5">
        <v>39295</v>
      </c>
      <c r="B6" s="6">
        <v>138.47999999999999</v>
      </c>
      <c r="C6" s="1">
        <f t="shared" ref="C6:C64" si="0">LN(B6/B5)</f>
        <v>4.9743824998568914E-2</v>
      </c>
      <c r="D6" s="1">
        <f t="shared" ref="D6:D64" si="1">B6/B5-1</f>
        <v>5.1001821493624755E-2</v>
      </c>
      <c r="F6" s="6">
        <v>599.39</v>
      </c>
      <c r="G6" s="1">
        <f t="shared" ref="G6:G64" si="2">LN(F6/F5)</f>
        <v>-7.4732221645049529E-2</v>
      </c>
      <c r="H6" s="1">
        <f t="shared" ref="H6:H64" si="3">F6/F5-1</f>
        <v>-7.2008050781854793E-2</v>
      </c>
    </row>
    <row r="7" spans="1:8" hidden="1" x14ac:dyDescent="0.25">
      <c r="A7" s="5">
        <v>39329</v>
      </c>
      <c r="B7" s="6">
        <v>153.47</v>
      </c>
      <c r="C7" s="1">
        <f t="shared" si="0"/>
        <v>0.10277919731904972</v>
      </c>
      <c r="D7" s="1">
        <f t="shared" si="1"/>
        <v>0.10824667822068168</v>
      </c>
      <c r="F7" s="6">
        <v>592.64</v>
      </c>
      <c r="G7" s="1">
        <f t="shared" si="2"/>
        <v>-1.1325339375617659E-2</v>
      </c>
      <c r="H7" s="1">
        <f t="shared" si="3"/>
        <v>-1.1261449139958968E-2</v>
      </c>
    </row>
    <row r="8" spans="1:8" hidden="1" x14ac:dyDescent="0.25">
      <c r="A8" s="5">
        <v>39356</v>
      </c>
      <c r="B8" s="6">
        <v>189.95</v>
      </c>
      <c r="C8" s="1">
        <f t="shared" si="0"/>
        <v>0.21325577144663097</v>
      </c>
      <c r="D8" s="1">
        <f t="shared" si="1"/>
        <v>0.23770117938359281</v>
      </c>
      <c r="F8" s="6">
        <v>515.04</v>
      </c>
      <c r="G8" s="1">
        <f t="shared" si="2"/>
        <v>-0.14034256446726184</v>
      </c>
      <c r="H8" s="1">
        <f t="shared" si="3"/>
        <v>-0.13093952483801297</v>
      </c>
    </row>
    <row r="9" spans="1:8" hidden="1" x14ac:dyDescent="0.25">
      <c r="A9" s="5">
        <v>39387</v>
      </c>
      <c r="B9" s="6">
        <v>182.22</v>
      </c>
      <c r="C9" s="1">
        <f t="shared" si="0"/>
        <v>-4.1546131347922108E-2</v>
      </c>
      <c r="D9" s="1">
        <f t="shared" si="1"/>
        <v>-4.0694919715714595E-2</v>
      </c>
      <c r="F9" s="6">
        <v>540.96</v>
      </c>
      <c r="G9" s="1">
        <f t="shared" si="2"/>
        <v>4.9100771409077877E-2</v>
      </c>
      <c r="H9" s="1">
        <f t="shared" si="3"/>
        <v>5.0326188257222793E-2</v>
      </c>
    </row>
    <row r="10" spans="1:8" hidden="1" x14ac:dyDescent="0.25">
      <c r="A10" s="5">
        <v>39419</v>
      </c>
      <c r="B10" s="6">
        <v>198.08</v>
      </c>
      <c r="C10" s="1">
        <f t="shared" si="0"/>
        <v>8.3456241210519033E-2</v>
      </c>
      <c r="D10" s="1">
        <f t="shared" si="1"/>
        <v>8.7037646800570911E-2</v>
      </c>
      <c r="F10" s="6">
        <v>603.69000000000005</v>
      </c>
      <c r="G10" s="1">
        <f t="shared" si="2"/>
        <v>0.10971548218681069</v>
      </c>
      <c r="H10" s="1">
        <f t="shared" si="3"/>
        <v>0.11596051464063883</v>
      </c>
    </row>
    <row r="11" spans="1:8" hidden="1" x14ac:dyDescent="0.25">
      <c r="A11" s="5">
        <v>39449</v>
      </c>
      <c r="B11" s="6">
        <v>135.36000000000001</v>
      </c>
      <c r="C11" s="1">
        <f t="shared" si="0"/>
        <v>-0.38073309363831809</v>
      </c>
      <c r="D11" s="1">
        <f t="shared" si="1"/>
        <v>-0.31663974151857832</v>
      </c>
      <c r="F11" s="6">
        <v>506.38</v>
      </c>
      <c r="G11" s="1">
        <f t="shared" si="2"/>
        <v>-0.17577344556712143</v>
      </c>
      <c r="H11" s="1">
        <f t="shared" si="3"/>
        <v>-0.1611920025178486</v>
      </c>
    </row>
    <row r="12" spans="1:8" hidden="1" x14ac:dyDescent="0.25">
      <c r="A12" s="5">
        <v>39479</v>
      </c>
      <c r="B12" s="6">
        <v>125.02</v>
      </c>
      <c r="C12" s="1">
        <f t="shared" si="0"/>
        <v>-7.9464171354247048E-2</v>
      </c>
      <c r="D12" s="1">
        <f t="shared" si="1"/>
        <v>-7.6388888888889062E-2</v>
      </c>
      <c r="F12" s="6">
        <v>529.02</v>
      </c>
      <c r="G12" s="1">
        <f t="shared" si="2"/>
        <v>4.3738862747725364E-2</v>
      </c>
      <c r="H12" s="1">
        <f t="shared" si="3"/>
        <v>4.4709506694577072E-2</v>
      </c>
    </row>
    <row r="13" spans="1:8" hidden="1" x14ac:dyDescent="0.25">
      <c r="A13" s="5">
        <v>39510</v>
      </c>
      <c r="B13" s="6">
        <v>143.5</v>
      </c>
      <c r="C13" s="1">
        <f t="shared" si="0"/>
        <v>0.13786131069600946</v>
      </c>
      <c r="D13" s="1">
        <f t="shared" si="1"/>
        <v>0.14781634938409849</v>
      </c>
      <c r="F13" s="6">
        <v>544.1</v>
      </c>
      <c r="G13" s="1">
        <f t="shared" si="2"/>
        <v>2.8106815164888964E-2</v>
      </c>
      <c r="H13" s="1">
        <f t="shared" si="3"/>
        <v>2.8505538542966224E-2</v>
      </c>
    </row>
    <row r="14" spans="1:8" hidden="1" x14ac:dyDescent="0.25">
      <c r="A14" s="5">
        <v>39539</v>
      </c>
      <c r="B14" s="6">
        <v>173.95</v>
      </c>
      <c r="C14" s="1">
        <f t="shared" si="0"/>
        <v>0.1924328663982752</v>
      </c>
      <c r="D14" s="1">
        <f t="shared" si="1"/>
        <v>0.21219512195121948</v>
      </c>
      <c r="F14" s="6">
        <v>586.76</v>
      </c>
      <c r="G14" s="1">
        <f t="shared" si="2"/>
        <v>7.5482824127682258E-2</v>
      </c>
      <c r="H14" s="1">
        <f t="shared" si="3"/>
        <v>7.8404705017459886E-2</v>
      </c>
    </row>
    <row r="15" spans="1:8" hidden="1" x14ac:dyDescent="0.25">
      <c r="A15" s="5">
        <v>39569</v>
      </c>
      <c r="B15" s="6">
        <v>188.75</v>
      </c>
      <c r="C15" s="1">
        <f t="shared" si="0"/>
        <v>8.1655486531183152E-2</v>
      </c>
      <c r="D15" s="1">
        <f t="shared" si="1"/>
        <v>8.5081920091980567E-2</v>
      </c>
      <c r="F15" s="6">
        <v>613.4</v>
      </c>
      <c r="G15" s="1">
        <f t="shared" si="2"/>
        <v>4.440137406058902E-2</v>
      </c>
      <c r="H15" s="1">
        <f t="shared" si="3"/>
        <v>4.5401867884654612E-2</v>
      </c>
    </row>
    <row r="16" spans="1:8" hidden="1" x14ac:dyDescent="0.25">
      <c r="A16" s="5">
        <v>39601</v>
      </c>
      <c r="B16" s="6">
        <v>167.44</v>
      </c>
      <c r="C16" s="1">
        <f t="shared" si="0"/>
        <v>-0.1197983099913898</v>
      </c>
      <c r="D16" s="1">
        <f t="shared" si="1"/>
        <v>-0.11290066225165563</v>
      </c>
      <c r="F16" s="6">
        <v>600.36</v>
      </c>
      <c r="G16" s="1">
        <f t="shared" si="2"/>
        <v>-2.148777639203717E-2</v>
      </c>
      <c r="H16" s="1">
        <f t="shared" si="3"/>
        <v>-2.1258558852298659E-2</v>
      </c>
    </row>
    <row r="17" spans="1:8" hidden="1" x14ac:dyDescent="0.25">
      <c r="A17" s="5">
        <v>39630</v>
      </c>
      <c r="B17" s="6">
        <v>158.94999999999999</v>
      </c>
      <c r="C17" s="1">
        <f t="shared" si="0"/>
        <v>-5.2035390780932597E-2</v>
      </c>
      <c r="D17" s="1">
        <f t="shared" si="1"/>
        <v>-5.0704730052556157E-2</v>
      </c>
      <c r="F17" s="6">
        <v>593.97</v>
      </c>
      <c r="G17" s="1">
        <f t="shared" si="2"/>
        <v>-1.0700662251397116E-2</v>
      </c>
      <c r="H17" s="1">
        <f t="shared" si="3"/>
        <v>-1.0643613831700982E-2</v>
      </c>
    </row>
    <row r="18" spans="1:8" hidden="1" x14ac:dyDescent="0.25">
      <c r="A18" s="5">
        <v>39661</v>
      </c>
      <c r="B18" s="6">
        <v>169.53</v>
      </c>
      <c r="C18" s="1">
        <f t="shared" si="0"/>
        <v>6.4440214953050093E-2</v>
      </c>
      <c r="D18" s="1">
        <f t="shared" si="1"/>
        <v>6.6561811890531786E-2</v>
      </c>
      <c r="F18" s="6">
        <v>555.71</v>
      </c>
      <c r="G18" s="1">
        <f t="shared" si="2"/>
        <v>-6.6582237591538612E-2</v>
      </c>
      <c r="H18" s="1">
        <f t="shared" si="3"/>
        <v>-6.4414027644493776E-2</v>
      </c>
    </row>
    <row r="19" spans="1:8" hidden="1" x14ac:dyDescent="0.25">
      <c r="A19" s="5">
        <v>39693</v>
      </c>
      <c r="B19" s="6">
        <v>113.66</v>
      </c>
      <c r="C19" s="1">
        <f t="shared" si="0"/>
        <v>-0.39981836644088625</v>
      </c>
      <c r="D19" s="1">
        <f t="shared" si="1"/>
        <v>-0.32955819029080402</v>
      </c>
      <c r="F19" s="6">
        <v>613.70000000000005</v>
      </c>
      <c r="G19" s="1">
        <f t="shared" si="2"/>
        <v>9.9259633949873111E-2</v>
      </c>
      <c r="H19" s="1">
        <f t="shared" si="3"/>
        <v>0.10435298986881647</v>
      </c>
    </row>
    <row r="20" spans="1:8" hidden="1" x14ac:dyDescent="0.25">
      <c r="A20" s="5">
        <v>39722</v>
      </c>
      <c r="B20" s="6">
        <v>107.59</v>
      </c>
      <c r="C20" s="1">
        <f t="shared" si="0"/>
        <v>-5.4883829263157574E-2</v>
      </c>
      <c r="D20" s="1">
        <f t="shared" si="1"/>
        <v>-5.3404891782509178E-2</v>
      </c>
      <c r="F20" s="6">
        <v>525.79</v>
      </c>
      <c r="G20" s="1">
        <f t="shared" si="2"/>
        <v>-0.15460431591839269</v>
      </c>
      <c r="H20" s="1">
        <f t="shared" si="3"/>
        <v>-0.14324588561186258</v>
      </c>
    </row>
    <row r="21" spans="1:8" hidden="1" x14ac:dyDescent="0.25">
      <c r="A21" s="5">
        <v>39755</v>
      </c>
      <c r="B21" s="6">
        <v>92.67</v>
      </c>
      <c r="C21" s="1">
        <f t="shared" si="0"/>
        <v>-0.1492829110072178</v>
      </c>
      <c r="D21" s="1">
        <f t="shared" si="1"/>
        <v>-0.1386745980109676</v>
      </c>
      <c r="F21" s="6">
        <v>450.02</v>
      </c>
      <c r="G21" s="1">
        <f t="shared" si="2"/>
        <v>-0.15560986725547385</v>
      </c>
      <c r="H21" s="1">
        <f t="shared" si="3"/>
        <v>-0.14410696285589297</v>
      </c>
    </row>
    <row r="22" spans="1:8" hidden="1" x14ac:dyDescent="0.25">
      <c r="A22" s="5">
        <v>39783</v>
      </c>
      <c r="B22" s="6">
        <v>85.35</v>
      </c>
      <c r="C22" s="1">
        <f t="shared" si="0"/>
        <v>-8.2284346358150504E-2</v>
      </c>
      <c r="D22" s="1">
        <f t="shared" si="1"/>
        <v>-7.898996438977024E-2</v>
      </c>
      <c r="F22" s="6">
        <v>484.85</v>
      </c>
      <c r="G22" s="1">
        <f t="shared" si="2"/>
        <v>7.4547538529370433E-2</v>
      </c>
      <c r="H22" s="1">
        <f t="shared" si="3"/>
        <v>7.7396560152882099E-2</v>
      </c>
    </row>
    <row r="23" spans="1:8" hidden="1" x14ac:dyDescent="0.25">
      <c r="A23" s="5">
        <v>39815</v>
      </c>
      <c r="B23" s="6">
        <v>90.13</v>
      </c>
      <c r="C23" s="1">
        <f t="shared" si="0"/>
        <v>5.4492623327868875E-2</v>
      </c>
      <c r="D23" s="1">
        <f t="shared" si="1"/>
        <v>5.600468658465152E-2</v>
      </c>
      <c r="F23" s="6">
        <v>444.95</v>
      </c>
      <c r="G23" s="1">
        <f t="shared" si="2"/>
        <v>-8.5877648447684057E-2</v>
      </c>
      <c r="H23" s="1">
        <f t="shared" si="3"/>
        <v>-8.2293492832834936E-2</v>
      </c>
    </row>
    <row r="24" spans="1:8" hidden="1" x14ac:dyDescent="0.25">
      <c r="A24" s="5">
        <v>39846</v>
      </c>
      <c r="B24" s="6">
        <v>89.31</v>
      </c>
      <c r="C24" s="1">
        <f t="shared" si="0"/>
        <v>-9.1396088725236701E-3</v>
      </c>
      <c r="D24" s="1">
        <f t="shared" si="1"/>
        <v>-9.0979695994674037E-3</v>
      </c>
      <c r="F24" s="6">
        <v>485.63</v>
      </c>
      <c r="G24" s="1">
        <f t="shared" si="2"/>
        <v>8.7485100776333188E-2</v>
      </c>
      <c r="H24" s="1">
        <f t="shared" si="3"/>
        <v>9.1426002921676686E-2</v>
      </c>
    </row>
    <row r="25" spans="1:8" hidden="1" x14ac:dyDescent="0.25">
      <c r="A25" s="5">
        <v>39874</v>
      </c>
      <c r="B25" s="6">
        <v>105.12</v>
      </c>
      <c r="C25" s="1">
        <f t="shared" si="0"/>
        <v>0.16298909104050577</v>
      </c>
      <c r="D25" s="1">
        <f t="shared" si="1"/>
        <v>0.1770238495129326</v>
      </c>
      <c r="F25" s="6">
        <v>525.70000000000005</v>
      </c>
      <c r="G25" s="1">
        <f t="shared" si="2"/>
        <v>7.9283690746198177E-2</v>
      </c>
      <c r="H25" s="1">
        <f t="shared" si="3"/>
        <v>8.2511376974239825E-2</v>
      </c>
    </row>
    <row r="26" spans="1:8" hidden="1" x14ac:dyDescent="0.25">
      <c r="A26" s="5">
        <v>39904</v>
      </c>
      <c r="B26" s="6">
        <v>125.83</v>
      </c>
      <c r="C26" s="1">
        <f t="shared" si="0"/>
        <v>0.17982923486757607</v>
      </c>
      <c r="D26" s="1">
        <f t="shared" si="1"/>
        <v>0.19701293759512928</v>
      </c>
      <c r="F26" s="6">
        <v>567.12</v>
      </c>
      <c r="G26" s="1">
        <f t="shared" si="2"/>
        <v>7.5840213721359739E-2</v>
      </c>
      <c r="H26" s="1">
        <f t="shared" si="3"/>
        <v>7.8790184515883599E-2</v>
      </c>
    </row>
    <row r="27" spans="1:8" hidden="1" x14ac:dyDescent="0.25">
      <c r="A27" s="5">
        <v>39934</v>
      </c>
      <c r="B27" s="6">
        <v>135.81</v>
      </c>
      <c r="C27" s="1">
        <f t="shared" si="0"/>
        <v>7.6325060512100487E-2</v>
      </c>
      <c r="D27" s="1">
        <f t="shared" si="1"/>
        <v>7.9313359294286068E-2</v>
      </c>
      <c r="F27" s="6">
        <v>526.79999999999995</v>
      </c>
      <c r="G27" s="1">
        <f t="shared" si="2"/>
        <v>-7.3749951677636247E-2</v>
      </c>
      <c r="H27" s="1">
        <f t="shared" si="3"/>
        <v>-7.1096064325010699E-2</v>
      </c>
    </row>
    <row r="28" spans="1:8" hidden="1" x14ac:dyDescent="0.25">
      <c r="A28" s="5">
        <v>39965</v>
      </c>
      <c r="B28" s="6">
        <v>142.43</v>
      </c>
      <c r="C28" s="1">
        <f t="shared" si="0"/>
        <v>4.7593800830517959E-2</v>
      </c>
      <c r="D28" s="1">
        <f t="shared" si="1"/>
        <v>4.8744569619321165E-2</v>
      </c>
      <c r="F28" s="6">
        <v>529.94000000000005</v>
      </c>
      <c r="G28" s="1">
        <f t="shared" si="2"/>
        <v>5.9428227214138622E-3</v>
      </c>
      <c r="H28" s="1">
        <f t="shared" si="3"/>
        <v>5.9605163249811799E-3</v>
      </c>
    </row>
    <row r="29" spans="1:8" hidden="1" x14ac:dyDescent="0.25">
      <c r="A29" s="5">
        <v>39995</v>
      </c>
      <c r="B29" s="6">
        <v>163.38999999999999</v>
      </c>
      <c r="C29" s="1">
        <f t="shared" si="0"/>
        <v>0.1372893300962372</v>
      </c>
      <c r="D29" s="1">
        <f t="shared" si="1"/>
        <v>0.14716000842519117</v>
      </c>
      <c r="F29" s="6">
        <v>619.98</v>
      </c>
      <c r="G29" s="1">
        <f t="shared" si="2"/>
        <v>0.15692342686377875</v>
      </c>
      <c r="H29" s="1">
        <f t="shared" si="3"/>
        <v>0.1699060270974071</v>
      </c>
    </row>
    <row r="30" spans="1:8" hidden="1" x14ac:dyDescent="0.25">
      <c r="A30" s="5">
        <v>40028</v>
      </c>
      <c r="B30" s="6">
        <v>168.21</v>
      </c>
      <c r="C30" s="1">
        <f t="shared" si="0"/>
        <v>2.9073217760958888E-2</v>
      </c>
      <c r="D30" s="1">
        <f t="shared" si="1"/>
        <v>2.9499969398372183E-2</v>
      </c>
      <c r="F30" s="6">
        <v>583</v>
      </c>
      <c r="G30" s="1">
        <f t="shared" si="2"/>
        <v>-6.15000331038262E-2</v>
      </c>
      <c r="H30" s="1">
        <f t="shared" si="3"/>
        <v>-5.9647085389851306E-2</v>
      </c>
    </row>
    <row r="31" spans="1:8" hidden="1" x14ac:dyDescent="0.25">
      <c r="A31" s="5">
        <v>40057</v>
      </c>
      <c r="B31" s="6">
        <v>185.35</v>
      </c>
      <c r="C31" s="1">
        <f t="shared" si="0"/>
        <v>9.7032730793050262E-2</v>
      </c>
      <c r="D31" s="1">
        <f t="shared" si="1"/>
        <v>0.10189643897509049</v>
      </c>
      <c r="F31" s="6">
        <v>536.12</v>
      </c>
      <c r="G31" s="1">
        <f t="shared" si="2"/>
        <v>-8.3829169740196469E-2</v>
      </c>
      <c r="H31" s="1">
        <f t="shared" si="3"/>
        <v>-8.0411663807890221E-2</v>
      </c>
    </row>
    <row r="32" spans="1:8" hidden="1" x14ac:dyDescent="0.25">
      <c r="A32" s="5">
        <v>40087</v>
      </c>
      <c r="B32" s="6">
        <v>188.5</v>
      </c>
      <c r="C32" s="1">
        <f t="shared" si="0"/>
        <v>1.6852077291324211E-2</v>
      </c>
      <c r="D32" s="1">
        <f t="shared" si="1"/>
        <v>1.6994874561640172E-2</v>
      </c>
      <c r="F32" s="6">
        <v>495.85</v>
      </c>
      <c r="G32" s="1">
        <f t="shared" si="2"/>
        <v>-7.8084554978161788E-2</v>
      </c>
      <c r="H32" s="1">
        <f t="shared" si="3"/>
        <v>-7.5113780496903648E-2</v>
      </c>
    </row>
    <row r="33" spans="1:8" hidden="1" x14ac:dyDescent="0.25">
      <c r="A33" s="5">
        <v>40119</v>
      </c>
      <c r="B33" s="6">
        <v>199.91</v>
      </c>
      <c r="C33" s="1">
        <f t="shared" si="0"/>
        <v>5.8769258379585923E-2</v>
      </c>
      <c r="D33" s="1">
        <f t="shared" si="1"/>
        <v>6.0530503978779793E-2</v>
      </c>
      <c r="F33" s="6">
        <v>461.67</v>
      </c>
      <c r="G33" s="1">
        <f t="shared" si="2"/>
        <v>-7.1423111488264107E-2</v>
      </c>
      <c r="H33" s="1">
        <f t="shared" si="3"/>
        <v>-6.8932136734899729E-2</v>
      </c>
    </row>
    <row r="34" spans="1:8" hidden="1" x14ac:dyDescent="0.25">
      <c r="A34" s="5">
        <v>40148</v>
      </c>
      <c r="B34" s="6">
        <v>210.73</v>
      </c>
      <c r="C34" s="1">
        <f t="shared" si="0"/>
        <v>5.2710427941470024E-2</v>
      </c>
      <c r="D34" s="1">
        <f t="shared" si="1"/>
        <v>5.4124355960182058E-2</v>
      </c>
      <c r="F34" s="6">
        <v>443.05</v>
      </c>
      <c r="G34" s="1">
        <f t="shared" si="2"/>
        <v>-4.1167719650558612E-2</v>
      </c>
      <c r="H34" s="1">
        <f t="shared" si="3"/>
        <v>-4.033183875928692E-2</v>
      </c>
    </row>
    <row r="35" spans="1:8" hidden="1" x14ac:dyDescent="0.25">
      <c r="A35" s="5">
        <v>40182</v>
      </c>
      <c r="B35" s="6">
        <v>192.06</v>
      </c>
      <c r="C35" s="1">
        <f t="shared" si="0"/>
        <v>-9.276986999929468E-2</v>
      </c>
      <c r="D35" s="1">
        <f t="shared" si="1"/>
        <v>-8.8596782612822E-2</v>
      </c>
      <c r="F35" s="6">
        <v>421.59</v>
      </c>
      <c r="G35" s="1">
        <f t="shared" si="2"/>
        <v>-4.9649352712548125E-2</v>
      </c>
      <c r="H35" s="1">
        <f t="shared" si="3"/>
        <v>-4.8436970996501572E-2</v>
      </c>
    </row>
    <row r="36" spans="1:8" hidden="1" x14ac:dyDescent="0.25">
      <c r="A36" s="5">
        <v>40210</v>
      </c>
      <c r="B36" s="6">
        <v>204.62</v>
      </c>
      <c r="C36" s="1">
        <f t="shared" si="0"/>
        <v>6.3346777240967267E-2</v>
      </c>
      <c r="D36" s="1">
        <f t="shared" si="1"/>
        <v>6.5396230344684003E-2</v>
      </c>
      <c r="F36" s="6">
        <v>417.23</v>
      </c>
      <c r="G36" s="1">
        <f t="shared" si="2"/>
        <v>-1.0395649281585149E-2</v>
      </c>
      <c r="H36" s="1">
        <f t="shared" si="3"/>
        <v>-1.0341801276121276E-2</v>
      </c>
    </row>
    <row r="37" spans="1:8" hidden="1" x14ac:dyDescent="0.25">
      <c r="A37" s="5">
        <v>40238</v>
      </c>
      <c r="B37" s="6">
        <v>235</v>
      </c>
      <c r="C37" s="1">
        <f t="shared" si="0"/>
        <v>0.13843091369336494</v>
      </c>
      <c r="D37" s="1">
        <f t="shared" si="1"/>
        <v>0.14847033525559561</v>
      </c>
      <c r="F37" s="6">
        <v>395.97</v>
      </c>
      <c r="G37" s="1">
        <f t="shared" si="2"/>
        <v>-5.2299177690205201E-2</v>
      </c>
      <c r="H37" s="1">
        <f t="shared" si="3"/>
        <v>-5.095510869304698E-2</v>
      </c>
    </row>
    <row r="38" spans="1:8" hidden="1" x14ac:dyDescent="0.25">
      <c r="A38" s="5">
        <v>40269</v>
      </c>
      <c r="B38" s="6">
        <v>261.08999999999997</v>
      </c>
      <c r="C38" s="1">
        <f t="shared" si="0"/>
        <v>0.10527966132537296</v>
      </c>
      <c r="D38" s="1">
        <f t="shared" si="1"/>
        <v>0.11102127659574457</v>
      </c>
      <c r="F38" s="6">
        <v>348.06</v>
      </c>
      <c r="G38" s="1">
        <f t="shared" si="2"/>
        <v>-0.12896357210294498</v>
      </c>
      <c r="H38" s="1">
        <f t="shared" si="3"/>
        <v>-0.12099401469808324</v>
      </c>
    </row>
    <row r="39" spans="1:8" hidden="1" x14ac:dyDescent="0.25">
      <c r="A39" s="5">
        <v>40301</v>
      </c>
      <c r="B39" s="6">
        <v>256.88</v>
      </c>
      <c r="C39" s="1">
        <f t="shared" si="0"/>
        <v>-1.6256125688273504E-2</v>
      </c>
      <c r="D39" s="1">
        <f t="shared" si="1"/>
        <v>-1.6124707955111228E-2</v>
      </c>
      <c r="F39" s="6">
        <v>337.99</v>
      </c>
      <c r="G39" s="1">
        <f t="shared" si="2"/>
        <v>-2.9358569459494093E-2</v>
      </c>
      <c r="H39" s="1">
        <f t="shared" si="3"/>
        <v>-2.8931793368959347E-2</v>
      </c>
    </row>
    <row r="40" spans="1:8" hidden="1" x14ac:dyDescent="0.25">
      <c r="A40" s="5">
        <v>40330</v>
      </c>
      <c r="B40" s="6">
        <v>251.53</v>
      </c>
      <c r="C40" s="1">
        <f t="shared" si="0"/>
        <v>-2.1046783061035752E-2</v>
      </c>
      <c r="D40" s="1">
        <f t="shared" si="1"/>
        <v>-2.0826845219557799E-2</v>
      </c>
      <c r="F40" s="6">
        <v>338.53</v>
      </c>
      <c r="G40" s="1">
        <f t="shared" si="2"/>
        <v>1.596405471184585E-3</v>
      </c>
      <c r="H40" s="1">
        <f t="shared" si="3"/>
        <v>1.5976804047455051E-3</v>
      </c>
    </row>
    <row r="41" spans="1:8" hidden="1" x14ac:dyDescent="0.25">
      <c r="A41" s="5">
        <v>40360</v>
      </c>
      <c r="B41" s="6">
        <v>257.25</v>
      </c>
      <c r="C41" s="1">
        <f t="shared" si="0"/>
        <v>2.2486107993936241E-2</v>
      </c>
      <c r="D41" s="1">
        <f t="shared" si="1"/>
        <v>2.2740826143998749E-2</v>
      </c>
      <c r="F41" s="6">
        <v>307.64999999999998</v>
      </c>
      <c r="G41" s="1">
        <f t="shared" si="2"/>
        <v>-9.5649941531219279E-2</v>
      </c>
      <c r="H41" s="1">
        <f t="shared" si="3"/>
        <v>-9.1217912740377494E-2</v>
      </c>
    </row>
    <row r="42" spans="1:8" hidden="1" x14ac:dyDescent="0.25">
      <c r="A42" s="5">
        <v>40392</v>
      </c>
      <c r="B42" s="6">
        <v>243.1</v>
      </c>
      <c r="C42" s="1">
        <f t="shared" si="0"/>
        <v>-5.6575493392081351E-2</v>
      </c>
      <c r="D42" s="1">
        <f t="shared" si="1"/>
        <v>-5.5004859086491775E-2</v>
      </c>
      <c r="F42" s="6">
        <v>292.95999999999998</v>
      </c>
      <c r="G42" s="1">
        <f t="shared" si="2"/>
        <v>-4.8926692260298776E-2</v>
      </c>
      <c r="H42" s="1">
        <f t="shared" si="3"/>
        <v>-4.7749065496505816E-2</v>
      </c>
    </row>
    <row r="43" spans="1:8" hidden="1" x14ac:dyDescent="0.25">
      <c r="A43" s="5">
        <v>40422</v>
      </c>
      <c r="B43" s="6">
        <v>283.75</v>
      </c>
      <c r="C43" s="1">
        <f t="shared" si="0"/>
        <v>0.15462068747353472</v>
      </c>
      <c r="D43" s="1">
        <f t="shared" si="1"/>
        <v>0.16721513780337305</v>
      </c>
      <c r="F43" s="6">
        <v>359.36</v>
      </c>
      <c r="G43" s="1">
        <f t="shared" si="2"/>
        <v>0.20428859062387794</v>
      </c>
      <c r="H43" s="1">
        <f t="shared" si="3"/>
        <v>0.22665210267613345</v>
      </c>
    </row>
    <row r="44" spans="1:8" hidden="1" x14ac:dyDescent="0.25">
      <c r="A44" s="5">
        <v>40452</v>
      </c>
      <c r="B44" s="6">
        <v>300.98</v>
      </c>
      <c r="C44" s="1">
        <f t="shared" si="0"/>
        <v>5.8950248562960224E-2</v>
      </c>
      <c r="D44" s="1">
        <f t="shared" si="1"/>
        <v>6.072246696035255E-2</v>
      </c>
      <c r="F44" s="6">
        <v>400.52</v>
      </c>
      <c r="G44" s="1">
        <f t="shared" si="2"/>
        <v>0.10843903128952363</v>
      </c>
      <c r="H44" s="1">
        <f t="shared" si="3"/>
        <v>0.11453695458593049</v>
      </c>
    </row>
    <row r="45" spans="1:8" hidden="1" x14ac:dyDescent="0.25">
      <c r="A45" s="5">
        <v>40483</v>
      </c>
      <c r="B45" s="6">
        <v>311.14999999999998</v>
      </c>
      <c r="C45" s="1">
        <f t="shared" si="0"/>
        <v>3.3231293656654268E-2</v>
      </c>
      <c r="D45" s="1">
        <f t="shared" si="1"/>
        <v>3.3789620572795442E-2</v>
      </c>
      <c r="F45" s="6">
        <v>463.29</v>
      </c>
      <c r="G45" s="1">
        <f t="shared" si="2"/>
        <v>0.14558950506341742</v>
      </c>
      <c r="H45" s="1">
        <f t="shared" si="3"/>
        <v>0.15672126235893358</v>
      </c>
    </row>
    <row r="46" spans="1:8" hidden="1" x14ac:dyDescent="0.25">
      <c r="A46" s="5">
        <v>40513</v>
      </c>
      <c r="B46" s="6">
        <v>322.56</v>
      </c>
      <c r="C46" s="1">
        <f t="shared" si="0"/>
        <v>3.6014054427722354E-2</v>
      </c>
      <c r="D46" s="1">
        <f t="shared" si="1"/>
        <v>3.6670416197975397E-2</v>
      </c>
      <c r="F46" s="6">
        <v>473.75</v>
      </c>
      <c r="G46" s="1">
        <f t="shared" si="2"/>
        <v>2.232654849361675E-2</v>
      </c>
      <c r="H46" s="1">
        <f t="shared" si="3"/>
        <v>2.2577651147229538E-2</v>
      </c>
    </row>
    <row r="47" spans="1:8" hidden="1" x14ac:dyDescent="0.25">
      <c r="A47" s="5">
        <v>40546</v>
      </c>
      <c r="B47" s="6">
        <v>339.32</v>
      </c>
      <c r="C47" s="1">
        <f t="shared" si="0"/>
        <v>5.0654449496584847E-2</v>
      </c>
      <c r="D47" s="1">
        <f t="shared" si="1"/>
        <v>5.1959325396825351E-2</v>
      </c>
      <c r="F47" s="6">
        <v>526.41999999999996</v>
      </c>
      <c r="G47" s="1">
        <f t="shared" si="2"/>
        <v>0.10541961681369323</v>
      </c>
      <c r="H47" s="1">
        <f t="shared" si="3"/>
        <v>0.1111767810026385</v>
      </c>
    </row>
    <row r="48" spans="1:8" hidden="1" x14ac:dyDescent="0.25">
      <c r="A48" s="5">
        <v>40575</v>
      </c>
      <c r="B48" s="6">
        <v>353.21</v>
      </c>
      <c r="C48" s="1">
        <f t="shared" si="0"/>
        <v>4.01191659602591E-2</v>
      </c>
      <c r="D48" s="1">
        <f t="shared" si="1"/>
        <v>4.0934810798066712E-2</v>
      </c>
      <c r="F48" s="6">
        <v>585.79999999999995</v>
      </c>
      <c r="G48" s="1">
        <f t="shared" si="2"/>
        <v>0.10687906118330369</v>
      </c>
      <c r="H48" s="1">
        <f t="shared" si="3"/>
        <v>0.11279966566619803</v>
      </c>
    </row>
    <row r="49" spans="1:8" hidden="1" x14ac:dyDescent="0.25">
      <c r="A49" s="5">
        <v>40603</v>
      </c>
      <c r="B49" s="6">
        <v>348.51</v>
      </c>
      <c r="C49" s="1">
        <f t="shared" si="0"/>
        <v>-1.3395856706299903E-2</v>
      </c>
      <c r="D49" s="1">
        <f t="shared" si="1"/>
        <v>-1.330653152515493E-2</v>
      </c>
      <c r="F49" s="6">
        <v>574.29</v>
      </c>
      <c r="G49" s="1">
        <f t="shared" si="2"/>
        <v>-1.9843939177158147E-2</v>
      </c>
      <c r="H49" s="1">
        <f t="shared" si="3"/>
        <v>-1.9648344144759244E-2</v>
      </c>
    </row>
    <row r="50" spans="1:8" hidden="1" x14ac:dyDescent="0.25">
      <c r="A50" s="5">
        <v>40634</v>
      </c>
      <c r="B50" s="6">
        <v>350.13</v>
      </c>
      <c r="C50" s="1">
        <f t="shared" si="0"/>
        <v>4.6375898988789757E-3</v>
      </c>
      <c r="D50" s="1">
        <f t="shared" si="1"/>
        <v>4.6483601618318993E-3</v>
      </c>
      <c r="F50" s="6">
        <v>440.47</v>
      </c>
      <c r="G50" s="1">
        <f t="shared" si="2"/>
        <v>-0.26529215658624006</v>
      </c>
      <c r="H50" s="1">
        <f t="shared" si="3"/>
        <v>-0.23301816155600819</v>
      </c>
    </row>
    <row r="51" spans="1:8" hidden="1" x14ac:dyDescent="0.25">
      <c r="A51" s="5">
        <v>40665</v>
      </c>
      <c r="B51" s="6">
        <v>347.83</v>
      </c>
      <c r="C51" s="1">
        <f t="shared" si="0"/>
        <v>-6.5906594228294924E-3</v>
      </c>
      <c r="D51" s="1">
        <f t="shared" si="1"/>
        <v>-6.568988661354358E-3</v>
      </c>
      <c r="F51" s="6">
        <v>471.18</v>
      </c>
      <c r="G51" s="1">
        <f t="shared" si="2"/>
        <v>6.7397847984603548E-2</v>
      </c>
      <c r="H51" s="1">
        <f t="shared" si="3"/>
        <v>6.9720979862419652E-2</v>
      </c>
    </row>
    <row r="52" spans="1:8" hidden="1" x14ac:dyDescent="0.25">
      <c r="A52" s="5">
        <v>40695</v>
      </c>
      <c r="B52" s="6">
        <v>335.67</v>
      </c>
      <c r="C52" s="1">
        <f t="shared" si="0"/>
        <v>-3.5585320181802882E-2</v>
      </c>
      <c r="D52" s="1">
        <f t="shared" si="1"/>
        <v>-3.495960670442444E-2</v>
      </c>
      <c r="F52" s="6">
        <v>564.29999999999995</v>
      </c>
      <c r="G52" s="1">
        <f t="shared" si="2"/>
        <v>0.18034583836025603</v>
      </c>
      <c r="H52" s="1">
        <f t="shared" si="3"/>
        <v>0.1976314784158919</v>
      </c>
    </row>
    <row r="53" spans="1:8" hidden="1" x14ac:dyDescent="0.25">
      <c r="A53" s="5">
        <v>40725</v>
      </c>
      <c r="B53" s="6">
        <v>390.48</v>
      </c>
      <c r="C53" s="1">
        <f t="shared" si="0"/>
        <v>0.15124821709115263</v>
      </c>
      <c r="D53" s="1">
        <f t="shared" si="1"/>
        <v>0.16328536955938877</v>
      </c>
      <c r="F53" s="6">
        <v>691.48</v>
      </c>
      <c r="G53" s="1">
        <f t="shared" si="2"/>
        <v>0.20324820307949171</v>
      </c>
      <c r="H53" s="1">
        <f t="shared" si="3"/>
        <v>0.2253765727449939</v>
      </c>
    </row>
    <row r="54" spans="1:8" hidden="1" x14ac:dyDescent="0.25">
      <c r="A54" s="5">
        <v>40756</v>
      </c>
      <c r="B54" s="6">
        <v>384.83</v>
      </c>
      <c r="C54" s="1">
        <f t="shared" si="0"/>
        <v>-1.4575073248301941E-2</v>
      </c>
      <c r="D54" s="1">
        <f t="shared" si="1"/>
        <v>-1.446937103052659E-2</v>
      </c>
      <c r="F54" s="6">
        <v>693</v>
      </c>
      <c r="G54" s="1">
        <f t="shared" si="2"/>
        <v>2.1957711353171334E-3</v>
      </c>
      <c r="H54" s="1">
        <f t="shared" si="3"/>
        <v>2.1981836061779614E-3</v>
      </c>
    </row>
    <row r="55" spans="1:8" hidden="1" x14ac:dyDescent="0.25">
      <c r="A55" s="5">
        <v>40787</v>
      </c>
      <c r="B55" s="6">
        <v>381.32</v>
      </c>
      <c r="C55" s="1">
        <f t="shared" si="0"/>
        <v>-9.1627607052127934E-3</v>
      </c>
      <c r="D55" s="1">
        <f t="shared" si="1"/>
        <v>-9.1209105319232098E-3</v>
      </c>
      <c r="F55" s="6">
        <v>707</v>
      </c>
      <c r="G55" s="1">
        <f t="shared" si="2"/>
        <v>2.0000666706669435E-2</v>
      </c>
      <c r="H55" s="1">
        <f t="shared" si="3"/>
        <v>2.020202020202011E-2</v>
      </c>
    </row>
    <row r="56" spans="1:8" hidden="1" x14ac:dyDescent="0.25">
      <c r="A56" s="5">
        <v>40819</v>
      </c>
      <c r="B56" s="6">
        <v>404.78</v>
      </c>
      <c r="C56" s="1">
        <f t="shared" si="0"/>
        <v>5.9704792012682126E-2</v>
      </c>
      <c r="D56" s="1">
        <f t="shared" si="1"/>
        <v>6.1523130179376828E-2</v>
      </c>
      <c r="F56" s="6">
        <v>567.27</v>
      </c>
      <c r="G56" s="1">
        <f t="shared" si="2"/>
        <v>-0.22019528503533467</v>
      </c>
      <c r="H56" s="1">
        <f t="shared" si="3"/>
        <v>-0.19763790664780767</v>
      </c>
    </row>
    <row r="57" spans="1:8" hidden="1" x14ac:dyDescent="0.25">
      <c r="A57" s="5">
        <v>40848</v>
      </c>
      <c r="B57" s="6">
        <v>382.2</v>
      </c>
      <c r="C57" s="1">
        <f t="shared" si="0"/>
        <v>-5.7399677831886937E-2</v>
      </c>
      <c r="D57" s="1">
        <f t="shared" si="1"/>
        <v>-5.5783388507337328E-2</v>
      </c>
      <c r="F57" s="6">
        <v>515.25</v>
      </c>
      <c r="G57" s="1">
        <f t="shared" si="2"/>
        <v>-9.6183161090669669E-2</v>
      </c>
      <c r="H57" s="1">
        <f t="shared" si="3"/>
        <v>-9.1702363953672816E-2</v>
      </c>
    </row>
    <row r="58" spans="1:8" hidden="1" x14ac:dyDescent="0.25">
      <c r="A58" s="5">
        <v>40878</v>
      </c>
      <c r="B58" s="6">
        <v>405</v>
      </c>
      <c r="C58" s="1">
        <f t="shared" si="0"/>
        <v>5.794303530036643E-2</v>
      </c>
      <c r="D58" s="1">
        <f t="shared" si="1"/>
        <v>5.9654631083202458E-2</v>
      </c>
      <c r="F58" s="6">
        <v>510</v>
      </c>
      <c r="G58" s="1">
        <f t="shared" si="2"/>
        <v>-1.0241494052196907E-2</v>
      </c>
      <c r="H58" s="1">
        <f t="shared" si="3"/>
        <v>-1.0189228529839833E-2</v>
      </c>
    </row>
    <row r="59" spans="1:8" x14ac:dyDescent="0.25">
      <c r="A59" s="5">
        <v>40911</v>
      </c>
      <c r="B59" s="6">
        <v>456.48</v>
      </c>
      <c r="C59" s="1">
        <f t="shared" si="0"/>
        <v>0.11965782035865079</v>
      </c>
      <c r="D59" s="1">
        <f t="shared" si="1"/>
        <v>0.12711111111111117</v>
      </c>
      <c r="F59" s="6">
        <v>522.70000000000005</v>
      </c>
      <c r="G59" s="1">
        <f t="shared" si="2"/>
        <v>2.4596960000504701E-2</v>
      </c>
      <c r="H59" s="1">
        <f t="shared" si="3"/>
        <v>2.4901960784313726E-2</v>
      </c>
    </row>
    <row r="60" spans="1:8" x14ac:dyDescent="0.25">
      <c r="A60" s="5">
        <v>40940</v>
      </c>
      <c r="B60" s="6">
        <v>542.44000000000005</v>
      </c>
      <c r="C60" s="1">
        <f t="shared" si="0"/>
        <v>0.17253259275455476</v>
      </c>
      <c r="D60" s="1">
        <f t="shared" si="1"/>
        <v>0.18831055029793209</v>
      </c>
      <c r="F60" s="6">
        <v>497.91</v>
      </c>
      <c r="G60" s="1">
        <f t="shared" si="2"/>
        <v>-4.8588347918139083E-2</v>
      </c>
      <c r="H60" s="1">
        <f t="shared" si="3"/>
        <v>-4.7426822268987978E-2</v>
      </c>
    </row>
    <row r="61" spans="1:8" x14ac:dyDescent="0.25">
      <c r="A61" s="5">
        <v>40969</v>
      </c>
      <c r="B61" s="6">
        <v>599.54999999999995</v>
      </c>
      <c r="C61" s="1">
        <f t="shared" si="0"/>
        <v>0.1001018936056976</v>
      </c>
      <c r="D61" s="1">
        <f t="shared" si="1"/>
        <v>0.10528353366270915</v>
      </c>
      <c r="F61" s="6">
        <v>471.38</v>
      </c>
      <c r="G61" s="1">
        <f t="shared" si="2"/>
        <v>-5.4754775012495489E-2</v>
      </c>
      <c r="H61" s="1">
        <f t="shared" si="3"/>
        <v>-5.3282721777028086E-2</v>
      </c>
    </row>
    <row r="62" spans="1:8" x14ac:dyDescent="0.25">
      <c r="A62" s="5">
        <v>41001</v>
      </c>
      <c r="B62" s="6">
        <v>583.98</v>
      </c>
      <c r="C62" s="1">
        <f t="shared" si="0"/>
        <v>-2.6312638158984922E-2</v>
      </c>
      <c r="D62" s="1">
        <f t="shared" si="1"/>
        <v>-2.5969477107830818E-2</v>
      </c>
      <c r="F62" s="6">
        <v>458.16</v>
      </c>
      <c r="G62" s="1">
        <f t="shared" si="2"/>
        <v>-2.8446094702639788E-2</v>
      </c>
      <c r="H62" s="1">
        <f t="shared" si="3"/>
        <v>-2.80453137595994E-2</v>
      </c>
    </row>
    <row r="63" spans="1:8" x14ac:dyDescent="0.25">
      <c r="A63" s="5">
        <v>41030</v>
      </c>
      <c r="B63" s="6">
        <v>577.73</v>
      </c>
      <c r="C63" s="1">
        <f t="shared" si="0"/>
        <v>-1.0760104160047555E-2</v>
      </c>
      <c r="D63" s="1">
        <f t="shared" si="1"/>
        <v>-1.070242131579846E-2</v>
      </c>
      <c r="F63" s="6">
        <v>449.45</v>
      </c>
      <c r="G63" s="1">
        <f t="shared" si="2"/>
        <v>-1.9193855066193692E-2</v>
      </c>
      <c r="H63" s="1">
        <f t="shared" si="3"/>
        <v>-1.9010825912345153E-2</v>
      </c>
    </row>
    <row r="64" spans="1:8" x14ac:dyDescent="0.25">
      <c r="A64" s="5">
        <v>41061</v>
      </c>
      <c r="B64" s="6">
        <v>584</v>
      </c>
      <c r="C64" s="1">
        <f t="shared" si="0"/>
        <v>1.0794351321817304E-2</v>
      </c>
      <c r="D64" s="1">
        <f t="shared" si="1"/>
        <v>1.0852820521696893E-2</v>
      </c>
      <c r="F64" s="6">
        <v>501.5</v>
      </c>
      <c r="G64" s="1">
        <f t="shared" si="2"/>
        <v>0.10957899438258194</v>
      </c>
      <c r="H64" s="1">
        <f t="shared" si="3"/>
        <v>0.1158082100344866</v>
      </c>
    </row>
    <row r="66" spans="1:8" x14ac:dyDescent="0.25">
      <c r="A66" t="s">
        <v>47</v>
      </c>
      <c r="C66" s="22">
        <f>AVERAGE(C5:C64)</f>
        <v>2.6092535382995975E-2</v>
      </c>
      <c r="D66" s="22">
        <f>AVERAGE(D5:D64)</f>
        <v>3.2411593445140129E-2</v>
      </c>
      <c r="E66" s="79" t="str">
        <f ca="1">ggetformula(G66)&amp;" --&gt;"</f>
        <v>=AVERAGE(G5:G64) --&gt;</v>
      </c>
      <c r="F66" s="79"/>
      <c r="G66" s="22">
        <f>AVERAGE(G5:G64)</f>
        <v>-2.4269022221436731E-3</v>
      </c>
      <c r="H66" s="22">
        <f>AVERAGE(H5:H64)</f>
        <v>2.5579752320811166E-3</v>
      </c>
    </row>
    <row r="67" spans="1:8" x14ac:dyDescent="0.25">
      <c r="A67" t="s">
        <v>2</v>
      </c>
      <c r="C67" s="22">
        <f>_xlfn.STDEV.S(C5:C64)</f>
        <v>0.11170358406233492</v>
      </c>
      <c r="D67" s="22">
        <f>_xlfn.STDEV.S(D5:D64)</f>
        <v>0.10686671328971845</v>
      </c>
      <c r="E67" s="79" t="str">
        <f ca="1">ggetformula(G67)&amp;" --&gt;"</f>
        <v>=STDEV.S(G5:G64) --&gt;</v>
      </c>
      <c r="F67" s="79"/>
      <c r="G67" s="22">
        <f>_xlfn.STDEV.S(G5:G64)</f>
        <v>0.10087209806699204</v>
      </c>
      <c r="H67" s="22">
        <f>_xlfn.STDEV.S(H5:H64)</f>
        <v>0.10070642608124224</v>
      </c>
    </row>
    <row r="69" spans="1:8" x14ac:dyDescent="0.25">
      <c r="A69" t="s">
        <v>48</v>
      </c>
      <c r="C69" s="23">
        <f>12*C66</f>
        <v>0.31311042459595173</v>
      </c>
      <c r="E69" s="78" t="str">
        <f ca="1">ggetformula(G69)&amp;" --&gt;"</f>
        <v>=12*G66 --&gt;</v>
      </c>
      <c r="F69" s="78"/>
      <c r="G69" s="23">
        <f>12*G66</f>
        <v>-2.9122826665724078E-2</v>
      </c>
    </row>
    <row r="70" spans="1:8" x14ac:dyDescent="0.25">
      <c r="A70" t="s">
        <v>4</v>
      </c>
      <c r="C70" s="23">
        <f>12*C67</f>
        <v>1.340443008748019</v>
      </c>
      <c r="E70" s="78" t="str">
        <f ca="1">ggetformula(G70)&amp;" --&gt;"</f>
        <v>=12*G67 --&gt;</v>
      </c>
      <c r="F70" s="78"/>
      <c r="G70" s="23">
        <f>12*G67</f>
        <v>1.2104651768039045</v>
      </c>
    </row>
    <row r="71" spans="1:8" x14ac:dyDescent="0.25">
      <c r="A71" t="s">
        <v>5</v>
      </c>
      <c r="C71" s="23">
        <f>SQRT(C70)</f>
        <v>1.1577750251011718</v>
      </c>
      <c r="E71" s="78" t="str">
        <f ca="1">ggetformula(G71)&amp;" --&gt;"</f>
        <v>=SQRT(G70) --&gt;</v>
      </c>
      <c r="F71" s="78"/>
      <c r="G71" s="23">
        <f>SQRT(G70)</f>
        <v>1.1002114236836047</v>
      </c>
    </row>
  </sheetData>
  <mergeCells count="6">
    <mergeCell ref="E71:F71"/>
    <mergeCell ref="A1:H1"/>
    <mergeCell ref="E66:F66"/>
    <mergeCell ref="E67:F67"/>
    <mergeCell ref="E69:F69"/>
    <mergeCell ref="E70:F70"/>
  </mergeCells>
  <printOptions headings="1" gridLines="1"/>
  <pageMargins left="0.7" right="0.7" top="0.75" bottom="0.75" header="0.3" footer="0.3"/>
  <pageSetup paperSize="9" orientation="portrait" verticalDpi="4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AAPL and K</vt:lpstr>
      <vt:lpstr>Covariance</vt:lpstr>
      <vt:lpstr>Trendline</vt:lpstr>
      <vt:lpstr>Portfolio mean and sigma</vt:lpstr>
      <vt:lpstr>Portfolio mean and sigma2</vt:lpstr>
      <vt:lpstr>GMVP 2 stocks</vt:lpstr>
      <vt:lpstr>Porfolios of 4 assets</vt:lpstr>
      <vt:lpstr>Porfolios of 4 assets (2)</vt:lpstr>
      <vt:lpstr>adjusting for dividends</vt:lpstr>
      <vt:lpstr>continous and discrete returns</vt:lpstr>
      <vt:lpstr>comparing continuous discrete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Mehran K.</cp:lastModifiedBy>
  <dcterms:created xsi:type="dcterms:W3CDTF">2012-07-01T15:48:19Z</dcterms:created>
  <dcterms:modified xsi:type="dcterms:W3CDTF">2023-06-28T08:15:51Z</dcterms:modified>
</cp:coreProperties>
</file>